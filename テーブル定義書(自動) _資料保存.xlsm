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案件\AutoCode_Table\"/>
    </mc:Choice>
  </mc:AlternateContent>
  <bookViews>
    <workbookView xWindow="0" yWindow="0" windowWidth="28800" windowHeight="11895" tabRatio="790" activeTab="7"/>
  </bookViews>
  <sheets>
    <sheet name="システムMENU" sheetId="93" r:id="rId1"/>
    <sheet name="m_data_job" sheetId="98" r:id="rId2"/>
    <sheet name="m_system_name" sheetId="97" r:id="rId3"/>
    <sheet name="m_edp" sheetId="96" r:id="rId4"/>
    <sheet name="m_db_connect_no" sheetId="99" r:id="rId5"/>
    <sheet name="m_data" sheetId="85" r:id="rId6"/>
    <sheet name="→" sheetId="90" r:id="rId7"/>
    <sheet name="DB_INFO" sheetId="89" r:id="rId8"/>
    <sheet name="TABLE_TMP" sheetId="94" r:id="rId9"/>
    <sheet name="GetTableNameList" sheetId="92" r:id="rId10"/>
    <sheet name="CopyTable" sheetId="91" r:id="rId11"/>
    <sheet name="DB_CHANGE_TABLE" sheetId="87" r:id="rId12"/>
    <sheet name="DB_REP" sheetId="88" r:id="rId13"/>
    <sheet name="ENV" sheetId="83" r:id="rId14"/>
  </sheets>
  <functionGroups builtInGroupCount="18"/>
  <definedNames>
    <definedName name="_Fill" localSheetId="7" hidden="1">#REF!</definedName>
    <definedName name="_Fill" localSheetId="13" hidden="1">#REF!</definedName>
    <definedName name="_Fill" localSheetId="5" hidden="1">#REF!</definedName>
    <definedName name="_Fill" localSheetId="1" hidden="1">#REF!</definedName>
    <definedName name="_Fill" localSheetId="4" hidden="1">#REF!</definedName>
    <definedName name="_Fill" localSheetId="3" hidden="1">#REF!</definedName>
    <definedName name="_Fill" localSheetId="2" hidden="1">#REF!</definedName>
    <definedName name="_Fill" localSheetId="8" hidden="1">#REF!</definedName>
    <definedName name="_Fill" hidden="1">#REF!</definedName>
    <definedName name="_Order1" hidden="1">1</definedName>
    <definedName name="_Order2" hidden="1">1</definedName>
    <definedName name="cboTYPE_Click" localSheetId="13">ENV!cboTYPE_Click</definedName>
    <definedName name="cboTYPE_Click" localSheetId="5">m_data!cboTYPE_Click</definedName>
    <definedName name="cboTYPE_Click" localSheetId="1">m_data_job!cboTYPE_Click</definedName>
    <definedName name="cboTYPE_Click" localSheetId="4">m_db_connect_no!cboTYPE_Click</definedName>
    <definedName name="cboTYPE_Click" localSheetId="3">m_edp!cboTYPE_Click</definedName>
    <definedName name="cboTYPE_Click" localSheetId="2">m_system_name!cboTYPE_Click</definedName>
    <definedName name="cboTYPE_Click" localSheetId="8">TABLE_TMP!cboTYPE_Click</definedName>
    <definedName name="cboTYPE_Click">[0]!cboTYPE_Click</definedName>
    <definedName name="IDX_NEXT" localSheetId="5">m_data!#REF!</definedName>
    <definedName name="IDX_NEXT" localSheetId="1">m_data_job!#REF!</definedName>
    <definedName name="IDX_NEXT" localSheetId="4">m_db_connect_no!#REF!</definedName>
    <definedName name="IDX_NEXT" localSheetId="3">m_edp!#REF!</definedName>
    <definedName name="IDX_NEXT" localSheetId="2">m_system_name!#REF!</definedName>
    <definedName name="IDX_NEXT" localSheetId="8">TABLE_TMP!#REF!</definedName>
    <definedName name="IDX_PctFree" localSheetId="5">m_data!#REF!</definedName>
    <definedName name="IDX_PctFree" localSheetId="1">m_data_job!#REF!</definedName>
    <definedName name="IDX_PctFree" localSheetId="4">m_db_connect_no!#REF!</definedName>
    <definedName name="IDX_PctFree" localSheetId="3">m_edp!#REF!</definedName>
    <definedName name="IDX_PctFree" localSheetId="2">m_system_name!#REF!</definedName>
    <definedName name="IDX_PctFree" localSheetId="8">TABLE_TMP!#REF!</definedName>
    <definedName name="IDX_SPACE" localSheetId="5">m_data!#REF!</definedName>
    <definedName name="IDX_SPACE" localSheetId="1">m_data_job!#REF!</definedName>
    <definedName name="IDX_SPACE" localSheetId="4">m_db_connect_no!#REF!</definedName>
    <definedName name="IDX_SPACE" localSheetId="3">m_edp!#REF!</definedName>
    <definedName name="IDX_SPACE" localSheetId="2">m_system_name!#REF!</definedName>
    <definedName name="IDX_SPACE" localSheetId="8">TABLE_TMP!#REF!</definedName>
    <definedName name="IDX_Storage" localSheetId="5">m_data!#REF!</definedName>
    <definedName name="IDX_Storage" localSheetId="1">m_data_job!#REF!</definedName>
    <definedName name="IDX_Storage" localSheetId="4">m_db_connect_no!#REF!</definedName>
    <definedName name="IDX_Storage" localSheetId="3">m_edp!#REF!</definedName>
    <definedName name="IDX_Storage" localSheetId="2">m_system_name!#REF!</definedName>
    <definedName name="IDX_Storage" localSheetId="8">TABLE_TMP!#REF!</definedName>
    <definedName name="Index_Length" localSheetId="5">m_data!#REF!</definedName>
    <definedName name="Index_Length" localSheetId="1">m_data_job!#REF!</definedName>
    <definedName name="Index_Length" localSheetId="4">m_db_connect_no!#REF!</definedName>
    <definedName name="Index_Length" localSheetId="3">m_edp!#REF!</definedName>
    <definedName name="Index_Length" localSheetId="2">m_system_name!#REF!</definedName>
    <definedName name="Index_Length" localSheetId="8">TABLE_TMP!#REF!</definedName>
    <definedName name="Naiyou" localSheetId="5">m_data!$F$5</definedName>
    <definedName name="Naiyou" localSheetId="1">m_data_job!$F$5</definedName>
    <definedName name="Naiyou" localSheetId="4">m_db_connect_no!$F$5</definedName>
    <definedName name="Naiyou" localSheetId="3">m_edp!$F$5</definedName>
    <definedName name="Naiyou" localSheetId="2">m_system_name!$F$5</definedName>
    <definedName name="Naiyou" localSheetId="8">TABLE_TMP!$F$5</definedName>
    <definedName name="name" localSheetId="5">m_data!$C$5</definedName>
    <definedName name="name" localSheetId="1">m_data_job!$C$5</definedName>
    <definedName name="name" localSheetId="4">m_db_connect_no!$C$5</definedName>
    <definedName name="name" localSheetId="3">m_edp!$C$5</definedName>
    <definedName name="name" localSheetId="2">m_system_name!$C$5</definedName>
    <definedName name="name" localSheetId="8">TABLE_TMP!$C$5</definedName>
    <definedName name="_xlnm.Print_Area" localSheetId="5">m_data!$A$1:$K$43</definedName>
    <definedName name="_xlnm.Print_Area" localSheetId="1">m_data_job!$A$1:$K$45</definedName>
    <definedName name="_xlnm.Print_Area" localSheetId="4">m_db_connect_no!$A$1:$K$35</definedName>
    <definedName name="_xlnm.Print_Area" localSheetId="3">m_edp!$A$1:$K$35</definedName>
    <definedName name="_xlnm.Print_Area" localSheetId="2">m_system_name!$A$1:$K$34</definedName>
    <definedName name="_xlnm.Print_Area" localSheetId="8">TABLE_TMP!$A$1:$K$42</definedName>
    <definedName name="_xlnm.Print_Titles" localSheetId="5">m_data!$1:$8</definedName>
    <definedName name="_xlnm.Print_Titles" localSheetId="1">m_data_job!$1:$8</definedName>
    <definedName name="_xlnm.Print_Titles" localSheetId="4">m_db_connect_no!$1:$8</definedName>
    <definedName name="_xlnm.Print_Titles" localSheetId="3">m_edp!$1:$8</definedName>
    <definedName name="_xlnm.Print_Titles" localSheetId="2">m_system_name!$1:$8</definedName>
    <definedName name="_xlnm.Print_Titles" localSheetId="8">TABLE_TMP!$1:$8</definedName>
    <definedName name="REC_Count" localSheetId="5">m_data!#REF!</definedName>
    <definedName name="REC_Count" localSheetId="1">m_data_job!#REF!</definedName>
    <definedName name="REC_Count" localSheetId="4">m_db_connect_no!#REF!</definedName>
    <definedName name="REC_Count" localSheetId="3">m_edp!#REF!</definedName>
    <definedName name="REC_Count" localSheetId="2">m_system_name!#REF!</definedName>
    <definedName name="REC_Count" localSheetId="8">TABLE_TMP!#REF!</definedName>
    <definedName name="Rec_Length" localSheetId="5">m_data!#REF!</definedName>
    <definedName name="Rec_Length" localSheetId="1">m_data_job!#REF!</definedName>
    <definedName name="Rec_Length" localSheetId="4">m_db_connect_no!#REF!</definedName>
    <definedName name="Rec_Length" localSheetId="3">m_edp!#REF!</definedName>
    <definedName name="Rec_Length" localSheetId="2">m_system_name!#REF!</definedName>
    <definedName name="Rec_Length" localSheetId="8">TABLE_TMP!#REF!</definedName>
    <definedName name="TBL_Name" localSheetId="5">m_data!$C$6</definedName>
    <definedName name="TBL_Name" localSheetId="1">m_data_job!$C$6</definedName>
    <definedName name="TBL_Name" localSheetId="4">m_db_connect_no!$C$6</definedName>
    <definedName name="TBL_Name" localSheetId="3">m_edp!$C$6</definedName>
    <definedName name="TBL_Name" localSheetId="2">m_system_name!$C$6</definedName>
    <definedName name="TBL_Name" localSheetId="8">TABLE_TMP!$C$6</definedName>
    <definedName name="TBL_NEXT" localSheetId="5">m_data!#REF!</definedName>
    <definedName name="TBL_NEXT" localSheetId="1">m_data_job!#REF!</definedName>
    <definedName name="TBL_NEXT" localSheetId="4">m_db_connect_no!#REF!</definedName>
    <definedName name="TBL_NEXT" localSheetId="3">m_edp!#REF!</definedName>
    <definedName name="TBL_NEXT" localSheetId="2">m_system_name!#REF!</definedName>
    <definedName name="TBL_NEXT" localSheetId="8">TABLE_TMP!#REF!</definedName>
    <definedName name="TBL_PctFree" localSheetId="5">m_data!#REF!</definedName>
    <definedName name="TBL_PctFree" localSheetId="1">m_data_job!#REF!</definedName>
    <definedName name="TBL_PctFree" localSheetId="4">m_db_connect_no!#REF!</definedName>
    <definedName name="TBL_PctFree" localSheetId="3">m_edp!#REF!</definedName>
    <definedName name="TBL_PctFree" localSheetId="2">m_system_name!#REF!</definedName>
    <definedName name="TBL_PctFree" localSheetId="8">TABLE_TMP!#REF!</definedName>
    <definedName name="TBL_PctUsed" localSheetId="5">m_data!#REF!</definedName>
    <definedName name="TBL_PctUsed" localSheetId="1">m_data_job!#REF!</definedName>
    <definedName name="TBL_PctUsed" localSheetId="4">m_db_connect_no!#REF!</definedName>
    <definedName name="TBL_PctUsed" localSheetId="3">m_edp!#REF!</definedName>
    <definedName name="TBL_PctUsed" localSheetId="2">m_system_name!#REF!</definedName>
    <definedName name="TBL_PctUsed" localSheetId="8">TABLE_TMP!#REF!</definedName>
    <definedName name="TBL_SPACE" localSheetId="5">m_data!#REF!</definedName>
    <definedName name="TBL_SPACE" localSheetId="1">m_data_job!#REF!</definedName>
    <definedName name="TBL_SPACE" localSheetId="4">m_db_connect_no!#REF!</definedName>
    <definedName name="TBL_SPACE" localSheetId="3">m_edp!#REF!</definedName>
    <definedName name="TBL_SPACE" localSheetId="2">m_system_name!#REF!</definedName>
    <definedName name="TBL_SPACE" localSheetId="8">TABLE_TMP!#REF!</definedName>
    <definedName name="TBL_Storage" localSheetId="5">m_data!#REF!</definedName>
    <definedName name="TBL_Storage" localSheetId="1">m_data_job!#REF!</definedName>
    <definedName name="TBL_Storage" localSheetId="4">m_db_connect_no!#REF!</definedName>
    <definedName name="TBL_Storage" localSheetId="3">m_edp!#REF!</definedName>
    <definedName name="TBL_Storage" localSheetId="2">m_system_name!#REF!</definedName>
    <definedName name="TBL_Storage" localSheetId="8">TABLE_TMP!#REF!</definedName>
    <definedName name="TYPE" localSheetId="5">m_data!$D$8</definedName>
    <definedName name="TYPE" localSheetId="1">m_data_job!$D$8</definedName>
    <definedName name="TYPE" localSheetId="4">m_db_connect_no!$D$8</definedName>
    <definedName name="TYPE" localSheetId="3">m_edp!$D$8</definedName>
    <definedName name="TYPE" localSheetId="2">m_system_name!$D$8</definedName>
    <definedName name="TYPE" localSheetId="8">TABLE_TMP!$D$8</definedName>
  </definedNames>
  <calcPr calcId="152511"/>
</workbook>
</file>

<file path=xl/calcChain.xml><?xml version="1.0" encoding="utf-8"?>
<calcChain xmlns="http://schemas.openxmlformats.org/spreadsheetml/2006/main">
  <c r="N6" i="99" l="1"/>
  <c r="N4" i="99"/>
  <c r="N6" i="98" l="1"/>
  <c r="N4" i="98"/>
  <c r="B6" i="89"/>
  <c r="B9" i="89" l="1"/>
  <c r="B8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D17" i="91"/>
  <c r="K17" i="91" s="1"/>
  <c r="G17" i="91"/>
  <c r="D18" i="91"/>
  <c r="H18" i="91" s="1"/>
  <c r="D19" i="91"/>
  <c r="K19" i="91" s="1"/>
  <c r="D11" i="91"/>
  <c r="K11" i="91"/>
  <c r="K16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6" i="91"/>
  <c r="G19" i="91"/>
  <c r="G36" i="91"/>
  <c r="N8" i="94"/>
  <c r="N6" i="94"/>
  <c r="G11" i="91"/>
  <c r="K13" i="91"/>
  <c r="H14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3" i="89"/>
  <c r="B5" i="89"/>
  <c r="B2" i="89"/>
  <c r="G15" i="91" l="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<sst xmlns="http://schemas.openxmlformats.org/spreadsheetml/2006/main" count="1114" uniqueCount="716">
  <si>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</si>
  <si>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</si>
  <si>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</si>
  <si>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</si>
  <si>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</si>
  <si>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</si>
  <si>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</si>
  <si>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</si>
  <si>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</si>
  <si>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</si>
  <si>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</si>
  <si>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</si>
  <si>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</si>
  <si>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</si>
  <si>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</si>
  <si>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</si>
  <si>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</si>
  <si>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</si>
  <si>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</si>
  <si>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</si>
  <si>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</si>
  <si>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</si>
  <si>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</si>
  <si>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</si>
  <si>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</si>
  <si>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</si>
  <si>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</si>
  <si>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</si>
  <si>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</si>
  <si>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</si>
  <si>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</si>
  <si>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</si>
  <si>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</si>
  <si>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</si>
  <si>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</si>
  <si>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</si>
  <si>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</si>
  <si>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</si>
  <si>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</si>
  <si>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</si>
  <si>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</si>
  <si>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</si>
  <si>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</si>
  <si>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</si>
  <si>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</si>
  <si>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</si>
  <si>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</si>
  <si>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</si>
  <si>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</si>
  <si>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</si>
  <si>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</si>
  <si>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</si>
  <si>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</si>
  <si>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</si>
  <si>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</si>
  <si>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</si>
  <si>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</si>
  <si>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</si>
  <si>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</si>
  <si>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</si>
  <si>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</si>
  <si>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</si>
  <si>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</si>
  <si>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</si>
  <si>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</si>
  <si>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</si>
  <si>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</si>
  <si>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</si>
  <si>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</si>
  <si>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</si>
  <si>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</si>
  <si>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</si>
  <si>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</si>
  <si>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</si>
  <si>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</si>
  <si>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</si>
  <si>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</si>
  <si>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</si>
  <si>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</si>
  <si>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</si>
  <si>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</si>
  <si>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</si>
  <si>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</si>
  <si>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</si>
  <si>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</si>
  <si>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</si>
  <si>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</si>
  <si>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</si>
  <si>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</si>
  <si>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</si>
  <si>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</si>
  <si>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</si>
  <si>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</si>
  <si>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</si>
  <si>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</si>
  <si>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</si>
  <si>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</si>
  <si>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</si>
  <si>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</si>
  <si>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</si>
  <si>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</si>
  <si>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</si>
  <si>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</si>
  <si>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</si>
  <si>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</si>
  <si>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</si>
  <si>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</si>
  <si>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</si>
  <si>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</si>
  <si>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</si>
  <si>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</si>
  <si>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</si>
  <si>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</si>
  <si>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</si>
  <si>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</si>
  <si>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</si>
  <si>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</si>
  <si>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</si>
  <si>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</si>
  <si>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</si>
  <si>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</si>
  <si>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</si>
  <si>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</si>
  <si>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</si>
  <si>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</si>
  <si>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</si>
  <si>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</si>
  <si>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</si>
  <si>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</si>
  <si>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</si>
  <si>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</si>
  <si>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</si>
  <si>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</si>
  <si>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</si>
  <si>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</si>
  <si>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</si>
  <si>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</si>
  <si>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</si>
  <si>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</si>
  <si>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</si>
  <si>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</si>
  <si>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</si>
  <si>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</si>
  <si>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</si>
  <si>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</si>
  <si>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</si>
  <si>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</si>
  <si>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</si>
  <si>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</si>
  <si>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</si>
  <si>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</si>
  <si>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</si>
  <si>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</si>
  <si>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</si>
  <si>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</si>
  <si>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</si>
  <si>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</si>
  <si>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</si>
  <si>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</si>
  <si>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</si>
  <si>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</si>
  <si>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</si>
  <si>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</si>
  <si>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</si>
  <si>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</si>
  <si>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</si>
  <si>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</si>
  <si>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</si>
  <si>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</si>
  <si>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</si>
  <si>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</si>
  <si>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</si>
  <si>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</si>
  <si>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</si>
  <si>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</si>
  <si>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</si>
  <si>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</si>
  <si>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</si>
  <si>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</si>
  <si>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</si>
  <si>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</si>
  <si>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</si>
  <si>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</si>
  <si>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</si>
  <si>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</si>
  <si>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</si>
  <si>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</si>
  <si>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</si>
  <si>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</si>
  <si>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</si>
  <si>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</si>
  <si>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</si>
  <si>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</si>
  <si>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</si>
  <si>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</si>
  <si>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</si>
  <si>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</si>
  <si>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</si>
  <si>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</si>
  <si>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</si>
  <si>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</si>
  <si>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</si>
  <si>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</si>
  <si>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</si>
  <si>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</si>
  <si>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</si>
  <si>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</si>
  <si>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</si>
  <si>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</si>
  <si>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</si>
  <si>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</si>
  <si>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</si>
  <si>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</si>
  <si>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</si>
  <si>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</si>
  <si>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</si>
  <si>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</si>
  <si>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</si>
  <si>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</si>
  <si>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</si>
  <si>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</si>
  <si>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</si>
  <si>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</si>
  <si>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</si>
  <si>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</si>
  <si>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</si>
  <si>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</si>
  <si>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</si>
  <si>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</si>
  <si>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</si>
  <si>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</si>
  <si>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</si>
  <si>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</si>
  <si>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</si>
  <si>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</si>
  <si>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</si>
  <si>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</si>
  <si>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</si>
  <si>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</si>
  <si>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</si>
  <si>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</si>
  <si>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</si>
  <si>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</si>
  <si>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</si>
  <si>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</si>
  <si>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</si>
  <si>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</si>
  <si>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</si>
  <si>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</si>
  <si>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</si>
  <si>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</si>
  <si>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</si>
  <si>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</si>
  <si>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</si>
  <si>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</si>
  <si>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</si>
  <si>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</si>
  <si>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</si>
  <si>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</si>
  <si>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</si>
  <si>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</si>
  <si>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</si>
  <si>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</si>
  <si>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</si>
  <si>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</si>
  <si>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</si>
  <si>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</si>
  <si>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</si>
  <si>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</si>
  <si>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</si>
  <si>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</si>
  <si>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</si>
  <si>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</si>
  <si>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</si>
  <si>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</si>
  <si>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</si>
  <si>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</si>
  <si>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</si>
  <si>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</si>
  <si>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</si>
  <si>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</si>
  <si>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</si>
  <si>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</si>
  <si>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</si>
  <si>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</si>
  <si>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</si>
  <si>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</si>
  <si>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</si>
  <si>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</si>
  <si>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</si>
  <si>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</si>
  <si>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</si>
  <si>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</si>
  <si>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</si>
  <si>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</si>
  <si>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</si>
  <si>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</si>
  <si>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</si>
  <si>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</si>
  <si>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</si>
  <si>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</si>
  <si>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</si>
  <si>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</si>
  <si>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</si>
  <si>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</si>
  <si>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</si>
  <si>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</si>
  <si>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</si>
  <si>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</si>
  <si>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</si>
  <si>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</si>
  <si>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</si>
  <si>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</si>
  <si>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</si>
  <si>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</si>
  <si>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</si>
  <si>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</si>
  <si>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</si>
  <si>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</si>
  <si>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</si>
  <si>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</si>
  <si>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</si>
  <si>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</si>
  <si>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</si>
  <si>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</si>
  <si>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</si>
  <si>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</si>
  <si>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</si>
  <si>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</si>
  <si>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</si>
  <si>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</si>
  <si>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</si>
  <si>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</si>
  <si>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</si>
  <si>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</si>
  <si>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</si>
  <si>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</si>
  <si>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</si>
  <si>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</si>
  <si>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</si>
  <si>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</si>
  <si>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</si>
  <si>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</si>
  <si>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</si>
  <si>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</si>
  <si>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</si>
  <si>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</si>
  <si>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</si>
  <si>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</si>
  <si>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</si>
  <si>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</si>
  <si>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</si>
  <si>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</si>
  <si>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</si>
  <si>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</si>
  <si>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</si>
  <si>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</si>
  <si>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</si>
  <si>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</si>
  <si>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</si>
  <si>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</si>
  <si>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</si>
  <si>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</si>
  <si>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</si>
  <si>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</si>
  <si>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</si>
  <si>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</si>
  <si>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</si>
  <si>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</si>
  <si>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</si>
  <si>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</si>
  <si>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</si>
  <si>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</si>
  <si>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</si>
  <si>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</si>
  <si>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</si>
  <si>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</si>
  <si>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</si>
  <si>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</si>
  <si>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</si>
  <si>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</si>
  <si>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</si>
  <si>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</si>
  <si>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</si>
  <si>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</si>
  <si>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</si>
  <si>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</si>
  <si>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</si>
  <si>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</si>
  <si>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</si>
  <si>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</si>
  <si>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</si>
  <si>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</si>
  <si>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</si>
  <si>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</si>
  <si>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</si>
  <si>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</si>
  <si>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</si>
  <si>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</si>
  <si>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</si>
  <si>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</si>
  <si>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</si>
  <si>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</si>
  <si>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</si>
  <si>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</si>
  <si>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</si>
  <si>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</si>
  <si>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</si>
  <si>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</si>
  <si>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</si>
  <si>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</si>
  <si>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</si>
  <si>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</si>
  <si>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</si>
  <si>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</si>
  <si>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</si>
  <si>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</si>
  <si>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</si>
  <si>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</si>
  <si>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</si>
  <si>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</si>
  <si>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</si>
  <si>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</si>
  <si>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</si>
  <si>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</si>
  <si>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</si>
  <si>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</si>
  <si>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</si>
  <si>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</si>
  <si>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</si>
  <si>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</si>
  <si>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</si>
  <si>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</si>
  <si>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</si>
  <si>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</si>
  <si>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</si>
  <si>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</si>
  <si>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</si>
  <si>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</si>
  <si>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</si>
  <si>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</si>
  <si>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</si>
  <si>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</si>
  <si>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</si>
  <si>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</si>
  <si>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</si>
  <si>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</si>
  <si>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</si>
  <si>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</si>
  <si>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</si>
  <si>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</si>
  <si>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</si>
  <si>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</si>
  <si>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</si>
  <si>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</si>
  <si>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</si>
  <si>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</si>
  <si>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</si>
  <si>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</si>
  <si>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</si>
  <si>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</si>
  <si>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</si>
  <si>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</si>
  <si>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</si>
  <si>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</si>
  <si>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</si>
  <si>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</si>
  <si>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</si>
  <si>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</si>
  <si>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</si>
  <si>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</si>
  <si>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</si>
  <si>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</si>
  <si>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</si>
  <si>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</si>
  <si>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</si>
  <si>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</si>
  <si>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</si>
  <si>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</si>
  <si>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</si>
  <si>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</si>
  <si>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</si>
  <si>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</si>
  <si>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</si>
  <si>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</si>
  <si>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</si>
  <si>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</si>
  <si>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</si>
  <si>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</si>
  <si>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</si>
  <si>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</si>
  <si>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</si>
  <si>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</si>
  <si>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</si>
  <si>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</si>
  <si>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</si>
  <si>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</si>
  <si>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</si>
  <si>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</si>
  <si>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</si>
  <si>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</si>
  <si>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</si>
  <si>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</si>
  <si>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</si>
  <si>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</si>
  <si>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</si>
  <si>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</si>
  <si>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</si>
  <si>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</si>
  <si>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</si>
  <si>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</si>
  <si>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</si>
  <si>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</si>
  <si>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</si>
  <si>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</si>
  <si>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</si>
  <si>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</si>
  <si>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</si>
  <si>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</si>
  <si>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</si>
  <si>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</si>
  <si>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</si>
  <si>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</si>
  <si>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</si>
  <si>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</si>
  <si>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</si>
  <si>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</si>
  <si>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</si>
  <si>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</si>
  <si>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</si>
  <si>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</si>
  <si>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</si>
  <si>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</si>
  <si>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</si>
  <si>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</si>
  <si>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</si>
  <si>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</si>
  <si>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</si>
  <si>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</si>
  <si>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</si>
  <si>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</si>
  <si>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</si>
  <si>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</si>
  <si>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</si>
  <si>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</si>
  <si>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</si>
  <si>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</si>
  <si>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</si>
  <si>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</si>
  <si>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</si>
  <si>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</si>
  <si>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</si>
  <si>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</si>
  <si>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</si>
  <si>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</si>
  <si>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</si>
  <si>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</si>
  <si>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</si>
  <si>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</si>
  <si>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</si>
  <si>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</si>
  <si>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</si>
  <si>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</si>
  <si>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</si>
  <si>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</si>
  <si>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</si>
  <si>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</si>
  <si>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</si>
  <si>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</si>
  <si>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</si>
  <si>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</si>
  <si>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</si>
  <si>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</si>
  <si>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</si>
  <si>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</si>
  <si>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</si>
  <si>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</si>
  <si>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</si>
  <si>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</si>
  <si>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</si>
  <si>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</si>
  <si>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</si>
  <si>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</si>
  <si>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</si>
  <si>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</si>
  <si>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</si>
  <si>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</si>
  <si>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</si>
  <si>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</si>
  <si>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</si>
  <si>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</si>
  <si>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</si>
  <si>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</si>
  <si>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</si>
  <si>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</si>
  <si>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</si>
  <si>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</si>
  <si>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</si>
  <si>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</si>
  <si>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</si>
  <si>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</si>
  <si>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</si>
  <si>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</si>
  <si>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</si>
  <si>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</si>
  <si>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</si>
  <si>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</si>
  <si>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</si>
  <si>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</si>
  <si>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</si>
  <si>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</si>
  <si>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</si>
  <si>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</si>
  <si>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</si>
  <si>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</si>
  <si>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</si>
  <si>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</si>
  <si>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</si>
  <si>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</si>
  <si>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</si>
  <si>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</si>
  <si>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</si>
  <si>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</si>
  <si>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</si>
  <si>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</si>
  <si>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</si>
  <si>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</si>
  <si>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</si>
  <si>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</si>
  <si>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</si>
  <si>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</si>
  <si>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</si>
  <si>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</si>
  <si>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</si>
  <si>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</si>
  <si>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</si>
  <si>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</si>
  <si>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</si>
  <si>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</si>
  <si>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</si>
  <si>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</si>
  <si>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</si>
  <si>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</si>
  <si>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</si>
  <si>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</si>
  <si>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</si>
  <si>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</si>
  <si>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</si>
  <si>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</si>
  <si>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</si>
  <si>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</si>
  <si>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</si>
  <si>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</si>
  <si>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</si>
  <si>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</si>
  <si>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</si>
  <si>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</si>
  <si>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</si>
  <si>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</si>
  <si>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</si>
  <si>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</si>
  <si>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</si>
  <si>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</si>
  <si>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</si>
  <si>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</si>
  <si>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</si>
  <si>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</si>
  <si>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</si>
  <si>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</si>
  <si>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</si>
  <si>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</si>
  <si>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</si>
  <si>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</si>
  <si>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</si>
  <si>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</si>
  <si>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</si>
  <si>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</si>
  <si>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</si>
  <si>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</si>
  <si>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</si>
  <si>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</si>
  <si>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</si>
  <si>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</si>
  <si>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</si>
  <si>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</si>
  <si>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</si>
  <si>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</si>
  <si>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</si>
  <si>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</si>
  <si>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</si>
  <si>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</si>
  <si>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</si>
  <si>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</si>
  <si>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</si>
  <si>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</si>
  <si>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</si>
  <si>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</si>
  <si>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</si>
  <si>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</si>
  <si>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</si>
  <si>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</si>
  <si>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</si>
  <si>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</si>
  <si>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</si>
  <si>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</si>
  <si>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</si>
  <si>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</si>
  <si>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</si>
  <si>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</si>
  <si>
    <t>F:\ILIKEMAKE2017\AutoCode_SaveData\Web\</t>
    <phoneticPr fontId="5"/>
  </si>
  <si>
    <t>寝室</t>
    <phoneticPr fontId="5"/>
  </si>
  <si>
    <t>公司</t>
    <phoneticPr fontId="5"/>
  </si>
  <si>
    <t>Provider=SQLOLEDB.1;Data Source=WIN7U-20150705K\R2; Initial Catalog=auto_code_savedata;Persist Security Info=True;User ID=sa;Password=1983313a</t>
    <phoneticPr fontId="5"/>
  </si>
  <si>
    <t>Provider=SQLOLEDB.1;Data Source=WIN7U-20150705K\R2; Initial Catalog=auto_code;Persist Security Info=True;User ID=sa;Password=1983313a</t>
    <phoneticPr fontId="5"/>
  </si>
  <si>
    <t>Provider=SQLOLEDB.1;Data Source=WIN7U-20150705K\R2; Initial Catalog=auto_code_savedata;Persist Security Info=True;User ID=sa;Password=1983313a</t>
    <phoneticPr fontId="5"/>
  </si>
  <si>
    <t>●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</si>
</sst>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1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6" borderId="14" xfId="0" applyFont="1" applyFill="1" applyBorder="1" applyAlignment="1">
      <alignment horizontal="left"/>
    </xf>
    <xf numFmtId="0" fontId="26" fillId="11" borderId="14" xfId="0" quotePrefix="1" applyFont="1" applyFill="1" applyBorder="1"/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xmlns="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  <a:ext uri="{FF2B5EF4-FFF2-40B4-BE49-F238E27FC236}">
                  <a16:creationId xmlns:a16="http://schemas.microsoft.com/office/drawing/2014/main" xmlns="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xmlns="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xmlns="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xmlns="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xmlns="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xmlns="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xmlns="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xmlns="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xmlns="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:a16="http://schemas.microsoft.com/office/drawing/2014/main" xmlns="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:a16="http://schemas.microsoft.com/office/drawing/2014/main" xmlns="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:a16="http://schemas.microsoft.com/office/drawing/2014/main" xmlns="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:a16="http://schemas.microsoft.com/office/drawing/2014/main" xmlns="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:a16="http://schemas.microsoft.com/office/drawing/2014/main" xmlns="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:a16="http://schemas.microsoft.com/office/drawing/2014/main" xmlns="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:a16="http://schemas.microsoft.com/office/drawing/2014/main" xmlns="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xmlns="" id="{00000000-0008-0000-08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xmlns="" id="{00000000-0008-0000-08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:a16="http://schemas.microsoft.com/office/drawing/2014/main" xmlns="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:a16="http://schemas.microsoft.com/office/drawing/2014/main" xmlns="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:a16="http://schemas.microsoft.com/office/drawing/2014/main" xmlns="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:a16="http://schemas.microsoft.com/office/drawing/2014/main" xmlns="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:a16="http://schemas.microsoft.com/office/drawing/2014/main" xmlns="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:a16="http://schemas.microsoft.com/office/drawing/2014/main" xmlns="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:a16="http://schemas.microsoft.com/office/drawing/2014/main" xmlns="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:a16="http://schemas.microsoft.com/office/drawing/2014/main" xmlns="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16" sqref="C1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opLeftCell="A4" zoomScaleNormal="100" workbookViewId="0">
      <selection activeCell="J18" sqref="J1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683</v>
      </c>
      <c r="D5" s="160"/>
      <c r="E5" s="161"/>
      <c r="F5" s="162" t="s">
        <v>698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659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661</v>
      </c>
      <c r="C9" s="69" t="s">
        <v>522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 t="s">
        <v>664</v>
      </c>
    </row>
    <row r="10" spans="1:15" ht="11.25">
      <c r="A10" s="69">
        <v>2</v>
      </c>
      <c r="B10" s="68" t="s">
        <v>685</v>
      </c>
      <c r="C10" s="69" t="s">
        <v>684</v>
      </c>
      <c r="D10" s="69" t="s">
        <v>531</v>
      </c>
      <c r="E10" s="69">
        <v>1</v>
      </c>
      <c r="F10" s="69" t="s">
        <v>585</v>
      </c>
      <c r="G10" s="69" t="s">
        <v>586</v>
      </c>
      <c r="H10" s="69"/>
      <c r="I10" s="69"/>
      <c r="J10" s="69"/>
      <c r="K10" s="69" t="s">
        <v>665</v>
      </c>
    </row>
    <row r="11" spans="1:15" ht="11.25">
      <c r="A11" s="69">
        <v>3</v>
      </c>
      <c r="B11" s="68" t="s">
        <v>626</v>
      </c>
      <c r="C11" s="69" t="s">
        <v>627</v>
      </c>
      <c r="D11" s="69" t="s">
        <v>531</v>
      </c>
      <c r="E11" s="69">
        <v>20</v>
      </c>
      <c r="F11" s="69" t="s">
        <v>585</v>
      </c>
      <c r="G11" s="69" t="s">
        <v>586</v>
      </c>
      <c r="H11" s="69"/>
      <c r="I11" s="69"/>
      <c r="J11" s="69"/>
      <c r="K11" s="69" t="s">
        <v>666</v>
      </c>
    </row>
    <row r="12" spans="1:15" ht="11.25">
      <c r="A12" s="69">
        <v>4</v>
      </c>
      <c r="B12" s="68" t="s">
        <v>687</v>
      </c>
      <c r="C12" s="69" t="s">
        <v>686</v>
      </c>
      <c r="D12" s="69" t="s">
        <v>531</v>
      </c>
      <c r="E12" s="69">
        <v>20</v>
      </c>
      <c r="F12" s="69" t="s">
        <v>585</v>
      </c>
      <c r="G12" s="69" t="s">
        <v>586</v>
      </c>
      <c r="H12" s="69"/>
      <c r="I12" s="69"/>
      <c r="J12" s="69"/>
      <c r="K12" s="68" t="s">
        <v>672</v>
      </c>
    </row>
    <row r="13" spans="1:15" ht="11.25">
      <c r="A13" s="69">
        <v>5</v>
      </c>
      <c r="B13" s="68" t="s">
        <v>632</v>
      </c>
      <c r="C13" s="69" t="s">
        <v>519</v>
      </c>
      <c r="D13" s="69" t="s">
        <v>531</v>
      </c>
      <c r="E13" s="69">
        <v>8</v>
      </c>
      <c r="F13" s="69" t="s">
        <v>585</v>
      </c>
      <c r="G13" s="69" t="s">
        <v>586</v>
      </c>
      <c r="H13" s="69"/>
      <c r="I13" s="69"/>
      <c r="J13" s="69"/>
      <c r="K13" s="69" t="s">
        <v>667</v>
      </c>
    </row>
    <row r="14" spans="1:15" ht="11.25">
      <c r="A14" s="69">
        <v>6</v>
      </c>
      <c r="B14" s="68" t="s">
        <v>689</v>
      </c>
      <c r="C14" s="69" t="s">
        <v>688</v>
      </c>
      <c r="D14" s="69" t="s">
        <v>531</v>
      </c>
      <c r="E14" s="69">
        <v>20</v>
      </c>
      <c r="F14" s="69" t="s">
        <v>585</v>
      </c>
      <c r="G14" s="69" t="s">
        <v>586</v>
      </c>
      <c r="H14" s="69"/>
      <c r="I14" s="69"/>
      <c r="J14" s="69"/>
      <c r="K14" s="69" t="s">
        <v>668</v>
      </c>
    </row>
    <row r="15" spans="1:15" ht="11.25">
      <c r="A15" s="69">
        <v>7</v>
      </c>
      <c r="B15" s="68" t="s">
        <v>662</v>
      </c>
      <c r="C15" s="69" t="s">
        <v>679</v>
      </c>
      <c r="D15" s="69" t="s">
        <v>532</v>
      </c>
      <c r="E15" s="69"/>
      <c r="F15" s="69" t="s">
        <v>585</v>
      </c>
      <c r="G15" s="69" t="s">
        <v>586</v>
      </c>
      <c r="H15" s="69"/>
      <c r="I15" s="69"/>
      <c r="J15" s="69"/>
      <c r="K15" s="69" t="s">
        <v>669</v>
      </c>
    </row>
    <row r="16" spans="1:15" ht="11.25">
      <c r="A16" s="69">
        <v>8</v>
      </c>
      <c r="B16" s="68" t="s">
        <v>691</v>
      </c>
      <c r="C16" s="69" t="s">
        <v>690</v>
      </c>
      <c r="D16" s="69" t="s">
        <v>531</v>
      </c>
      <c r="E16" s="69">
        <v>20</v>
      </c>
      <c r="F16" s="69" t="s">
        <v>585</v>
      </c>
      <c r="G16" s="69" t="s">
        <v>586</v>
      </c>
      <c r="H16" s="69"/>
      <c r="I16" s="69"/>
      <c r="J16" s="69"/>
      <c r="K16" s="68" t="s">
        <v>671</v>
      </c>
      <c r="L16" s="8"/>
      <c r="M16" s="14"/>
      <c r="N16" s="15"/>
    </row>
    <row r="17" spans="1:25" ht="11.25">
      <c r="A17" s="69">
        <v>9</v>
      </c>
      <c r="B17" s="68" t="s">
        <v>693</v>
      </c>
      <c r="C17" s="69" t="s">
        <v>692</v>
      </c>
      <c r="D17" s="69" t="s">
        <v>531</v>
      </c>
      <c r="E17" s="69">
        <v>100</v>
      </c>
      <c r="F17" s="69"/>
      <c r="G17" s="69"/>
      <c r="H17" s="69"/>
      <c r="I17" s="69"/>
      <c r="J17" s="69"/>
      <c r="K17" s="68" t="s">
        <v>670</v>
      </c>
    </row>
    <row r="18" spans="1:25" ht="11.25">
      <c r="A18" s="69">
        <v>10</v>
      </c>
      <c r="B18" s="68" t="s">
        <v>673</v>
      </c>
      <c r="C18" s="69" t="s">
        <v>694</v>
      </c>
      <c r="D18" s="69" t="s">
        <v>620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674</v>
      </c>
      <c r="C19" s="69" t="s">
        <v>695</v>
      </c>
      <c r="D19" s="69" t="s">
        <v>620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708</v>
      </c>
      <c r="C20" s="69" t="s">
        <v>624</v>
      </c>
      <c r="D20" s="69" t="s">
        <v>531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675</v>
      </c>
      <c r="C21" s="69" t="s">
        <v>696</v>
      </c>
      <c r="D21" s="69" t="s">
        <v>531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622</v>
      </c>
      <c r="C22" s="69" t="s">
        <v>623</v>
      </c>
      <c r="D22" s="69" t="s">
        <v>697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6" t="s">
        <v>588</v>
      </c>
      <c r="C50" s="137" t="s">
        <v>524</v>
      </c>
      <c r="D50" s="138" t="s">
        <v>525</v>
      </c>
      <c r="E50" s="139" t="s">
        <v>535</v>
      </c>
      <c r="F50" s="140" t="s">
        <v>526</v>
      </c>
      <c r="G50" s="140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40" t="s">
        <v>519</v>
      </c>
      <c r="C51" s="137" t="s">
        <v>520</v>
      </c>
      <c r="D51" s="138" t="s">
        <v>521</v>
      </c>
      <c r="E51" s="139" t="s">
        <v>522</v>
      </c>
      <c r="F51" s="140" t="s">
        <v>523</v>
      </c>
      <c r="G51" s="140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1" t="s">
        <v>576</v>
      </c>
      <c r="C52" s="142" t="s">
        <v>577</v>
      </c>
      <c r="D52" s="143" t="s">
        <v>578</v>
      </c>
      <c r="E52" s="144">
        <v>1</v>
      </c>
      <c r="F52" s="141" t="s">
        <v>579</v>
      </c>
      <c r="G52" s="141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1" t="s">
        <v>581</v>
      </c>
      <c r="C53" s="142" t="s">
        <v>577</v>
      </c>
      <c r="D53" s="143" t="s">
        <v>578</v>
      </c>
      <c r="E53" s="144">
        <v>1</v>
      </c>
      <c r="F53" s="141" t="s">
        <v>579</v>
      </c>
      <c r="G53" s="141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1" t="s">
        <v>582</v>
      </c>
      <c r="C54" s="142" t="s">
        <v>577</v>
      </c>
      <c r="D54" s="143" t="s">
        <v>578</v>
      </c>
      <c r="E54" s="144">
        <v>6</v>
      </c>
      <c r="F54" s="141" t="s">
        <v>579</v>
      </c>
      <c r="G54" s="141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1" t="s">
        <v>583</v>
      </c>
      <c r="C55" s="142" t="s">
        <v>577</v>
      </c>
      <c r="D55" s="143" t="s">
        <v>578</v>
      </c>
      <c r="E55" s="144">
        <v>3</v>
      </c>
      <c r="F55" s="141" t="s">
        <v>579</v>
      </c>
      <c r="G55" s="141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699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626</v>
      </c>
      <c r="C9" s="69" t="s">
        <v>627</v>
      </c>
      <c r="D9" s="69" t="s">
        <v>531</v>
      </c>
      <c r="E9" s="69">
        <v>20</v>
      </c>
      <c r="F9" s="69" t="s">
        <v>585</v>
      </c>
      <c r="G9" s="69" t="s">
        <v>586</v>
      </c>
      <c r="H9" s="69"/>
      <c r="I9" s="69"/>
      <c r="J9" s="69"/>
      <c r="K9" s="69" t="s">
        <v>643</v>
      </c>
    </row>
    <row r="10" spans="1:15" ht="11.25">
      <c r="A10" s="69">
        <v>2</v>
      </c>
      <c r="B10" s="68" t="s">
        <v>700</v>
      </c>
      <c r="C10" s="70" t="s">
        <v>701</v>
      </c>
      <c r="D10" s="71" t="s">
        <v>663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6" t="s">
        <v>637</v>
      </c>
      <c r="C39" s="154"/>
      <c r="D39" s="155"/>
      <c r="E39" s="156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40" t="s">
        <v>627</v>
      </c>
      <c r="C40" s="154"/>
      <c r="D40" s="155"/>
      <c r="E40" s="156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1" t="s">
        <v>635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1" t="s">
        <v>634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636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29" sqref="C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629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648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68" t="s">
        <v>649</v>
      </c>
      <c r="C10" s="69" t="s">
        <v>647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703</v>
      </c>
      <c r="C11" s="70" t="s">
        <v>702</v>
      </c>
      <c r="D11" s="71" t="s">
        <v>704</v>
      </c>
      <c r="E11" s="71">
        <v>1</v>
      </c>
      <c r="F11" s="72"/>
      <c r="G11" s="69"/>
      <c r="H11" s="71"/>
      <c r="I11" s="71"/>
      <c r="J11" s="71"/>
      <c r="K11" s="70" t="s">
        <v>705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677</v>
      </c>
      <c r="D5" s="160"/>
      <c r="E5" s="161"/>
      <c r="F5" s="162" t="s">
        <v>682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678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7" t="s">
        <v>662</v>
      </c>
      <c r="C9" s="69" t="s">
        <v>679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157" t="s">
        <v>706</v>
      </c>
      <c r="C10" s="69" t="s">
        <v>680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57" t="s">
        <v>707</v>
      </c>
      <c r="C11" s="70" t="s">
        <v>681</v>
      </c>
      <c r="D11" s="69" t="s">
        <v>531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528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9" t="s">
        <v>658</v>
      </c>
      <c r="D5" s="160"/>
      <c r="E5" s="161"/>
      <c r="F5" s="162" t="s">
        <v>633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628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652</v>
      </c>
      <c r="C9" s="69" t="s">
        <v>651</v>
      </c>
      <c r="D9" s="69" t="s">
        <v>621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25" ht="11.25">
      <c r="A10" s="69">
        <v>2</v>
      </c>
      <c r="B10" s="68" t="s">
        <v>653</v>
      </c>
      <c r="C10" s="69" t="s">
        <v>654</v>
      </c>
      <c r="D10" s="69" t="s">
        <v>531</v>
      </c>
      <c r="E10" s="69">
        <v>100</v>
      </c>
      <c r="F10" s="69" t="s">
        <v>585</v>
      </c>
      <c r="G10" s="69" t="s">
        <v>586</v>
      </c>
      <c r="H10" s="69"/>
      <c r="I10" s="69"/>
      <c r="J10" s="69"/>
      <c r="K10" s="69"/>
    </row>
    <row r="11" spans="1:25" ht="11.25">
      <c r="A11" s="69">
        <v>3</v>
      </c>
      <c r="B11" s="68" t="s">
        <v>632</v>
      </c>
      <c r="C11" s="69" t="s">
        <v>519</v>
      </c>
      <c r="D11" s="69" t="s">
        <v>531</v>
      </c>
      <c r="E11" s="69">
        <v>8</v>
      </c>
      <c r="F11" s="69" t="s">
        <v>585</v>
      </c>
      <c r="G11" s="69" t="s">
        <v>586</v>
      </c>
      <c r="H11" s="69"/>
      <c r="I11" s="69"/>
      <c r="J11" s="69"/>
      <c r="K11" s="69" t="s">
        <v>657</v>
      </c>
    </row>
    <row r="12" spans="1:25" ht="11.25">
      <c r="A12" s="69">
        <v>4</v>
      </c>
      <c r="B12" s="68" t="s">
        <v>626</v>
      </c>
      <c r="C12" s="69" t="s">
        <v>627</v>
      </c>
      <c r="D12" s="69" t="s">
        <v>531</v>
      </c>
      <c r="E12" s="69">
        <v>16</v>
      </c>
      <c r="F12" s="69" t="s">
        <v>585</v>
      </c>
      <c r="G12" s="69" t="s">
        <v>586</v>
      </c>
      <c r="H12" s="69"/>
      <c r="I12" s="69"/>
      <c r="J12" s="69"/>
      <c r="K12" s="69"/>
    </row>
    <row r="13" spans="1:25" ht="11.25">
      <c r="A13" s="69">
        <v>5</v>
      </c>
      <c r="B13" s="68" t="s">
        <v>656</v>
      </c>
      <c r="C13" s="69" t="s">
        <v>655</v>
      </c>
      <c r="D13" s="69" t="s">
        <v>638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9"/>
    </row>
    <row r="14" spans="1:25" ht="11.25">
      <c r="A14" s="69">
        <v>6</v>
      </c>
      <c r="B14" s="68" t="s">
        <v>641</v>
      </c>
      <c r="C14" s="69" t="s">
        <v>639</v>
      </c>
      <c r="D14" s="69" t="s">
        <v>620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642</v>
      </c>
      <c r="C15" s="69" t="s">
        <v>640</v>
      </c>
      <c r="D15" s="69" t="s">
        <v>620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625</v>
      </c>
      <c r="C16" s="69" t="s">
        <v>624</v>
      </c>
      <c r="D16" s="69" t="s">
        <v>531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622</v>
      </c>
      <c r="C17" s="69" t="s">
        <v>623</v>
      </c>
      <c r="D17" s="69" t="s">
        <v>646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6" t="s">
        <v>588</v>
      </c>
      <c r="C48" s="137" t="s">
        <v>524</v>
      </c>
      <c r="D48" s="138" t="s">
        <v>525</v>
      </c>
      <c r="E48" s="139" t="s">
        <v>535</v>
      </c>
      <c r="F48" s="140" t="s">
        <v>526</v>
      </c>
      <c r="G48" s="140" t="s">
        <v>575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40" t="s">
        <v>519</v>
      </c>
      <c r="C49" s="137" t="s">
        <v>520</v>
      </c>
      <c r="D49" s="138" t="s">
        <v>521</v>
      </c>
      <c r="E49" s="139" t="s">
        <v>522</v>
      </c>
      <c r="F49" s="140" t="s">
        <v>523</v>
      </c>
      <c r="G49" s="140" t="s">
        <v>527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1" t="s">
        <v>576</v>
      </c>
      <c r="C50" s="142" t="s">
        <v>577</v>
      </c>
      <c r="D50" s="143" t="s">
        <v>578</v>
      </c>
      <c r="E50" s="144">
        <v>1</v>
      </c>
      <c r="F50" s="141" t="s">
        <v>579</v>
      </c>
      <c r="G50" s="141" t="s">
        <v>580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1" t="s">
        <v>581</v>
      </c>
      <c r="C51" s="142" t="s">
        <v>577</v>
      </c>
      <c r="D51" s="143" t="s">
        <v>578</v>
      </c>
      <c r="E51" s="144">
        <v>1</v>
      </c>
      <c r="F51" s="141" t="s">
        <v>579</v>
      </c>
      <c r="G51" s="141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1" t="s">
        <v>582</v>
      </c>
      <c r="C52" s="142" t="s">
        <v>577</v>
      </c>
      <c r="D52" s="143" t="s">
        <v>578</v>
      </c>
      <c r="E52" s="144">
        <v>6</v>
      </c>
      <c r="F52" s="141" t="s">
        <v>579</v>
      </c>
      <c r="G52" s="141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1" t="s">
        <v>583</v>
      </c>
      <c r="C53" s="142" t="s">
        <v>577</v>
      </c>
      <c r="D53" s="143" t="s">
        <v>578</v>
      </c>
      <c r="E53" s="144">
        <v>3</v>
      </c>
      <c r="F53" s="141" t="s">
        <v>579</v>
      </c>
      <c r="G53" s="141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3"/>
  <sheetViews>
    <sheetView tabSelected="1" zoomScale="85" zoomScaleNormal="85" workbookViewId="0">
      <selection activeCell="B17" sqref="B17"/>
    </sheetView>
  </sheetViews>
  <sheetFormatPr defaultColWidth="9.140625" defaultRowHeight="14.25"/>
  <cols>
    <col min="1" max="1" width="22.5703125" style="151" customWidth="1"/>
    <col min="2" max="2" width="133.28515625" style="147" customWidth="1"/>
    <col min="3" max="16384" width="9.140625" style="147"/>
  </cols>
  <sheetData>
    <row r="1" spans="1:2">
      <c r="A1" s="146" t="s">
        <v>617</v>
      </c>
      <c r="B1" s="145" t="s">
        <v>712</v>
      </c>
    </row>
    <row r="2" spans="1:2">
      <c r="A2" s="146" t="s">
        <v>42</v>
      </c>
      <c r="B2" s="145" t="str">
        <f>GetConnDataByKey(B$1,A2)</f>
        <v>WIN7U-20150705K\R2</v>
      </c>
    </row>
    <row r="3" spans="1:2">
      <c r="A3" s="146" t="s">
        <v>43</v>
      </c>
      <c r="B3" s="145" t="str">
        <f>GetConnDataByKey(B$1,A3)</f>
        <v>auto_code_savedata</v>
      </c>
    </row>
    <row r="4" spans="1:2" s="149" customFormat="1">
      <c r="A4" s="148" t="s">
        <v>618</v>
      </c>
      <c r="B4" s="145" t="s">
        <v>713</v>
      </c>
    </row>
    <row r="5" spans="1:2" s="149" customFormat="1">
      <c r="A5" s="148" t="s">
        <v>42</v>
      </c>
      <c r="B5" s="145" t="str">
        <f>GetConnDataByKey(B$1,A5)</f>
        <v>WIN7U-20150705K\R2</v>
      </c>
    </row>
    <row r="6" spans="1:2" s="149" customFormat="1">
      <c r="A6" s="148" t="s">
        <v>43</v>
      </c>
      <c r="B6" s="145" t="str">
        <f>GetConnDataByKey(B$4,A6)</f>
        <v>auto_code</v>
      </c>
    </row>
    <row r="7" spans="1:2" s="149" customFormat="1">
      <c r="A7" s="153" t="s">
        <v>589</v>
      </c>
      <c r="B7" s="145" t="s">
        <v>709</v>
      </c>
    </row>
    <row r="8" spans="1:2" s="149" customFormat="1">
      <c r="A8" s="153" t="s">
        <v>644</v>
      </c>
      <c r="B8" s="145" t="str">
        <f>B7 &amp; "App_Code\Lixil.SA.BizLogic\"</f>
        <v>F:\ILIKEMAKE2017\AutoCode_SaveData\Web\App_Code\Lixil.SA.BizLogic\</v>
      </c>
    </row>
    <row r="9" spans="1:2" s="149" customFormat="1">
      <c r="A9" s="153" t="s">
        <v>645</v>
      </c>
      <c r="B9" s="145" t="str">
        <f>B7 &amp; "App_Code\Lixil.SA.DataAccess\"</f>
        <v>F:\ILIKEMAKE2017\AutoCode_SaveData\Web\App_Code\Lixil.SA.DataAccess\</v>
      </c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549</v>
      </c>
      <c r="B22" s="78"/>
    </row>
    <row r="23" spans="1:2">
      <c r="A23" s="152" t="s">
        <v>550</v>
      </c>
      <c r="B23" s="145" t="s">
        <v>530</v>
      </c>
    </row>
    <row r="24" spans="1:2">
      <c r="A24" s="152" t="s">
        <v>565</v>
      </c>
      <c r="B24" s="145" t="s">
        <v>593</v>
      </c>
    </row>
    <row r="25" spans="1:2">
      <c r="A25" s="152" t="s">
        <v>552</v>
      </c>
      <c r="B25" s="145" t="s">
        <v>551</v>
      </c>
    </row>
    <row r="26" spans="1:2">
      <c r="A26" s="152" t="s">
        <v>564</v>
      </c>
      <c r="B26" s="145" t="s">
        <v>44</v>
      </c>
    </row>
    <row r="27" spans="1:2">
      <c r="A27" s="152" t="s">
        <v>563</v>
      </c>
      <c r="B27" s="145" t="s">
        <v>553</v>
      </c>
    </row>
    <row r="28" spans="1:2">
      <c r="A28" s="153" t="s">
        <v>710</v>
      </c>
      <c r="B28" s="158" t="s">
        <v>714</v>
      </c>
    </row>
    <row r="29" spans="1:2">
      <c r="B29" s="158" t="s">
        <v>713</v>
      </c>
    </row>
    <row r="30" spans="1:2">
      <c r="A30" s="151" t="s">
        <v>676</v>
      </c>
      <c r="B30" s="145" t="s">
        <v>660</v>
      </c>
    </row>
    <row r="31" spans="1:2">
      <c r="B31" s="145"/>
    </row>
    <row r="32" spans="1:2">
      <c r="B32" s="145"/>
    </row>
    <row r="33" spans="1:2">
      <c r="B33" s="145"/>
    </row>
    <row r="34" spans="1:2">
      <c r="A34" s="153" t="s">
        <v>711</v>
      </c>
      <c r="B34" s="145" t="s">
        <v>650</v>
      </c>
    </row>
    <row r="35" spans="1:2">
      <c r="A35" s="153" t="s">
        <v>710</v>
      </c>
      <c r="B35" s="145" t="s">
        <v>709</v>
      </c>
    </row>
    <row r="36" spans="1:2">
      <c r="A36" s="153"/>
      <c r="B36" s="145"/>
    </row>
    <row r="143" spans="5:5">
      <c r="E143" s="147" t="s">
        <v>715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00000000000001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8"/>
      <c r="D5" s="169"/>
      <c r="E5" s="170"/>
      <c r="F5" s="171"/>
      <c r="G5" s="172"/>
      <c r="H5" s="172"/>
      <c r="I5" s="172"/>
      <c r="J5" s="172"/>
      <c r="K5" s="173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7"/>
      <c r="D6" s="178"/>
      <c r="E6" s="179"/>
      <c r="F6" s="174"/>
      <c r="G6" s="175"/>
      <c r="H6" s="175"/>
      <c r="I6" s="175"/>
      <c r="J6" s="175"/>
      <c r="K6" s="176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594</v>
      </c>
    </row>
    <row r="11" spans="2:2">
      <c r="B11" t="s">
        <v>595</v>
      </c>
    </row>
    <row r="12" spans="2:2">
      <c r="B12" t="s">
        <v>547</v>
      </c>
    </row>
    <row r="13" spans="2:2">
      <c r="B13" t="s">
        <v>596</v>
      </c>
    </row>
    <row r="14" spans="2:2">
      <c r="B14" t="s">
        <v>597</v>
      </c>
    </row>
    <row r="15" spans="2:2">
      <c r="B15" t="s">
        <v>598</v>
      </c>
    </row>
    <row r="16" spans="2:2">
      <c r="B16" t="s">
        <v>599</v>
      </c>
    </row>
    <row r="17" spans="2:2">
      <c r="B17" t="s">
        <v>600</v>
      </c>
    </row>
    <row r="18" spans="2:2">
      <c r="B18" t="s">
        <v>601</v>
      </c>
    </row>
    <row r="19" spans="2:2">
      <c r="B19" t="s">
        <v>548</v>
      </c>
    </row>
    <row r="20" spans="2:2">
      <c r="B20" t="s">
        <v>602</v>
      </c>
    </row>
    <row r="21" spans="2:2">
      <c r="B21" t="s">
        <v>584</v>
      </c>
    </row>
    <row r="22" spans="2:2">
      <c r="B22" t="s">
        <v>603</v>
      </c>
    </row>
    <row r="23" spans="2:2">
      <c r="B23" t="s">
        <v>604</v>
      </c>
    </row>
    <row r="24" spans="2:2">
      <c r="B24" t="s">
        <v>605</v>
      </c>
    </row>
    <row r="25" spans="2:2">
      <c r="B25" t="s">
        <v>606</v>
      </c>
    </row>
    <row r="26" spans="2:2">
      <c r="B26" t="s">
        <v>607</v>
      </c>
    </row>
    <row r="27" spans="2:2">
      <c r="B27" t="s">
        <v>608</v>
      </c>
    </row>
    <row r="28" spans="2:2">
      <c r="B28" t="s">
        <v>609</v>
      </c>
    </row>
    <row r="29" spans="2:2">
      <c r="B29" t="s">
        <v>610</v>
      </c>
    </row>
    <row r="30" spans="2:2">
      <c r="B30" t="s">
        <v>611</v>
      </c>
    </row>
    <row r="31" spans="2:2">
      <c r="B31" t="s">
        <v>612</v>
      </c>
    </row>
    <row r="32" spans="2:2">
      <c r="B32" t="s">
        <v>613</v>
      </c>
    </row>
    <row r="33" spans="2:2">
      <c r="B33" t="s">
        <v>614</v>
      </c>
    </row>
    <row r="34" spans="2:2">
      <c r="B34" t="s">
        <v>615</v>
      </c>
    </row>
    <row r="35" spans="2:2">
      <c r="B35" t="s">
        <v>616</v>
      </c>
    </row>
  </sheetData>
  <phoneticPr fontId="5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 ht="13.5">
      <c r="C11" s="135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534</v>
      </c>
    </row>
    <row r="2" spans="1:6">
      <c r="A2" s="180" t="s">
        <v>46</v>
      </c>
      <c r="B2" s="180"/>
      <c r="C2" s="180"/>
      <c r="D2" s="180" t="s">
        <v>47</v>
      </c>
      <c r="E2" s="180"/>
      <c r="F2" s="180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D15" sqref="D15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36</vt:i4>
      </vt:variant>
    </vt:vector>
  </HeadingPairs>
  <TitlesOfParts>
    <vt:vector size="50" baseType="lpstr"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m_data!Naiyou</vt:lpstr>
      <vt:lpstr>m_data_job!Naiyou</vt:lpstr>
      <vt:lpstr>m_db_connect_no!Naiyou</vt:lpstr>
      <vt:lpstr>m_edp!Naiyou</vt:lpstr>
      <vt:lpstr>m_system_name!Naiyou</vt:lpstr>
      <vt:lpstr>TABLE_TMP!Naiyou</vt:lpstr>
      <vt:lpstr>m_data!name</vt:lpstr>
      <vt:lpstr>m_data_job!name</vt:lpstr>
      <vt:lpstr>m_db_connect_no!name</vt:lpstr>
      <vt:lpstr>m_edp!name</vt:lpstr>
      <vt:lpstr>m_system_name!name</vt:lpstr>
      <vt:lpstr>TABLE_TMP!name</vt:lpstr>
      <vt:lpstr>m_data!Print_Area</vt:lpstr>
      <vt:lpstr>m_data_job!Print_Area</vt:lpstr>
      <vt:lpstr>m_db_connect_no!Print_Area</vt:lpstr>
      <vt:lpstr>m_edp!Print_Area</vt:lpstr>
      <vt:lpstr>m_system_name!Print_Area</vt:lpstr>
      <vt:lpstr>TABLE_TMP!Print_Area</vt:lpstr>
      <vt:lpstr>m_data!Print_Titles</vt:lpstr>
      <vt:lpstr>m_data_job!Print_Titles</vt:lpstr>
      <vt:lpstr>m_db_connect_no!Print_Titles</vt:lpstr>
      <vt:lpstr>m_edp!Print_Titles</vt:lpstr>
      <vt:lpstr>m_system_name!Print_Titles</vt:lpstr>
      <vt:lpstr>TABLE_TMP!Print_Titles</vt:lpstr>
      <vt:lpstr>m_data!TBL_Name</vt:lpstr>
      <vt:lpstr>m_data_job!TBL_Name</vt:lpstr>
      <vt:lpstr>m_db_connect_no!TBL_Name</vt:lpstr>
      <vt:lpstr>m_edp!TBL_Name</vt:lpstr>
      <vt:lpstr>m_system_name!TBL_Name</vt:lpstr>
      <vt:lpstr>TABLE_TMP!TBL_Name</vt:lpstr>
      <vt:lpstr>m_data!TYPE</vt:lpstr>
      <vt:lpstr>m_data_job!TYPE</vt:lpstr>
      <vt:lpstr>m_db_connect_no!TYPE</vt:lpstr>
      <vt:lpstr>m_edp!TYPE</vt:lpstr>
      <vt:lpstr>m_system_name!TYPE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2018-12-11T08:49:26Z</dcterms:modified>
</cp:coreProperties>
</file>