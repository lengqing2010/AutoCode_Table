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omments5.xml" ContentType="application/vnd.openxmlformats-officedocument.spreadsheetml.comments+xml"/>
  <Override PartName="/xl/drawings/drawing6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omments6.xml" ContentType="application/vnd.openxmlformats-officedocument.spreadsheetml.comment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ILIKEMAKE2017\AutoCode_Table\"/>
    </mc:Choice>
  </mc:AlternateContent>
  <bookViews>
    <workbookView xWindow="0" yWindow="0" windowWidth="28800" windowHeight="11895" tabRatio="790" activeTab="7"/>
  </bookViews>
  <sheets>
    <sheet name="システムMENU" sheetId="93" r:id="rId1"/>
    <sheet name="m_data_job" sheetId="98" r:id="rId2"/>
    <sheet name="m_system_name" sheetId="97" r:id="rId3"/>
    <sheet name="m_edp" sheetId="96" r:id="rId4"/>
    <sheet name="m_db_connect_no" sheetId="99" r:id="rId5"/>
    <sheet name="m_data" sheetId="85" r:id="rId6"/>
    <sheet name="→" sheetId="90" r:id="rId7"/>
    <sheet name="DB_INFO" sheetId="89" r:id="rId8"/>
    <sheet name="TABLE_TMP" sheetId="94" r:id="rId9"/>
    <sheet name="GetTableNameList" sheetId="92" r:id="rId10"/>
    <sheet name="CopyTable" sheetId="91" r:id="rId11"/>
    <sheet name="DB_CHANGE_TABLE" sheetId="87" r:id="rId12"/>
    <sheet name="DB_REP" sheetId="88" r:id="rId13"/>
    <sheet name="ENV" sheetId="83" r:id="rId14"/>
  </sheets>
  <functionGroups builtInGroupCount="18"/>
  <definedNames>
    <definedName name="_Fill" localSheetId="7" hidden="1">#REF!</definedName>
    <definedName name="_Fill" localSheetId="13" hidden="1">#REF!</definedName>
    <definedName name="_Fill" localSheetId="5" hidden="1">#REF!</definedName>
    <definedName name="_Fill" localSheetId="1" hidden="1">#REF!</definedName>
    <definedName name="_Fill" localSheetId="4" hidden="1">#REF!</definedName>
    <definedName name="_Fill" localSheetId="3" hidden="1">#REF!</definedName>
    <definedName name="_Fill" localSheetId="2" hidden="1">#REF!</definedName>
    <definedName name="_Fill" localSheetId="8" hidden="1">#REF!</definedName>
    <definedName name="_Fill" hidden="1">#REF!</definedName>
    <definedName name="_Order1" hidden="1">1</definedName>
    <definedName name="_Order2" hidden="1">1</definedName>
    <definedName name="cboTYPE_Click" localSheetId="13">ENV!cboTYPE_Click</definedName>
    <definedName name="cboTYPE_Click" localSheetId="5">m_data!cboTYPE_Click</definedName>
    <definedName name="cboTYPE_Click" localSheetId="1">m_data_job!cboTYPE_Click</definedName>
    <definedName name="cboTYPE_Click" localSheetId="4">m_db_connect_no!cboTYPE_Click</definedName>
    <definedName name="cboTYPE_Click" localSheetId="3">m_edp!cboTYPE_Click</definedName>
    <definedName name="cboTYPE_Click" localSheetId="2">m_system_name!cboTYPE_Click</definedName>
    <definedName name="cboTYPE_Click" localSheetId="8">TABLE_TMP!cboTYPE_Click</definedName>
    <definedName name="cboTYPE_Click">[0]!cboTYPE_Click</definedName>
    <definedName name="IDX_NEXT" localSheetId="5">m_data!#REF!</definedName>
    <definedName name="IDX_NEXT" localSheetId="1">m_data_job!#REF!</definedName>
    <definedName name="IDX_NEXT" localSheetId="4">m_db_connect_no!#REF!</definedName>
    <definedName name="IDX_NEXT" localSheetId="3">m_edp!#REF!</definedName>
    <definedName name="IDX_NEXT" localSheetId="2">m_system_name!#REF!</definedName>
    <definedName name="IDX_NEXT" localSheetId="8">TABLE_TMP!#REF!</definedName>
    <definedName name="IDX_PctFree" localSheetId="5">m_data!#REF!</definedName>
    <definedName name="IDX_PctFree" localSheetId="1">m_data_job!#REF!</definedName>
    <definedName name="IDX_PctFree" localSheetId="4">m_db_connect_no!#REF!</definedName>
    <definedName name="IDX_PctFree" localSheetId="3">m_edp!#REF!</definedName>
    <definedName name="IDX_PctFree" localSheetId="2">m_system_name!#REF!</definedName>
    <definedName name="IDX_PctFree" localSheetId="8">TABLE_TMP!#REF!</definedName>
    <definedName name="IDX_SPACE" localSheetId="5">m_data!#REF!</definedName>
    <definedName name="IDX_SPACE" localSheetId="1">m_data_job!#REF!</definedName>
    <definedName name="IDX_SPACE" localSheetId="4">m_db_connect_no!#REF!</definedName>
    <definedName name="IDX_SPACE" localSheetId="3">m_edp!#REF!</definedName>
    <definedName name="IDX_SPACE" localSheetId="2">m_system_name!#REF!</definedName>
    <definedName name="IDX_SPACE" localSheetId="8">TABLE_TMP!#REF!</definedName>
    <definedName name="IDX_Storage" localSheetId="5">m_data!#REF!</definedName>
    <definedName name="IDX_Storage" localSheetId="1">m_data_job!#REF!</definedName>
    <definedName name="IDX_Storage" localSheetId="4">m_db_connect_no!#REF!</definedName>
    <definedName name="IDX_Storage" localSheetId="3">m_edp!#REF!</definedName>
    <definedName name="IDX_Storage" localSheetId="2">m_system_name!#REF!</definedName>
    <definedName name="IDX_Storage" localSheetId="8">TABLE_TMP!#REF!</definedName>
    <definedName name="Index_Length" localSheetId="5">m_data!#REF!</definedName>
    <definedName name="Index_Length" localSheetId="1">m_data_job!#REF!</definedName>
    <definedName name="Index_Length" localSheetId="4">m_db_connect_no!#REF!</definedName>
    <definedName name="Index_Length" localSheetId="3">m_edp!#REF!</definedName>
    <definedName name="Index_Length" localSheetId="2">m_system_name!#REF!</definedName>
    <definedName name="Index_Length" localSheetId="8">TABLE_TMP!#REF!</definedName>
    <definedName name="Naiyou" localSheetId="5">m_data!$F$5</definedName>
    <definedName name="Naiyou" localSheetId="1">m_data_job!$F$5</definedName>
    <definedName name="Naiyou" localSheetId="4">m_db_connect_no!$F$5</definedName>
    <definedName name="Naiyou" localSheetId="3">m_edp!$F$5</definedName>
    <definedName name="Naiyou" localSheetId="2">m_system_name!$F$5</definedName>
    <definedName name="Naiyou" localSheetId="8">TABLE_TMP!$F$5</definedName>
    <definedName name="name" localSheetId="5">m_data!$C$5</definedName>
    <definedName name="name" localSheetId="1">m_data_job!$C$5</definedName>
    <definedName name="name" localSheetId="4">m_db_connect_no!$C$5</definedName>
    <definedName name="name" localSheetId="3">m_edp!$C$5</definedName>
    <definedName name="name" localSheetId="2">m_system_name!$C$5</definedName>
    <definedName name="name" localSheetId="8">TABLE_TMP!$C$5</definedName>
    <definedName name="_xlnm.Print_Area" localSheetId="5">m_data!$A$1:$K$43</definedName>
    <definedName name="_xlnm.Print_Area" localSheetId="1">m_data_job!$A$1:$K$45</definedName>
    <definedName name="_xlnm.Print_Area" localSheetId="4">m_db_connect_no!$A$1:$K$35</definedName>
    <definedName name="_xlnm.Print_Area" localSheetId="3">m_edp!$A$1:$K$35</definedName>
    <definedName name="_xlnm.Print_Area" localSheetId="2">m_system_name!$A$1:$K$34</definedName>
    <definedName name="_xlnm.Print_Area" localSheetId="8">TABLE_TMP!$A$1:$K$42</definedName>
    <definedName name="_xlnm.Print_Titles" localSheetId="5">m_data!$1:$8</definedName>
    <definedName name="_xlnm.Print_Titles" localSheetId="1">m_data_job!$1:$8</definedName>
    <definedName name="_xlnm.Print_Titles" localSheetId="4">m_db_connect_no!$1:$8</definedName>
    <definedName name="_xlnm.Print_Titles" localSheetId="3">m_edp!$1:$8</definedName>
    <definedName name="_xlnm.Print_Titles" localSheetId="2">m_system_name!$1:$8</definedName>
    <definedName name="_xlnm.Print_Titles" localSheetId="8">TABLE_TMP!$1:$8</definedName>
    <definedName name="REC_Count" localSheetId="5">m_data!#REF!</definedName>
    <definedName name="REC_Count" localSheetId="1">m_data_job!#REF!</definedName>
    <definedName name="REC_Count" localSheetId="4">m_db_connect_no!#REF!</definedName>
    <definedName name="REC_Count" localSheetId="3">m_edp!#REF!</definedName>
    <definedName name="REC_Count" localSheetId="2">m_system_name!#REF!</definedName>
    <definedName name="REC_Count" localSheetId="8">TABLE_TMP!#REF!</definedName>
    <definedName name="Rec_Length" localSheetId="5">m_data!#REF!</definedName>
    <definedName name="Rec_Length" localSheetId="1">m_data_job!#REF!</definedName>
    <definedName name="Rec_Length" localSheetId="4">m_db_connect_no!#REF!</definedName>
    <definedName name="Rec_Length" localSheetId="3">m_edp!#REF!</definedName>
    <definedName name="Rec_Length" localSheetId="2">m_system_name!#REF!</definedName>
    <definedName name="Rec_Length" localSheetId="8">TABLE_TMP!#REF!</definedName>
    <definedName name="TBL_Name" localSheetId="5">m_data!$C$6</definedName>
    <definedName name="TBL_Name" localSheetId="1">m_data_job!$C$6</definedName>
    <definedName name="TBL_Name" localSheetId="4">m_db_connect_no!$C$6</definedName>
    <definedName name="TBL_Name" localSheetId="3">m_edp!$C$6</definedName>
    <definedName name="TBL_Name" localSheetId="2">m_system_name!$C$6</definedName>
    <definedName name="TBL_Name" localSheetId="8">TABLE_TMP!$C$6</definedName>
    <definedName name="TBL_NEXT" localSheetId="5">m_data!#REF!</definedName>
    <definedName name="TBL_NEXT" localSheetId="1">m_data_job!#REF!</definedName>
    <definedName name="TBL_NEXT" localSheetId="4">m_db_connect_no!#REF!</definedName>
    <definedName name="TBL_NEXT" localSheetId="3">m_edp!#REF!</definedName>
    <definedName name="TBL_NEXT" localSheetId="2">m_system_name!#REF!</definedName>
    <definedName name="TBL_NEXT" localSheetId="8">TABLE_TMP!#REF!</definedName>
    <definedName name="TBL_PctFree" localSheetId="5">m_data!#REF!</definedName>
    <definedName name="TBL_PctFree" localSheetId="1">m_data_job!#REF!</definedName>
    <definedName name="TBL_PctFree" localSheetId="4">m_db_connect_no!#REF!</definedName>
    <definedName name="TBL_PctFree" localSheetId="3">m_edp!#REF!</definedName>
    <definedName name="TBL_PctFree" localSheetId="2">m_system_name!#REF!</definedName>
    <definedName name="TBL_PctFree" localSheetId="8">TABLE_TMP!#REF!</definedName>
    <definedName name="TBL_PctUsed" localSheetId="5">m_data!#REF!</definedName>
    <definedName name="TBL_PctUsed" localSheetId="1">m_data_job!#REF!</definedName>
    <definedName name="TBL_PctUsed" localSheetId="4">m_db_connect_no!#REF!</definedName>
    <definedName name="TBL_PctUsed" localSheetId="3">m_edp!#REF!</definedName>
    <definedName name="TBL_PctUsed" localSheetId="2">m_system_name!#REF!</definedName>
    <definedName name="TBL_PctUsed" localSheetId="8">TABLE_TMP!#REF!</definedName>
    <definedName name="TBL_SPACE" localSheetId="5">m_data!#REF!</definedName>
    <definedName name="TBL_SPACE" localSheetId="1">m_data_job!#REF!</definedName>
    <definedName name="TBL_SPACE" localSheetId="4">m_db_connect_no!#REF!</definedName>
    <definedName name="TBL_SPACE" localSheetId="3">m_edp!#REF!</definedName>
    <definedName name="TBL_SPACE" localSheetId="2">m_system_name!#REF!</definedName>
    <definedName name="TBL_SPACE" localSheetId="8">TABLE_TMP!#REF!</definedName>
    <definedName name="TBL_Storage" localSheetId="5">m_data!#REF!</definedName>
    <definedName name="TBL_Storage" localSheetId="1">m_data_job!#REF!</definedName>
    <definedName name="TBL_Storage" localSheetId="4">m_db_connect_no!#REF!</definedName>
    <definedName name="TBL_Storage" localSheetId="3">m_edp!#REF!</definedName>
    <definedName name="TBL_Storage" localSheetId="2">m_system_name!#REF!</definedName>
    <definedName name="TBL_Storage" localSheetId="8">TABLE_TMP!#REF!</definedName>
    <definedName name="TYPE" localSheetId="5">m_data!$D$8</definedName>
    <definedName name="TYPE" localSheetId="1">m_data_job!$D$8</definedName>
    <definedName name="TYPE" localSheetId="4">m_db_connect_no!$D$8</definedName>
    <definedName name="TYPE" localSheetId="3">m_edp!$D$8</definedName>
    <definedName name="TYPE" localSheetId="2">m_system_name!$D$8</definedName>
    <definedName name="TYPE" localSheetId="8">TABLE_TMP!$D$8</definedName>
  </definedNames>
  <calcPr calcId="152511"/>
</workbook>
</file>

<file path=xl/calcChain.xml><?xml version="1.0" encoding="utf-8"?>
<calcChain xmlns="http://schemas.openxmlformats.org/spreadsheetml/2006/main">
  <c r="N6" i="99" l="1"/>
  <c r="N4" i="99"/>
  <c r="N6" i="98" l="1"/>
  <c r="N4" i="98"/>
  <c r="B6" i="89"/>
  <c r="B9" i="89" l="1"/>
  <c r="B8" i="89"/>
  <c r="N6" i="97" l="1"/>
  <c r="N4" i="97"/>
  <c r="N6" i="96"/>
  <c r="N4" i="96"/>
  <c r="D12" i="91" l="1"/>
  <c r="H12" i="91" s="1"/>
  <c r="D13" i="91"/>
  <c r="G13" i="91" s="1"/>
  <c r="D14" i="91"/>
  <c r="G14" i="91" s="1"/>
  <c r="D15" i="91"/>
  <c r="K15" i="91" s="1"/>
  <c r="D16" i="91"/>
  <c r="D17" i="91"/>
  <c r="K17" i="91" s="1"/>
  <c r="G17" i="91"/>
  <c r="D18" i="91"/>
  <c r="H18" i="91" s="1"/>
  <c r="D19" i="91"/>
  <c r="K19" i="91" s="1"/>
  <c r="D11" i="91"/>
  <c r="K11" i="91"/>
  <c r="K16" i="91"/>
  <c r="J12" i="91"/>
  <c r="J13" i="91"/>
  <c r="J14" i="91"/>
  <c r="J15" i="91"/>
  <c r="J16" i="91"/>
  <c r="J17" i="91"/>
  <c r="J18" i="91"/>
  <c r="J19" i="91"/>
  <c r="J20" i="91"/>
  <c r="J21" i="91"/>
  <c r="J22" i="91"/>
  <c r="J11" i="91"/>
  <c r="G16" i="91"/>
  <c r="G19" i="91"/>
  <c r="G36" i="91"/>
  <c r="N8" i="94"/>
  <c r="N6" i="94"/>
  <c r="G11" i="91"/>
  <c r="K13" i="91"/>
  <c r="H14" i="91"/>
  <c r="D20" i="91"/>
  <c r="K20" i="91" s="1"/>
  <c r="D21" i="91"/>
  <c r="K21" i="91" s="1"/>
  <c r="D22" i="91"/>
  <c r="H22" i="91" s="1"/>
  <c r="D23" i="91"/>
  <c r="G23" i="91" s="1"/>
  <c r="D24" i="91"/>
  <c r="H24" i="91" s="1"/>
  <c r="D25" i="91"/>
  <c r="G25" i="91" s="1"/>
  <c r="D26" i="91"/>
  <c r="G26" i="91" s="1"/>
  <c r="D27" i="91"/>
  <c r="G27" i="91" s="1"/>
  <c r="D28" i="91"/>
  <c r="H28" i="91" s="1"/>
  <c r="D29" i="91"/>
  <c r="G29" i="91" s="1"/>
  <c r="D30" i="91"/>
  <c r="G30" i="91" s="1"/>
  <c r="D31" i="91"/>
  <c r="G31" i="91" s="1"/>
  <c r="D32" i="91"/>
  <c r="G32" i="91" s="1"/>
  <c r="D33" i="91"/>
  <c r="G33" i="91" s="1"/>
  <c r="D34" i="91"/>
  <c r="G34" i="91" s="1"/>
  <c r="D35" i="91"/>
  <c r="G35" i="91" s="1"/>
  <c r="D36" i="91"/>
  <c r="D37" i="91"/>
  <c r="G37" i="91" s="1"/>
  <c r="D38" i="91"/>
  <c r="G38" i="91" s="1"/>
  <c r="D39" i="91"/>
  <c r="G39" i="91" s="1"/>
  <c r="D40" i="91"/>
  <c r="G40" i="91" s="1"/>
  <c r="D41" i="91"/>
  <c r="G41" i="91" s="1"/>
  <c r="D42" i="91"/>
  <c r="G42" i="91" s="1"/>
  <c r="D43" i="91"/>
  <c r="G43" i="91" s="1"/>
  <c r="D44" i="91"/>
  <c r="G44" i="91" s="1"/>
  <c r="D45" i="91"/>
  <c r="G45" i="91" s="1"/>
  <c r="D46" i="91"/>
  <c r="D47" i="91"/>
  <c r="D48" i="91"/>
  <c r="D49" i="91"/>
  <c r="D50" i="91"/>
  <c r="D51" i="91"/>
  <c r="D52" i="91"/>
  <c r="D53" i="91"/>
  <c r="D54" i="91"/>
  <c r="D55" i="91"/>
  <c r="D56" i="91"/>
  <c r="D57" i="91"/>
  <c r="D58" i="91"/>
  <c r="D59" i="91"/>
  <c r="D60" i="91"/>
  <c r="D61" i="91"/>
  <c r="D62" i="91"/>
  <c r="D63" i="91"/>
  <c r="D64" i="91"/>
  <c r="D65" i="91"/>
  <c r="D66" i="91"/>
  <c r="D67" i="91"/>
  <c r="D68" i="91"/>
  <c r="H13" i="91"/>
  <c r="H16" i="91"/>
  <c r="H19" i="91"/>
  <c r="H29" i="91"/>
  <c r="H11" i="91"/>
  <c r="N6" i="85"/>
  <c r="N4" i="85"/>
  <c r="H20" i="91"/>
  <c r="B3" i="89"/>
  <c r="B2" i="89"/>
  <c r="B5" i="89"/>
  <c r="G15" i="91" l="1"/>
  <c r="H27" i="91"/>
  <c r="G20" i="91"/>
  <c r="K23" i="91"/>
  <c r="H23" i="91"/>
  <c r="K12" i="91"/>
  <c r="K18" i="91"/>
  <c r="H15" i="91"/>
  <c r="G12" i="91"/>
  <c r="G24" i="91"/>
  <c r="G18" i="91"/>
  <c r="H21" i="91"/>
  <c r="H30" i="91"/>
  <c r="K14" i="91"/>
  <c r="H17" i="91"/>
  <c r="H26" i="91"/>
  <c r="G22" i="91"/>
  <c r="K22" i="91"/>
  <c r="G28" i="91"/>
  <c r="H25" i="91"/>
  <c r="G21" i="91"/>
</calcChain>
</file>

<file path=xl/comments1.xml><?xml version="1.0" encoding="utf-8"?>
<comments xmlns="http://schemas.openxmlformats.org/spreadsheetml/2006/main">
  <authors>
    <author>AutoBVT</author>
  </authors>
  <commentList>
    <comment ref="A49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comments2.xml><?xml version="1.0" encoding="utf-8"?>
<comments xmlns="http://schemas.openxmlformats.org/spreadsheetml/2006/main">
  <authors>
    <author>AutoBVT</author>
  </authors>
  <commentList>
    <comment ref="A3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comments3.xml><?xml version="1.0" encoding="utf-8"?>
<comments xmlns="http://schemas.openxmlformats.org/spreadsheetml/2006/main">
  <authors>
    <author>AutoBVT</author>
  </authors>
  <commentList>
    <comment ref="A39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comments4.xml><?xml version="1.0" encoding="utf-8"?>
<comments xmlns="http://schemas.openxmlformats.org/spreadsheetml/2006/main">
  <authors>
    <author>AutoBVT</author>
  </authors>
  <commentList>
    <comment ref="A39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comments5.xml><?xml version="1.0" encoding="utf-8"?>
<comments xmlns="http://schemas.openxmlformats.org/spreadsheetml/2006/main">
  <authors>
    <author>AutoBVT</author>
  </authors>
  <commentList>
    <comment ref="A4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comments6.xml><?xml version="1.0" encoding="utf-8"?>
<comments xmlns="http://schemas.openxmlformats.org/spreadsheetml/2006/main">
  <authors>
    <author>AutoBVT</author>
  </authors>
  <commentList>
    <comment ref="A46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sharedStrings.xml><?xml version="1.0" encoding="utf-8"?>
<sst xmlns="http://schemas.openxmlformats.org/spreadsheetml/2006/main" count="1113" uniqueCount="715">
  <si>
    <r>
      <t>テーブル構成定義表</t>
    </r>
    <r>
      <rPr>
        <b/>
        <sz val="11"/>
        <rFont val="Arial"/>
        <family val="2"/>
      </rPr>
      <t xml:space="preserve"> </t>
    </r>
    <r>
      <rPr>
        <b/>
        <sz val="8"/>
        <rFont val="Arial"/>
        <family val="2"/>
      </rPr>
      <t>(Table Components Definition)</t>
    </r>
    <phoneticPr fontId="11"/>
  </si>
  <si>
    <r>
      <t>ﾃｰﾌﾞﾙ説明</t>
    </r>
    <r>
      <rPr>
        <b/>
        <sz val="8"/>
        <rFont val="Arial"/>
        <family val="2"/>
      </rPr>
      <t xml:space="preserve"> (Table Explanation)</t>
    </r>
    <phoneticPr fontId="11"/>
  </si>
  <si>
    <t>項目名</t>
    <phoneticPr fontId="5"/>
  </si>
  <si>
    <t>ITEM名</t>
    <phoneticPr fontId="5"/>
  </si>
  <si>
    <t>NOT</t>
    <phoneticPr fontId="5"/>
  </si>
  <si>
    <t>(Item name)</t>
    <phoneticPr fontId="5"/>
  </si>
  <si>
    <t>(Digit)</t>
    <phoneticPr fontId="5"/>
  </si>
  <si>
    <t>NULL</t>
    <phoneticPr fontId="5"/>
  </si>
  <si>
    <t>(Default)</t>
    <phoneticPr fontId="11"/>
  </si>
  <si>
    <t>(Explanation)</t>
    <phoneticPr fontId="5"/>
  </si>
  <si>
    <t>説明</t>
  </si>
  <si>
    <t>No</t>
  </si>
  <si>
    <t>桁</t>
  </si>
  <si>
    <t>TYPE</t>
  </si>
  <si>
    <t>KEY</t>
  </si>
  <si>
    <t>Index</t>
  </si>
  <si>
    <t>初期値</t>
  </si>
  <si>
    <t>CHECK</t>
  </si>
  <si>
    <t>VarChar</t>
  </si>
  <si>
    <r>
      <t>テーブル名</t>
    </r>
    <r>
      <rPr>
        <b/>
        <sz val="8"/>
        <rFont val="Arial"/>
        <family val="2"/>
      </rPr>
      <t xml:space="preserve"> (Table Name)</t>
    </r>
    <rPh sb="4" eb="5">
      <t>メイ</t>
    </rPh>
    <phoneticPr fontId="5"/>
  </si>
  <si>
    <t>(Item name)</t>
  </si>
  <si>
    <t>予想最大件数</t>
    <rPh sb="0" eb="2">
      <t>ヨソウ</t>
    </rPh>
    <rPh sb="2" eb="4">
      <t>サイダイ</t>
    </rPh>
    <rPh sb="4" eb="6">
      <t>ケンスウ</t>
    </rPh>
    <phoneticPr fontId="5"/>
  </si>
  <si>
    <t>データ</t>
    <phoneticPr fontId="5"/>
  </si>
  <si>
    <t>1行のサイズ</t>
    <rPh sb="1" eb="2">
      <t>ギョウ</t>
    </rPh>
    <phoneticPr fontId="5"/>
  </si>
  <si>
    <t>(Byte)</t>
    <phoneticPr fontId="5"/>
  </si>
  <si>
    <t>予想最大サイズ</t>
    <rPh sb="0" eb="2">
      <t>ヨソウ</t>
    </rPh>
    <rPh sb="2" eb="4">
      <t>サイダイ</t>
    </rPh>
    <phoneticPr fontId="5"/>
  </si>
  <si>
    <t>インデックス</t>
    <phoneticPr fontId="5"/>
  </si>
  <si>
    <t>型</t>
  </si>
  <si>
    <t>Char</t>
  </si>
  <si>
    <t>identity</t>
  </si>
  <si>
    <t>上記の枠内がコンボボックスへ表示されます。もし、これ以上にコンボボックスに表示させる項目を増やしたい場合は、コンボボックスの入力範囲の設定をし直してください。</t>
  </si>
  <si>
    <t>照合順序</t>
    <rPh sb="0" eb="2">
      <t>ショウゴウ</t>
    </rPh>
    <rPh sb="2" eb="4">
      <t>ジュンジョ</t>
    </rPh>
    <phoneticPr fontId="11"/>
  </si>
  <si>
    <t>更新権限ユーザ</t>
    <rPh sb="0" eb="2">
      <t>コウシン</t>
    </rPh>
    <rPh sb="2" eb="4">
      <t>ケンゲン</t>
    </rPh>
    <phoneticPr fontId="11"/>
  </si>
  <si>
    <t>照会専用ユーザ</t>
    <rPh sb="0" eb="2">
      <t>ショウカイ</t>
    </rPh>
    <rPh sb="2" eb="4">
      <t>センヨウ</t>
    </rPh>
    <phoneticPr fontId="11"/>
  </si>
  <si>
    <t>Japanese_XJIS_100_BIN2</t>
    <phoneticPr fontId="11"/>
  </si>
  <si>
    <t>ons</t>
    <phoneticPr fontId="11"/>
  </si>
  <si>
    <t>Numeric</t>
    <phoneticPr fontId="11"/>
  </si>
  <si>
    <t>DateTime</t>
    <phoneticPr fontId="11"/>
  </si>
  <si>
    <t>照合順序が上記と異なる場合は上書きしてください。</t>
    <rPh sb="0" eb="2">
      <t>ショウゴウ</t>
    </rPh>
    <rPh sb="2" eb="4">
      <t>ジュンジョ</t>
    </rPh>
    <rPh sb="5" eb="7">
      <t>ジョウキ</t>
    </rPh>
    <rPh sb="8" eb="9">
      <t>コト</t>
    </rPh>
    <rPh sb="11" eb="13">
      <t>バアイ</t>
    </rPh>
    <rPh sb="14" eb="16">
      <t>ウワガ</t>
    </rPh>
    <phoneticPr fontId="11"/>
  </si>
  <si>
    <t>CREATE文中に出てくる更新権限ユーザ</t>
    <rPh sb="6" eb="7">
      <t>ブン</t>
    </rPh>
    <rPh sb="7" eb="8">
      <t>チュウ</t>
    </rPh>
    <rPh sb="9" eb="10">
      <t>デ</t>
    </rPh>
    <rPh sb="13" eb="15">
      <t>コウシン</t>
    </rPh>
    <rPh sb="15" eb="17">
      <t>ケンゲン</t>
    </rPh>
    <phoneticPr fontId="11"/>
  </si>
  <si>
    <t>CREATE文中に出てくる照会権限ユーザ</t>
    <rPh sb="6" eb="7">
      <t>ブン</t>
    </rPh>
    <rPh sb="7" eb="8">
      <t>チュウ</t>
    </rPh>
    <rPh sb="9" eb="10">
      <t>デ</t>
    </rPh>
    <rPh sb="13" eb="15">
      <t>ショウカイ</t>
    </rPh>
    <rPh sb="15" eb="17">
      <t>ケンゲン</t>
    </rPh>
    <phoneticPr fontId="11"/>
  </si>
  <si>
    <r>
      <t>名称</t>
    </r>
    <r>
      <rPr>
        <b/>
        <sz val="8"/>
        <rFont val="Arial"/>
        <family val="2"/>
      </rPr>
      <t xml:space="preserve"> (Name)</t>
    </r>
    <r>
      <rPr>
        <b/>
        <sz val="8"/>
        <rFont val="ＭＳ ゴシック"/>
        <family val="3"/>
        <charset val="128"/>
      </rPr>
      <t>漢字</t>
    </r>
    <rPh sb="0" eb="2">
      <t>メイショウ</t>
    </rPh>
    <rPh sb="9" eb="11">
      <t>カンジ</t>
    </rPh>
    <phoneticPr fontId="5"/>
  </si>
  <si>
    <t>Data Source</t>
    <phoneticPr fontId="5"/>
  </si>
  <si>
    <t>Initial Catalog</t>
    <phoneticPr fontId="5"/>
  </si>
  <si>
    <t>Provider=SQLOLEDB.1;Data Source=10.160.200.39; Initial Catalog=auto_code;Persist Security Info=True;User ID=sa;Password=lixil@2014</t>
    <phoneticPr fontId="5"/>
  </si>
  <si>
    <t>(Digit)</t>
  </si>
  <si>
    <t>修正前</t>
    <rPh sb="0" eb="2">
      <t>シュウセイ</t>
    </rPh>
    <rPh sb="2" eb="3">
      <t>ゼン</t>
    </rPh>
    <phoneticPr fontId="5"/>
  </si>
  <si>
    <t>修正後</t>
    <rPh sb="0" eb="2">
      <t>シュウセイ</t>
    </rPh>
    <rPh sb="2" eb="3">
      <t>ゴ</t>
    </rPh>
    <phoneticPr fontId="5"/>
  </si>
  <si>
    <t>ReplaceSen</t>
  </si>
  <si>
    <t>ミックスマッチ</t>
  </si>
  <si>
    <t>ファイルサイズ</t>
  </si>
  <si>
    <t>取引開始時刻</t>
  </si>
  <si>
    <t>権限グループ</t>
  </si>
  <si>
    <t>マネーカード</t>
  </si>
  <si>
    <t>キャッシャー</t>
  </si>
  <si>
    <t>ﾌｧｲﾙ名</t>
  </si>
  <si>
    <t>店ｺｰﾄﾞ</t>
  </si>
  <si>
    <t>レコード数</t>
  </si>
  <si>
    <t>メッセージ</t>
  </si>
  <si>
    <t>マニュアル</t>
  </si>
  <si>
    <t>ペアマッチ</t>
  </si>
  <si>
    <t>プリペイド</t>
  </si>
  <si>
    <t>チェッカー</t>
  </si>
  <si>
    <t>クレジット</t>
  </si>
  <si>
    <t>ﾌﾗｸﾞ</t>
  </si>
  <si>
    <t>ファイル</t>
  </si>
  <si>
    <t>ﾌｧｲﾙ</t>
  </si>
  <si>
    <t>ｻｲｽﾞ</t>
  </si>
  <si>
    <t>ｺｰﾄﾞ</t>
  </si>
  <si>
    <t>明細情報</t>
  </si>
  <si>
    <t>店コード</t>
  </si>
  <si>
    <t>除外区分</t>
  </si>
  <si>
    <t>作成時刻</t>
  </si>
  <si>
    <t>緊急通知</t>
  </si>
  <si>
    <t>開始時刻</t>
  </si>
  <si>
    <t>ポイント</t>
  </si>
  <si>
    <t>スケール</t>
  </si>
  <si>
    <t>スキャン</t>
  </si>
  <si>
    <t>システム</t>
  </si>
  <si>
    <t>ゴンドラ</t>
  </si>
  <si>
    <t>グループ</t>
  </si>
  <si>
    <t>クーポン</t>
  </si>
  <si>
    <t>アマッチ</t>
  </si>
  <si>
    <t>アイテム</t>
  </si>
  <si>
    <t>ＦＲＯＭ</t>
  </si>
  <si>
    <t>未登録</t>
  </si>
  <si>
    <t>満点券</t>
  </si>
  <si>
    <t>保証書</t>
  </si>
  <si>
    <t>売上高</t>
  </si>
  <si>
    <t>入金額</t>
  </si>
  <si>
    <t>誕生日</t>
  </si>
  <si>
    <t>担当者</t>
  </si>
  <si>
    <t>大分類</t>
  </si>
  <si>
    <t>税区分</t>
  </si>
  <si>
    <t>振替後</t>
  </si>
  <si>
    <t>小数点</t>
  </si>
  <si>
    <t>出金額</t>
  </si>
  <si>
    <t>従業員</t>
  </si>
  <si>
    <t>修正時</t>
  </si>
  <si>
    <t>取引先</t>
  </si>
  <si>
    <t>作成日</t>
  </si>
  <si>
    <t>現外券</t>
  </si>
  <si>
    <t>運用日</t>
  </si>
  <si>
    <t>レベル</t>
  </si>
  <si>
    <t>リード</t>
  </si>
  <si>
    <t>モード</t>
  </si>
  <si>
    <t>マスタ</t>
  </si>
  <si>
    <t>マーク</t>
  </si>
  <si>
    <t>フラグ</t>
  </si>
  <si>
    <t>バンド</t>
  </si>
  <si>
    <t>バンドル</t>
  </si>
  <si>
    <t>ダウン</t>
  </si>
  <si>
    <t>タイム</t>
  </si>
  <si>
    <t>タイプ</t>
  </si>
  <si>
    <t>サイズ</t>
  </si>
  <si>
    <t>コード</t>
  </si>
  <si>
    <t>クラス</t>
  </si>
  <si>
    <t>カード</t>
  </si>
  <si>
    <t>エリア</t>
  </si>
  <si>
    <t>累計</t>
  </si>
  <si>
    <t>理由</t>
  </si>
  <si>
    <t>予備</t>
  </si>
  <si>
    <t>予算</t>
  </si>
  <si>
    <t>明細</t>
  </si>
  <si>
    <t>名前</t>
  </si>
  <si>
    <t>満点</t>
  </si>
  <si>
    <t>枚数</t>
  </si>
  <si>
    <t>報告</t>
  </si>
  <si>
    <t>返瓶</t>
  </si>
  <si>
    <t>たぶん返品の間違いだと思われる</t>
  </si>
  <si>
    <t>返品</t>
  </si>
  <si>
    <t>平均</t>
  </si>
  <si>
    <t>分類</t>
  </si>
  <si>
    <t>付属</t>
  </si>
  <si>
    <t>品種</t>
  </si>
  <si>
    <t>標準</t>
  </si>
  <si>
    <t>番号</t>
  </si>
  <si>
    <t>販売</t>
  </si>
  <si>
    <t>汎用</t>
  </si>
  <si>
    <t>発行</t>
  </si>
  <si>
    <t>売場</t>
  </si>
  <si>
    <t>売上</t>
  </si>
  <si>
    <t>買上</t>
  </si>
  <si>
    <t>廃棄</t>
  </si>
  <si>
    <t>入金</t>
  </si>
  <si>
    <t>日付</t>
  </si>
  <si>
    <t>日割</t>
  </si>
  <si>
    <t>内税</t>
  </si>
  <si>
    <t>特売</t>
  </si>
  <si>
    <t>登録</t>
  </si>
  <si>
    <t>電子</t>
  </si>
  <si>
    <t>伝票</t>
  </si>
  <si>
    <t>点数</t>
  </si>
  <si>
    <t>店名</t>
  </si>
  <si>
    <t>店舗</t>
  </si>
  <si>
    <t>訂正</t>
  </si>
  <si>
    <t>通番</t>
  </si>
  <si>
    <t>値引</t>
  </si>
  <si>
    <t>単品</t>
  </si>
  <si>
    <t>単価</t>
  </si>
  <si>
    <t>棚卸</t>
  </si>
  <si>
    <t>代表</t>
  </si>
  <si>
    <t>属性</t>
  </si>
  <si>
    <t>前回</t>
  </si>
  <si>
    <t>振替</t>
  </si>
  <si>
    <t>情報</t>
  </si>
  <si>
    <t>場所</t>
  </si>
  <si>
    <t>小計</t>
  </si>
  <si>
    <t>商品</t>
  </si>
  <si>
    <t>除外</t>
  </si>
  <si>
    <t>出力</t>
  </si>
  <si>
    <t>出金</t>
  </si>
  <si>
    <t>終了</t>
  </si>
  <si>
    <t>修正</t>
  </si>
  <si>
    <t>修飾</t>
  </si>
  <si>
    <t>収入</t>
  </si>
  <si>
    <t>種別</t>
  </si>
  <si>
    <t>取消</t>
  </si>
  <si>
    <t>取引</t>
  </si>
  <si>
    <t>識別</t>
  </si>
  <si>
    <t>自動</t>
  </si>
  <si>
    <t>磁気</t>
  </si>
  <si>
    <t>時刻</t>
  </si>
  <si>
    <t>時間</t>
  </si>
  <si>
    <t>指定</t>
  </si>
  <si>
    <t>指示</t>
  </si>
  <si>
    <t>削除</t>
  </si>
  <si>
    <t>最終</t>
  </si>
  <si>
    <t>今回</t>
  </si>
  <si>
    <t>合計</t>
  </si>
  <si>
    <t>合価</t>
  </si>
  <si>
    <t>項目</t>
  </si>
  <si>
    <t>交換</t>
  </si>
  <si>
    <t>顧客</t>
  </si>
  <si>
    <t>個数</t>
  </si>
  <si>
    <t>原価</t>
  </si>
  <si>
    <t>検品</t>
  </si>
  <si>
    <t>区分</t>
  </si>
  <si>
    <t>金額</t>
  </si>
  <si>
    <t>業務</t>
  </si>
  <si>
    <t>業態</t>
  </si>
  <si>
    <t>強制</t>
  </si>
  <si>
    <t>休日</t>
  </si>
  <si>
    <t>客層</t>
  </si>
  <si>
    <t>客数</t>
  </si>
  <si>
    <t>機種</t>
  </si>
  <si>
    <t>期間</t>
  </si>
  <si>
    <t>企画</t>
  </si>
  <si>
    <t>管理</t>
  </si>
  <si>
    <t>完了</t>
  </si>
  <si>
    <t>割引</t>
  </si>
  <si>
    <t>外税</t>
  </si>
  <si>
    <t>階層</t>
  </si>
  <si>
    <t>回数</t>
  </si>
  <si>
    <t>会員</t>
  </si>
  <si>
    <t>運用</t>
  </si>
  <si>
    <t>印字</t>
  </si>
  <si>
    <t>印紙</t>
  </si>
  <si>
    <t>一括</t>
  </si>
  <si>
    <t>き率</t>
  </si>
  <si>
    <t>ＦＧ</t>
  </si>
  <si>
    <t>__</t>
  </si>
  <si>
    <t>_</t>
  </si>
  <si>
    <t>列</t>
  </si>
  <si>
    <t>量</t>
  </si>
  <si>
    <t>率</t>
  </si>
  <si>
    <t>名</t>
  </si>
  <si>
    <t>日</t>
  </si>
  <si>
    <t>内</t>
  </si>
  <si>
    <t>店</t>
  </si>
  <si>
    <t>段</t>
  </si>
  <si>
    <t>前</t>
  </si>
  <si>
    <t>数</t>
  </si>
  <si>
    <t>純</t>
  </si>
  <si>
    <t>字</t>
  </si>
  <si>
    <t>ji</t>
  </si>
  <si>
    <t>後</t>
  </si>
  <si>
    <t>元</t>
  </si>
  <si>
    <t>掛</t>
  </si>
  <si>
    <t>額</t>
  </si>
  <si>
    <t>外</t>
  </si>
  <si>
    <t>Ｚ</t>
  </si>
  <si>
    <t>z</t>
  </si>
  <si>
    <t>Ｙ</t>
  </si>
  <si>
    <t>y</t>
  </si>
  <si>
    <t>Ｘ</t>
  </si>
  <si>
    <t>x</t>
  </si>
  <si>
    <t>Ｗ</t>
  </si>
  <si>
    <t>w</t>
  </si>
  <si>
    <t>Ｖ</t>
  </si>
  <si>
    <t>v</t>
  </si>
  <si>
    <t>Ｕ</t>
  </si>
  <si>
    <t>u</t>
  </si>
  <si>
    <t>Ｔ</t>
  </si>
  <si>
    <t>t</t>
  </si>
  <si>
    <t>Ｓ</t>
  </si>
  <si>
    <t>s</t>
  </si>
  <si>
    <t>Ｒ</t>
  </si>
  <si>
    <t>r</t>
  </si>
  <si>
    <t>Ｑ</t>
  </si>
  <si>
    <t>q</t>
  </si>
  <si>
    <t>Ｐ</t>
  </si>
  <si>
    <t>p</t>
  </si>
  <si>
    <t>Ｏ</t>
  </si>
  <si>
    <t>o</t>
  </si>
  <si>
    <t>Ｎ</t>
  </si>
  <si>
    <t>n</t>
  </si>
  <si>
    <t>Ｍ</t>
  </si>
  <si>
    <t>m</t>
  </si>
  <si>
    <t>Ｌ</t>
  </si>
  <si>
    <t>l</t>
  </si>
  <si>
    <t>Ｋ</t>
  </si>
  <si>
    <t>k</t>
  </si>
  <si>
    <t>Ｊ</t>
  </si>
  <si>
    <t>j</t>
  </si>
  <si>
    <t>Ｉ</t>
  </si>
  <si>
    <t>i</t>
  </si>
  <si>
    <t>Ｈ</t>
  </si>
  <si>
    <t>h</t>
  </si>
  <si>
    <t>Ｇ</t>
  </si>
  <si>
    <t>g</t>
  </si>
  <si>
    <t>Ｆ</t>
  </si>
  <si>
    <t>f</t>
  </si>
  <si>
    <t>Ｅ</t>
  </si>
  <si>
    <t>e</t>
  </si>
  <si>
    <t>Ｄ</t>
  </si>
  <si>
    <t>d</t>
  </si>
  <si>
    <t>Ｃ</t>
  </si>
  <si>
    <t>c</t>
  </si>
  <si>
    <t>Ｂ</t>
  </si>
  <si>
    <t>b</t>
  </si>
  <si>
    <t>Ａ</t>
  </si>
  <si>
    <t>a</t>
  </si>
  <si>
    <t>－</t>
  </si>
  <si>
    <t>売場単位</t>
  </si>
  <si>
    <t>GPコード</t>
  </si>
  <si>
    <t>金種</t>
  </si>
  <si>
    <t>金種別</t>
  </si>
  <si>
    <t>外税計</t>
  </si>
  <si>
    <t>内税計</t>
  </si>
  <si>
    <t>セット</t>
  </si>
  <si>
    <t>売変</t>
  </si>
  <si>
    <t>税</t>
  </si>
  <si>
    <t>金種別計</t>
  </si>
  <si>
    <t>レジ</t>
  </si>
  <si>
    <t>レジＮｏ．</t>
  </si>
  <si>
    <t>regi_no</t>
  </si>
  <si>
    <t>1</t>
  </si>
  <si>
    <t>2</t>
  </si>
  <si>
    <t>3</t>
  </si>
  <si>
    <t>4</t>
  </si>
  <si>
    <t>5</t>
  </si>
  <si>
    <t>6</t>
  </si>
  <si>
    <t>7</t>
  </si>
  <si>
    <t>8</t>
  </si>
  <si>
    <t>9</t>
  </si>
  <si>
    <t>９</t>
  </si>
  <si>
    <t>８</t>
  </si>
  <si>
    <t>７</t>
  </si>
  <si>
    <t>６</t>
  </si>
  <si>
    <t>５</t>
  </si>
  <si>
    <t>４</t>
  </si>
  <si>
    <t>３</t>
  </si>
  <si>
    <t>２</t>
  </si>
  <si>
    <t>１</t>
  </si>
  <si>
    <t>０</t>
  </si>
  <si>
    <t>0</t>
  </si>
  <si>
    <t>ReplaceType</t>
    <phoneticPr fontId="5"/>
  </si>
  <si>
    <t>1:そのままReplace</t>
    <phoneticPr fontId="5"/>
  </si>
  <si>
    <t>_mm</t>
  </si>
  <si>
    <t>_filesize</t>
  </si>
  <si>
    <t>_torihiki_kaisi_time</t>
  </si>
  <si>
    <t>_kengen_group</t>
  </si>
  <si>
    <t>_money_card</t>
  </si>
  <si>
    <t>_casher</t>
  </si>
  <si>
    <t>_filename</t>
  </si>
  <si>
    <t>_tenpo_cd</t>
  </si>
  <si>
    <t>_record_suu</t>
  </si>
  <si>
    <t>_msg</t>
  </si>
  <si>
    <t>_manual</t>
  </si>
  <si>
    <t>_pear_match</t>
  </si>
  <si>
    <t>_prepaid</t>
  </si>
  <si>
    <t>_checker</t>
  </si>
  <si>
    <t>_credit</t>
  </si>
  <si>
    <t>_flg</t>
  </si>
  <si>
    <t>_file</t>
  </si>
  <si>
    <t>_size</t>
  </si>
  <si>
    <t>_cd</t>
  </si>
  <si>
    <t>_meisai_info</t>
  </si>
  <si>
    <t>_jyogai_kbn</t>
  </si>
  <si>
    <t>_sakusei_time</t>
  </si>
  <si>
    <t>_kinkyuu_tuuti</t>
  </si>
  <si>
    <t>_kaisi_time</t>
  </si>
  <si>
    <t>_point</t>
  </si>
  <si>
    <t>_scale</t>
  </si>
  <si>
    <t>_scan</t>
  </si>
  <si>
    <t>_system</t>
  </si>
  <si>
    <t>_gondola</t>
  </si>
  <si>
    <t>_group</t>
  </si>
  <si>
    <t>_coupon</t>
  </si>
  <si>
    <t>_un_match</t>
  </si>
  <si>
    <t>_item</t>
  </si>
  <si>
    <t>_from</t>
  </si>
  <si>
    <t>_mitouroku</t>
  </si>
  <si>
    <t>_mantenken</t>
  </si>
  <si>
    <t>_hosyousyo</t>
  </si>
  <si>
    <t>_uriagedaka</t>
  </si>
  <si>
    <t>_nyuukingaku</t>
  </si>
  <si>
    <t>_tanjyoubi</t>
  </si>
  <si>
    <t>_tantousya</t>
  </si>
  <si>
    <t>_daibunrui</t>
  </si>
  <si>
    <t>_zei_kbn</t>
  </si>
  <si>
    <t>_furikaego</t>
  </si>
  <si>
    <t>_syousuuten</t>
  </si>
  <si>
    <t>_syukingaku</t>
  </si>
  <si>
    <t>_jyuugyouin</t>
  </si>
  <si>
    <t>_syuusei_ji</t>
  </si>
  <si>
    <t>_torihikisaki</t>
  </si>
  <si>
    <t>_sakusei_date</t>
  </si>
  <si>
    <t>_gengaiken</t>
  </si>
  <si>
    <t>_unyou_date</t>
  </si>
  <si>
    <t>_level</t>
  </si>
  <si>
    <t>_lead</t>
  </si>
  <si>
    <t>_mode</t>
  </si>
  <si>
    <t>_mst</t>
  </si>
  <si>
    <t>_mark</t>
  </si>
  <si>
    <t>_bundle</t>
  </si>
  <si>
    <t>_down</t>
  </si>
  <si>
    <t>_time</t>
  </si>
  <si>
    <t>_type</t>
  </si>
  <si>
    <t>_class</t>
  </si>
  <si>
    <t>_card</t>
  </si>
  <si>
    <t>_area</t>
  </si>
  <si>
    <t>_ruikei</t>
  </si>
  <si>
    <t>_riyuu</t>
  </si>
  <si>
    <t>_yobi</t>
  </si>
  <si>
    <t>_yosan</t>
  </si>
  <si>
    <t>_meisai</t>
  </si>
  <si>
    <t>_name</t>
  </si>
  <si>
    <t>_manten</t>
  </si>
  <si>
    <t>_maisuu</t>
  </si>
  <si>
    <t>_houkoku</t>
  </si>
  <si>
    <t>_henpin</t>
  </si>
  <si>
    <t>_avg</t>
  </si>
  <si>
    <t>_bunrui</t>
  </si>
  <si>
    <t>_fuzuku</t>
  </si>
  <si>
    <t>_hinsyu</t>
  </si>
  <si>
    <t>_hyoujyun</t>
  </si>
  <si>
    <t>_no</t>
  </si>
  <si>
    <t>_hanbai</t>
  </si>
  <si>
    <t>_hanyou</t>
  </si>
  <si>
    <t>_hakkou</t>
  </si>
  <si>
    <t>_uriba</t>
  </si>
  <si>
    <t>_uriage</t>
  </si>
  <si>
    <t>_kaiage</t>
  </si>
  <si>
    <t>_haiki</t>
  </si>
  <si>
    <t>_nyuukin</t>
  </si>
  <si>
    <t>_hiduke</t>
  </si>
  <si>
    <t>_hiwari</t>
  </si>
  <si>
    <t>_uchizei</t>
  </si>
  <si>
    <t>_tokubai</t>
  </si>
  <si>
    <t>_touroku</t>
  </si>
  <si>
    <t>_densi</t>
  </si>
  <si>
    <t>_denpyou</t>
  </si>
  <si>
    <t>_tensuu</t>
  </si>
  <si>
    <t>_tenmei</t>
  </si>
  <si>
    <t>_tenpo</t>
  </si>
  <si>
    <t>_teisei</t>
  </si>
  <si>
    <t>_tsuuban</t>
  </si>
  <si>
    <t>_nebiki</t>
  </si>
  <si>
    <t>_tanpin</t>
  </si>
  <si>
    <t>_tanka</t>
  </si>
  <si>
    <t>_tanaorosi</t>
  </si>
  <si>
    <t>_daihyou</t>
  </si>
  <si>
    <t>_zokusei</t>
  </si>
  <si>
    <t>_zenkai</t>
  </si>
  <si>
    <t>_furikae</t>
  </si>
  <si>
    <t>_info</t>
  </si>
  <si>
    <t>_basyo</t>
  </si>
  <si>
    <t>_syoukei</t>
  </si>
  <si>
    <t>_syouhin</t>
  </si>
  <si>
    <t>_jyogai</t>
  </si>
  <si>
    <t>_syuturyoku</t>
  </si>
  <si>
    <t>_syukin</t>
  </si>
  <si>
    <t>_syuuryou</t>
  </si>
  <si>
    <t>_syuusei</t>
  </si>
  <si>
    <t>_syuusyoku</t>
  </si>
  <si>
    <t>_syuunyuu</t>
  </si>
  <si>
    <t>_syubetu</t>
  </si>
  <si>
    <t>_torikesi</t>
  </si>
  <si>
    <t>_torihiki</t>
  </si>
  <si>
    <t>_sikibetu</t>
  </si>
  <si>
    <t>_jidou</t>
  </si>
  <si>
    <t>_jiki</t>
  </si>
  <si>
    <t>_sitei</t>
  </si>
  <si>
    <t>_siji</t>
  </si>
  <si>
    <t>_delete</t>
  </si>
  <si>
    <t>_saisyuu</t>
  </si>
  <si>
    <t>_konkai</t>
  </si>
  <si>
    <t>_goukei</t>
  </si>
  <si>
    <t>_gouka</t>
  </si>
  <si>
    <t>_koumoku</t>
  </si>
  <si>
    <t>_koukan</t>
  </si>
  <si>
    <t>_kokyaku</t>
  </si>
  <si>
    <t>_kosuu</t>
  </si>
  <si>
    <t>_genka</t>
  </si>
  <si>
    <t>_kenpin</t>
  </si>
  <si>
    <t>_kbn</t>
  </si>
  <si>
    <t>_kingaku</t>
  </si>
  <si>
    <t>_gyoumu</t>
  </si>
  <si>
    <t>_gyoutai</t>
  </si>
  <si>
    <t>_kyousei</t>
  </si>
  <si>
    <t>_kyuujitu</t>
  </si>
  <si>
    <t>_kyakusou</t>
  </si>
  <si>
    <t>_kyakusuu</t>
  </si>
  <si>
    <t>_kisyu</t>
  </si>
  <si>
    <t>_kikan</t>
  </si>
  <si>
    <t>_kikaku</t>
  </si>
  <si>
    <t>_kanri</t>
  </si>
  <si>
    <t>_kanryou</t>
  </si>
  <si>
    <t>_waribiki</t>
  </si>
  <si>
    <t>_sotozei</t>
  </si>
  <si>
    <t>_kaisou</t>
  </si>
  <si>
    <t>_kaisu</t>
  </si>
  <si>
    <t>_kaiin</t>
  </si>
  <si>
    <t>_unyou</t>
  </si>
  <si>
    <t>_inji</t>
  </si>
  <si>
    <t>_insi</t>
  </si>
  <si>
    <t>_ikkatsu</t>
  </si>
  <si>
    <t>_ritu</t>
  </si>
  <si>
    <t>_fg</t>
  </si>
  <si>
    <t>_retu</t>
  </si>
  <si>
    <t>_ryou</t>
  </si>
  <si>
    <t>_hi</t>
  </si>
  <si>
    <t>_uchiか_naii</t>
  </si>
  <si>
    <t>_ten</t>
  </si>
  <si>
    <t>_dan</t>
  </si>
  <si>
    <t>_maeか_zen</t>
  </si>
  <si>
    <t>_suu</t>
  </si>
  <si>
    <t>_jyun</t>
  </si>
  <si>
    <t>_go</t>
  </si>
  <si>
    <t>_moto</t>
  </si>
  <si>
    <t>_kake</t>
  </si>
  <si>
    <t>_gaku</t>
  </si>
  <si>
    <t>_gai</t>
  </si>
  <si>
    <t>_uriba_tani</t>
  </si>
  <si>
    <t>_gp_cd</t>
  </si>
  <si>
    <t>_kinsyu</t>
  </si>
  <si>
    <t>_kinsyubetu</t>
  </si>
  <si>
    <t>_sotozei_kei</t>
  </si>
  <si>
    <t>_uchizei_kei</t>
  </si>
  <si>
    <t>_set</t>
  </si>
  <si>
    <t>_baihen</t>
  </si>
  <si>
    <t>_zei</t>
  </si>
  <si>
    <t>_kinsyubetu_kei</t>
  </si>
  <si>
    <t>_regi</t>
  </si>
  <si>
    <t>ReplaceGen</t>
    <phoneticPr fontId="5"/>
  </si>
  <si>
    <t>データ・ソース</t>
  </si>
  <si>
    <t>_data_source</t>
  </si>
  <si>
    <t>edp_no</t>
  </si>
  <si>
    <t>edp_mei</t>
  </si>
  <si>
    <t>edp_exp</t>
  </si>
  <si>
    <t>idx</t>
  </si>
  <si>
    <t>status</t>
  </si>
  <si>
    <t>EDP 名</t>
  </si>
  <si>
    <t>EDP 説明</t>
  </si>
  <si>
    <t xml:space="preserve">ステータス       </t>
  </si>
  <si>
    <t>status2</t>
  </si>
  <si>
    <t>●</t>
    <phoneticPr fontId="5"/>
  </si>
  <si>
    <t>固定</t>
    <rPh sb="0" eb="2">
      <t>コテイ</t>
    </rPh>
    <phoneticPr fontId="5"/>
  </si>
  <si>
    <t>Provider=SQLOLEDB.1;Data Source=ADP1QD9478YL0O2\ILIKE; Initial Catalog=auto_code;Persist Security Info=True;User ID=sa;Password=19833130</t>
  </si>
  <si>
    <t>nvarchar</t>
  </si>
  <si>
    <t>int</t>
  </si>
  <si>
    <t>nchar</t>
  </si>
  <si>
    <t>m_edp_test</t>
    <phoneticPr fontId="5"/>
  </si>
  <si>
    <t>ｉｎｄｅｘ</t>
  </si>
  <si>
    <t>COPY元 Table 名</t>
    <rPh sb="4" eb="5">
      <t>ゲン</t>
    </rPh>
    <rPh sb="12" eb="13">
      <t>メイ</t>
    </rPh>
    <phoneticPr fontId="5"/>
  </si>
  <si>
    <t>COPY先 Table 名</t>
    <rPh sb="4" eb="5">
      <t>セン</t>
    </rPh>
    <rPh sb="12" eb="13">
      <t>メイ</t>
    </rPh>
    <phoneticPr fontId="5"/>
  </si>
  <si>
    <t>データCOPYだけ</t>
    <phoneticPr fontId="5"/>
  </si>
  <si>
    <r>
      <t xml:space="preserve">                                 </t>
    </r>
    <r>
      <rPr>
        <sz val="11"/>
        <rFont val="ＭＳ ゴシック"/>
        <family val="3"/>
        <charset val="128"/>
      </rPr>
      <t>テーブル定義書</t>
    </r>
    <r>
      <rPr>
        <sz val="8"/>
        <rFont val="Arial"/>
        <family val="2"/>
      </rPr>
      <t>(Table Definition Sheet)</t>
    </r>
    <rPh sb="39" eb="40">
      <t>ショ</t>
    </rPh>
    <phoneticPr fontId="11"/>
  </si>
  <si>
    <t>変更日:</t>
    <phoneticPr fontId="11"/>
  </si>
  <si>
    <t>ＰＪ名(PJ name)：</t>
    <phoneticPr fontId="11"/>
  </si>
  <si>
    <t>発注</t>
    <rPh sb="0" eb="2">
      <t>ハッチュウ</t>
    </rPh>
    <phoneticPr fontId="5"/>
  </si>
  <si>
    <t>作成日:</t>
    <phoneticPr fontId="11"/>
  </si>
  <si>
    <t>COPYのSQL</t>
    <phoneticPr fontId="5"/>
  </si>
  <si>
    <t>復元のSQL</t>
    <phoneticPr fontId="5"/>
  </si>
  <si>
    <t>DBではなく、TABLEのみ</t>
    <phoneticPr fontId="5"/>
  </si>
  <si>
    <t>m_user</t>
  </si>
  <si>
    <t>m_siryou_bk</t>
  </si>
  <si>
    <t>以下 BackUp</t>
    <rPh sb="0" eb="2">
      <t>イカ</t>
    </rPh>
    <phoneticPr fontId="5"/>
  </si>
  <si>
    <t>DELL</t>
    <phoneticPr fontId="5"/>
  </si>
  <si>
    <t>Provider=SQLOLEDB.1;Integrated Security=SSPI;Persist Security Info=False;Initial Catalog=auto_code;Data Source=10.160.200.39</t>
    <phoneticPr fontId="5"/>
  </si>
  <si>
    <t>Company</t>
    <phoneticPr fontId="5"/>
  </si>
  <si>
    <t>Provider=SQLOLEDB.1;Data Source=10.160.200.39; Initial Catalog=COPY-SA;Persist Security Info=True;User ID=sa;Password=lixil@2014</t>
    <phoneticPr fontId="5"/>
  </si>
  <si>
    <t>DB接続設定</t>
    <rPh sb="2" eb="4">
      <t>セツゾク</t>
    </rPh>
    <rPh sb="4" eb="6">
      <t>セッテイ</t>
    </rPh>
    <phoneticPr fontId="5"/>
  </si>
  <si>
    <t>TABLE一覧取得</t>
    <rPh sb="5" eb="7">
      <t>イチラン</t>
    </rPh>
    <rPh sb="7" eb="9">
      <t>シュトク</t>
    </rPh>
    <phoneticPr fontId="5"/>
  </si>
  <si>
    <t>TABLEのCopy</t>
    <phoneticPr fontId="5"/>
  </si>
  <si>
    <t>TABLE作成のTemplete</t>
    <rPh sb="5" eb="7">
      <t>サクセイ</t>
    </rPh>
    <phoneticPr fontId="5"/>
  </si>
  <si>
    <t>COPY利用</t>
    <rPh sb="4" eb="6">
      <t>リヨウ</t>
    </rPh>
    <phoneticPr fontId="5"/>
  </si>
  <si>
    <t>1.</t>
    <phoneticPr fontId="5"/>
  </si>
  <si>
    <t>2.</t>
  </si>
  <si>
    <t>3.</t>
  </si>
  <si>
    <t>4.</t>
  </si>
  <si>
    <t>COPY-SA</t>
    <phoneticPr fontId="5"/>
  </si>
  <si>
    <t>auto_code</t>
    <phoneticPr fontId="5"/>
  </si>
  <si>
    <t>SUKAGAWA</t>
  </si>
  <si>
    <t>t_test_item_confirm</t>
  </si>
  <si>
    <t>t_test_item_answer</t>
  </si>
  <si>
    <t>t_test_item_judge</t>
  </si>
  <si>
    <t>t_test_item_learn_cor</t>
  </si>
  <si>
    <t>t_test_subject_info</t>
  </si>
  <si>
    <t>m_syain</t>
  </si>
  <si>
    <t>t_test_item_info</t>
  </si>
  <si>
    <t>t_test_learn</t>
  </si>
  <si>
    <t>t_test_question</t>
  </si>
  <si>
    <t>ＳＴＡＴＵＳ２</t>
  </si>
  <si>
    <t>R111</t>
  </si>
  <si>
    <t>aaa</t>
  </si>
  <si>
    <t/>
  </si>
  <si>
    <t xml:space="preserve">  </t>
  </si>
  <si>
    <t xml:space="preserve">   </t>
  </si>
  <si>
    <t>R112</t>
  </si>
  <si>
    <t>R114</t>
  </si>
  <si>
    <t>R115</t>
  </si>
  <si>
    <t>sysdiagrams</t>
  </si>
  <si>
    <t>P1</t>
  </si>
  <si>
    <t>○</t>
  </si>
  <si>
    <t>●</t>
    <phoneticPr fontId="5"/>
  </si>
  <si>
    <t>EDP NUMBER-(key)</t>
    <phoneticPr fontId="5"/>
  </si>
  <si>
    <t>ASPXのパス</t>
    <phoneticPr fontId="5"/>
  </si>
  <si>
    <t>作成者：李松涛</t>
    <rPh sb="4" eb="5">
      <t>リ</t>
    </rPh>
    <rPh sb="5" eb="6">
      <t>マツ</t>
    </rPh>
    <rPh sb="6" eb="7">
      <t>トウ</t>
    </rPh>
    <phoneticPr fontId="11"/>
  </si>
  <si>
    <t>EDP-№：</t>
    <phoneticPr fontId="11"/>
  </si>
  <si>
    <t>EDP-№：999999</t>
    <phoneticPr fontId="11"/>
  </si>
  <si>
    <t>Provider=SQLOLEDB.1;Data Source=LKD392; Initial Catalog=SUKAGAWA;Persist Security Info=True;User ID=s_kensyu;Password=sukagawa</t>
    <phoneticPr fontId="5"/>
  </si>
  <si>
    <t>m_default_info</t>
  </si>
  <si>
    <t>m_db_info</t>
  </si>
  <si>
    <t>m_siryoiu</t>
  </si>
  <si>
    <t>m_siryoiu_rireki</t>
  </si>
  <si>
    <t>t_table_info</t>
  </si>
  <si>
    <t>m_main_use_table</t>
  </si>
  <si>
    <t>m_job_kinds</t>
  </si>
  <si>
    <t>m_job_ms</t>
  </si>
  <si>
    <t>m_siryou_rireki</t>
  </si>
  <si>
    <t>m_edp</t>
  </si>
  <si>
    <t>m_siryou</t>
  </si>
  <si>
    <t>m_ankan_kihon_info</t>
  </si>
  <si>
    <t>m_ankan_kinou_info</t>
  </si>
  <si>
    <t>m_ankan_pgm</t>
  </si>
  <si>
    <t>m_ankan_pgm_info</t>
  </si>
  <si>
    <t>t_today_do</t>
  </si>
  <si>
    <t>cpm_cp</t>
  </si>
  <si>
    <t>cpm_game</t>
  </si>
  <si>
    <t>cpm_pl</t>
  </si>
  <si>
    <t>cpm_player</t>
  </si>
  <si>
    <t>cpm_buy_mark</t>
  </si>
  <si>
    <t>cpm_team</t>
  </si>
  <si>
    <t>cpm_pm</t>
  </si>
  <si>
    <t>ACTIVEAutoDB</t>
    <rPh sb="0" eb="2">
      <t>コテイ</t>
    </rPh>
    <phoneticPr fontId="5"/>
  </si>
  <si>
    <t>固定ACTIVEAutoDB</t>
    <phoneticPr fontId="5"/>
  </si>
  <si>
    <t>ITEM名</t>
    <phoneticPr fontId="5"/>
  </si>
  <si>
    <t>ntext</t>
  </si>
  <si>
    <t>nvarchar</t>
    <phoneticPr fontId="5"/>
  </si>
  <si>
    <t>登録時間</t>
  </si>
  <si>
    <t>touroku_time</t>
  </si>
  <si>
    <t>share_type</t>
  </si>
  <si>
    <t>共有</t>
  </si>
  <si>
    <t>システム名</t>
  </si>
  <si>
    <t>system_name</t>
  </si>
  <si>
    <t>m_data</t>
    <phoneticPr fontId="5"/>
  </si>
  <si>
    <t>ファイル種類</t>
    <phoneticPr fontId="5"/>
  </si>
  <si>
    <t>m_system_name</t>
    <phoneticPr fontId="5"/>
  </si>
  <si>
    <t>m_edp</t>
    <phoneticPr fontId="5"/>
  </si>
  <si>
    <t>EDP番号</t>
  </si>
  <si>
    <t>資料保存する</t>
    <phoneticPr fontId="5"/>
  </si>
  <si>
    <t>VAPM</t>
  </si>
  <si>
    <t>SA</t>
  </si>
  <si>
    <t>VTHM</t>
  </si>
  <si>
    <t>システム名-(key)</t>
    <phoneticPr fontId="31" type="noConversion"/>
  </si>
  <si>
    <t>nvarchar</t>
    <phoneticPr fontId="5"/>
  </si>
  <si>
    <t>data_txt</t>
    <phoneticPr fontId="5"/>
  </si>
  <si>
    <t>data_html</t>
    <phoneticPr fontId="5"/>
  </si>
  <si>
    <t>内容TXT</t>
    <phoneticPr fontId="5"/>
  </si>
  <si>
    <t>内容HTML</t>
    <phoneticPr fontId="5"/>
  </si>
  <si>
    <t>VAPM,SA</t>
  </si>
  <si>
    <t>BCパス</t>
    <phoneticPr fontId="5"/>
  </si>
  <si>
    <t>DAパス</t>
    <phoneticPr fontId="5"/>
  </si>
  <si>
    <t>datetime</t>
    <phoneticPr fontId="5"/>
  </si>
  <si>
    <t>edp_name</t>
  </si>
  <si>
    <t>EDP_番号</t>
  </si>
  <si>
    <t>EDP_名</t>
  </si>
  <si>
    <t>E:\案件\AutoCode_SaveData\Web\</t>
    <phoneticPr fontId="5"/>
  </si>
  <si>
    <t>data_owner</t>
    <phoneticPr fontId="5"/>
  </si>
  <si>
    <t>所有者</t>
    <phoneticPr fontId="5"/>
  </si>
  <si>
    <t>ファイル名</t>
    <rPh sb="4" eb="5">
      <t>メイ</t>
    </rPh>
    <phoneticPr fontId="5"/>
  </si>
  <si>
    <t>file_name</t>
    <phoneticPr fontId="5"/>
  </si>
  <si>
    <t>editor_kind</t>
    <phoneticPr fontId="5"/>
  </si>
  <si>
    <t>Editor種類</t>
    <phoneticPr fontId="5"/>
  </si>
  <si>
    <t>自分：Zxxxxxx Company：Rxxxxx</t>
    <rPh sb="0" eb="2">
      <t>ジブン</t>
    </rPh>
    <phoneticPr fontId="5"/>
  </si>
  <si>
    <t>案件資料</t>
    <rPh sb="0" eb="2">
      <t>アンケン</t>
    </rPh>
    <phoneticPr fontId="5"/>
  </si>
  <si>
    <t>m_data_job</t>
    <phoneticPr fontId="5"/>
  </si>
  <si>
    <t>Provider=SQLOLEDB.1;Data Source=(local); Initial Catalog=auto_savedata;Persist Security Info=True;User ID=sa;Password=19833130</t>
    <phoneticPr fontId="5"/>
  </si>
  <si>
    <t>INDEX</t>
  </si>
  <si>
    <t>DB接続No</t>
  </si>
  <si>
    <t>int</t>
    <phoneticPr fontId="31" type="noConversion"/>
  </si>
  <si>
    <t xml:space="preserve"> キー</t>
  </si>
  <si>
    <t xml:space="preserve"> 0:案件、1:技術　</t>
  </si>
  <si>
    <t xml:space="preserve"> VAPM、SA</t>
  </si>
  <si>
    <t xml:space="preserve"> 自分：Zxxxxxx Company：Rxxxxx</t>
  </si>
  <si>
    <t xml:space="preserve"> Editorの TXT、VBS</t>
  </si>
  <si>
    <t xml:space="preserve"> DB接続</t>
  </si>
  <si>
    <t xml:space="preserve"> ファイル名</t>
  </si>
  <si>
    <t xml:space="preserve"> メニューNo（空白可）</t>
  </si>
  <si>
    <t xml:space="preserve"> 機能名</t>
  </si>
  <si>
    <t>内容TXT</t>
  </si>
  <si>
    <t>内容HTML</t>
  </si>
  <si>
    <t>所有者</t>
  </si>
  <si>
    <t>Surface</t>
    <phoneticPr fontId="5"/>
  </si>
  <si>
    <t>DB接続情報</t>
    <rPh sb="4" eb="6">
      <t>ジョウホウ</t>
    </rPh>
    <phoneticPr fontId="5"/>
  </si>
  <si>
    <t>m_db_connect</t>
    <phoneticPr fontId="5"/>
  </si>
  <si>
    <t>connect_no</t>
  </si>
  <si>
    <t>connect_name</t>
  </si>
  <si>
    <t>connect_str</t>
  </si>
  <si>
    <t>DB接続情報</t>
    <phoneticPr fontId="5"/>
  </si>
  <si>
    <t>仕事データ</t>
    <phoneticPr fontId="5"/>
  </si>
  <si>
    <t>siryou_kind</t>
  </si>
  <si>
    <t>資料分類</t>
  </si>
  <si>
    <t>kinou_name</t>
  </si>
  <si>
    <t>機能名</t>
  </si>
  <si>
    <t>editor_kind</t>
  </si>
  <si>
    <t>Editor種類</t>
  </si>
  <si>
    <t>menu_no</t>
  </si>
  <si>
    <t>メニューNo</t>
  </si>
  <si>
    <t>file_name</t>
  </si>
  <si>
    <t>ファイル名</t>
  </si>
  <si>
    <t>data_txt</t>
  </si>
  <si>
    <t>data_html</t>
  </si>
  <si>
    <t>data_owner</t>
  </si>
  <si>
    <t>datetime</t>
  </si>
  <si>
    <t>資料保存する</t>
    <phoneticPr fontId="5"/>
  </si>
  <si>
    <t>システム名Info</t>
    <rPh sb="4" eb="5">
      <t>メイ</t>
    </rPh>
    <phoneticPr fontId="5"/>
  </si>
  <si>
    <t>順番</t>
    <rPh sb="0" eb="2">
      <t>じゅんばん</t>
    </rPh>
    <phoneticPr fontId="31" type="noConversion"/>
  </si>
  <si>
    <t>junban</t>
    <phoneticPr fontId="31" type="noConversion"/>
  </si>
  <si>
    <t>edp_staus</t>
  </si>
  <si>
    <t>STAUS</t>
  </si>
  <si>
    <t>char</t>
  </si>
  <si>
    <t>9:削除</t>
  </si>
  <si>
    <t>－ＣＯＮＮＥＣＴ－ＮＡＭＥ</t>
  </si>
  <si>
    <t>－ＣＯＮＮＥＣＴ－ＳＴＲ</t>
  </si>
  <si>
    <t>共有</t>
    <phoneticPr fontId="31" type="noConversion"/>
  </si>
  <si>
    <t>F:\ILIKEMAKE2017\AutoCode_SaveData\Web\</t>
    <phoneticPr fontId="5"/>
  </si>
  <si>
    <t>寝室</t>
    <phoneticPr fontId="5"/>
  </si>
  <si>
    <t>公司</t>
    <phoneticPr fontId="5"/>
  </si>
  <si>
    <t>Provider=SQLOLEDB.1;Data Source=WIN7U-20150705K\R2; Initial Catalog=auto_code_savedata;Persist Security Info=True;User ID=sa;Password=1983313a</t>
    <phoneticPr fontId="5"/>
  </si>
  <si>
    <t>Provider=SQLOLEDB.1;Data Source=WIN7U-20150705K\R2; Initial Catalog=auto_code;Persist Security Info=True;User ID=sa;Password=1983313a</t>
    <phoneticPr fontId="5"/>
  </si>
  <si>
    <t>Provider=SQLOLEDB.1;Data Source=WIN7U-20150705K\R2; Initial Catalog=auto_code_savedata;Persist Security Info=True;User ID=sa;Password=1983313a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</si>
</sst>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#,##0_ "/>
  </numFmts>
  <fonts count="33">
    <font>
      <sz val="10"/>
      <name val="ＭＳ ゴシック"/>
      <family val="3"/>
      <charset val="128"/>
    </font>
    <font>
      <b/>
      <sz val="10"/>
      <name val="ＭＳ ゴシック"/>
      <family val="3"/>
      <charset val="128"/>
    </font>
    <font>
      <sz val="10"/>
      <name val="ＭＳ ゴシック"/>
      <family val="3"/>
      <charset val="128"/>
    </font>
    <font>
      <u/>
      <sz val="7.5"/>
      <color indexed="12"/>
      <name val="ＭＳ ゴシック"/>
      <family val="3"/>
      <charset val="128"/>
    </font>
    <font>
      <b/>
      <sz val="12"/>
      <name val="標準ゴシック"/>
      <family val="3"/>
      <charset val="128"/>
    </font>
    <font>
      <sz val="6"/>
      <name val="ＭＳ ゴシック"/>
      <family val="3"/>
      <charset val="128"/>
    </font>
    <font>
      <sz val="9"/>
      <name val="ＭＳ ゴシック"/>
      <family val="3"/>
      <charset val="128"/>
    </font>
    <font>
      <b/>
      <sz val="9"/>
      <name val="ＭＳ ゴシック"/>
      <family val="3"/>
      <charset val="128"/>
    </font>
    <font>
      <sz val="11"/>
      <name val="ＭＳ ゴシック"/>
      <family val="3"/>
      <charset val="128"/>
    </font>
    <font>
      <b/>
      <sz val="11"/>
      <name val="ＭＳ ゴシック"/>
      <family val="3"/>
      <charset val="128"/>
    </font>
    <font>
      <sz val="11"/>
      <name val="明朝"/>
      <family val="3"/>
      <charset val="128"/>
    </font>
    <font>
      <sz val="6"/>
      <name val="ＭＳ 明朝"/>
      <family val="1"/>
      <charset val="128"/>
    </font>
    <font>
      <b/>
      <sz val="11"/>
      <name val="Arial"/>
      <family val="2"/>
    </font>
    <font>
      <b/>
      <sz val="8"/>
      <name val="Arial"/>
      <family val="2"/>
    </font>
    <font>
      <sz val="11"/>
      <name val="Arial"/>
      <family val="2"/>
    </font>
    <font>
      <b/>
      <sz val="11"/>
      <name val="ＭＳ 明朝"/>
      <family val="1"/>
      <charset val="128"/>
    </font>
    <font>
      <sz val="11"/>
      <name val="ＭＳ 明朝"/>
      <family val="1"/>
      <charset val="128"/>
    </font>
    <font>
      <sz val="9"/>
      <color indexed="10"/>
      <name val="ＭＳ ゴシック"/>
      <family val="3"/>
      <charset val="128"/>
    </font>
    <font>
      <sz val="9"/>
      <color indexed="12"/>
      <name val="ＭＳ ゴシック"/>
      <family val="3"/>
      <charset val="128"/>
    </font>
    <font>
      <b/>
      <sz val="8"/>
      <name val="ＭＳ ゴシック"/>
      <family val="3"/>
      <charset val="128"/>
    </font>
    <font>
      <b/>
      <sz val="9"/>
      <color indexed="81"/>
      <name val="ＭＳ Ｐゴシック"/>
      <family val="3"/>
      <charset val="128"/>
    </font>
    <font>
      <sz val="8"/>
      <name val="Arial"/>
      <family val="2"/>
    </font>
    <font>
      <u/>
      <sz val="18"/>
      <color indexed="12"/>
      <name val="HGP創英角ﾎﾟｯﾌﾟ体"/>
      <family val="3"/>
      <charset val="128"/>
    </font>
    <font>
      <sz val="18"/>
      <name val="HGP創英角ﾎﾟｯﾌﾟ体"/>
      <family val="3"/>
      <charset val="128"/>
    </font>
    <font>
      <sz val="11"/>
      <color theme="1"/>
      <name val="宋体"/>
      <family val="3"/>
      <charset val="128"/>
      <scheme val="minor"/>
    </font>
    <font>
      <sz val="9"/>
      <color rgb="FFFF0000"/>
      <name val="ＭＳ ゴシック"/>
      <family val="3"/>
      <charset val="128"/>
    </font>
    <font>
      <sz val="10"/>
      <color rgb="FF0000FF"/>
      <name val="Meiryo UI"/>
      <family val="3"/>
      <charset val="128"/>
    </font>
    <font>
      <b/>
      <sz val="9"/>
      <color theme="0"/>
      <name val="ＭＳ ゴシック"/>
      <family val="3"/>
      <charset val="128"/>
    </font>
    <font>
      <sz val="9"/>
      <color theme="0"/>
      <name val="ＭＳ ゴシック"/>
      <family val="3"/>
      <charset val="128"/>
    </font>
    <font>
      <b/>
      <sz val="9"/>
      <color rgb="FF0000FF"/>
      <name val="ＭＳ ゴシック"/>
      <family val="3"/>
      <charset val="128"/>
    </font>
    <font>
      <b/>
      <sz val="10"/>
      <color rgb="FF0000FF"/>
      <name val="Meiryo UI"/>
      <family val="3"/>
      <charset val="128"/>
    </font>
    <font>
      <sz val="9"/>
      <name val="DengXian"/>
      <family val="3"/>
      <charset val="134"/>
    </font>
    <font>
      <sz val="9"/>
      <color rgb="FF000000"/>
      <name val="MS UI Gothic"/>
      <family val="3"/>
      <charset val="128"/>
    </font>
  </fonts>
  <fills count="1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3" tint="0.3999450666829432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0000"/>
        <bgColor indexed="64"/>
      </patternFill>
    </fill>
  </fills>
  <borders count="2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 diagonalDown="1">
      <left style="thin">
        <color indexed="64"/>
      </left>
      <right style="thin">
        <color indexed="64"/>
      </right>
      <top/>
      <bottom style="thin">
        <color indexed="64"/>
      </bottom>
      <diagonal style="thin">
        <color indexed="64"/>
      </diagonal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9">
    <xf numFmtId="0" fontId="0" fillId="0" borderId="0"/>
    <xf numFmtId="0" fontId="8" fillId="0" borderId="0"/>
    <xf numFmtId="176" fontId="10" fillId="0" borderId="0" applyFont="0" applyFill="0" applyBorder="0" applyAlignment="0" applyProtection="0"/>
    <xf numFmtId="0" fontId="3" fillId="0" borderId="0" applyNumberFormat="0" applyFill="0" applyBorder="0" applyAlignment="0" applyProtection="0">
      <alignment vertical="top"/>
      <protection locked="0"/>
    </xf>
    <xf numFmtId="0" fontId="4" fillId="0" borderId="0"/>
    <xf numFmtId="0" fontId="24" fillId="0" borderId="0">
      <alignment vertical="center"/>
    </xf>
    <xf numFmtId="0" fontId="24" fillId="0" borderId="0">
      <alignment vertical="center"/>
    </xf>
    <xf numFmtId="0" fontId="8" fillId="0" borderId="0"/>
    <xf numFmtId="0" fontId="8" fillId="0" borderId="0"/>
  </cellStyleXfs>
  <cellXfs count="181">
    <xf numFmtId="0" fontId="0" fillId="0" borderId="0" xfId="0"/>
    <xf numFmtId="0" fontId="6" fillId="2" borderId="0" xfId="0" applyFont="1" applyFill="1"/>
    <xf numFmtId="0" fontId="6" fillId="0" borderId="0" xfId="0" applyFont="1" applyFill="1"/>
    <xf numFmtId="0" fontId="6" fillId="0" borderId="0" xfId="0" applyFont="1"/>
    <xf numFmtId="0" fontId="6" fillId="0" borderId="0" xfId="0" applyFont="1" applyFill="1" applyProtection="1">
      <protection locked="0"/>
    </xf>
    <xf numFmtId="0" fontId="7" fillId="3" borderId="1" xfId="0" applyFont="1" applyFill="1" applyBorder="1" applyAlignment="1" applyProtection="1">
      <alignment horizontal="centerContinuous"/>
    </xf>
    <xf numFmtId="0" fontId="6" fillId="0" borderId="2" xfId="0" applyFont="1" applyFill="1" applyBorder="1" applyProtection="1">
      <protection locked="0"/>
    </xf>
    <xf numFmtId="0" fontId="6" fillId="0" borderId="3" xfId="0" applyFont="1" applyFill="1" applyBorder="1" applyProtection="1">
      <protection locked="0"/>
    </xf>
    <xf numFmtId="0" fontId="6" fillId="0" borderId="0" xfId="0" applyFont="1" applyFill="1" applyProtection="1"/>
    <xf numFmtId="0" fontId="7" fillId="3" borderId="4" xfId="0" applyFont="1" applyFill="1" applyBorder="1" applyProtection="1"/>
    <xf numFmtId="0" fontId="6" fillId="3" borderId="5" xfId="0" applyFont="1" applyFill="1" applyBorder="1" applyProtection="1"/>
    <xf numFmtId="0" fontId="6" fillId="3" borderId="6" xfId="0" applyFont="1" applyFill="1" applyBorder="1" applyProtection="1"/>
    <xf numFmtId="0" fontId="7" fillId="3" borderId="7" xfId="0" applyFont="1" applyFill="1" applyBorder="1" applyProtection="1"/>
    <xf numFmtId="0" fontId="7" fillId="3" borderId="8" xfId="0" applyFont="1" applyFill="1" applyBorder="1" applyAlignment="1" applyProtection="1">
      <alignment horizontal="center"/>
    </xf>
    <xf numFmtId="0" fontId="6" fillId="0" borderId="0" xfId="0" applyFont="1" applyFill="1" applyBorder="1"/>
    <xf numFmtId="0" fontId="6" fillId="2" borderId="0" xfId="0" applyFont="1" applyFill="1" applyBorder="1"/>
    <xf numFmtId="0" fontId="8" fillId="0" borderId="0" xfId="8"/>
    <xf numFmtId="0" fontId="8" fillId="0" borderId="0" xfId="8" applyFont="1" applyFill="1" applyProtection="1">
      <protection locked="0"/>
    </xf>
    <xf numFmtId="0" fontId="8" fillId="0" borderId="0" xfId="8" applyFont="1" applyFill="1"/>
    <xf numFmtId="0" fontId="9" fillId="3" borderId="9" xfId="7" applyFont="1" applyFill="1" applyBorder="1" applyAlignment="1" applyProtection="1">
      <alignment horizontal="left" vertical="center"/>
    </xf>
    <xf numFmtId="0" fontId="9" fillId="3" borderId="5" xfId="8" applyFont="1" applyFill="1" applyBorder="1" applyAlignment="1" applyProtection="1"/>
    <xf numFmtId="0" fontId="9" fillId="3" borderId="10" xfId="0" applyFont="1" applyFill="1" applyBorder="1" applyAlignment="1" applyProtection="1">
      <alignment horizontal="center" vertical="center"/>
    </xf>
    <xf numFmtId="0" fontId="9" fillId="3" borderId="10" xfId="0" applyFont="1" applyFill="1" applyBorder="1" applyAlignment="1" applyProtection="1">
      <alignment horizontal="center" vertical="center" shrinkToFit="1"/>
    </xf>
    <xf numFmtId="0" fontId="9" fillId="3" borderId="11" xfId="0" applyFont="1" applyFill="1" applyBorder="1" applyAlignment="1" applyProtection="1">
      <alignment horizontal="center" vertical="center"/>
    </xf>
    <xf numFmtId="0" fontId="13" fillId="3" borderId="7" xfId="8" applyFont="1" applyFill="1" applyBorder="1" applyAlignment="1" applyProtection="1">
      <alignment vertical="center"/>
    </xf>
    <xf numFmtId="0" fontId="9" fillId="3" borderId="8" xfId="7" applyFont="1" applyFill="1" applyBorder="1" applyAlignment="1" applyProtection="1">
      <alignment horizontal="center" vertical="center"/>
    </xf>
    <xf numFmtId="0" fontId="12" fillId="3" borderId="8" xfId="7" applyFont="1" applyFill="1" applyBorder="1" applyAlignment="1" applyProtection="1">
      <alignment horizontal="center" vertical="center"/>
    </xf>
    <xf numFmtId="0" fontId="13" fillId="3" borderId="8" xfId="7" applyFont="1" applyFill="1" applyBorder="1" applyAlignment="1" applyProtection="1">
      <alignment horizontal="center" vertical="center" shrinkToFit="1"/>
    </xf>
    <xf numFmtId="0" fontId="13" fillId="3" borderId="7" xfId="7" applyFont="1" applyFill="1" applyBorder="1" applyAlignment="1" applyProtection="1">
      <alignment horizontal="center" vertical="center" wrapText="1"/>
      <protection locked="0"/>
    </xf>
    <xf numFmtId="0" fontId="8" fillId="0" borderId="0" xfId="0" applyFont="1" applyFill="1"/>
    <xf numFmtId="0" fontId="9" fillId="3" borderId="8" xfId="0" applyFont="1" applyFill="1" applyBorder="1" applyAlignment="1" applyProtection="1">
      <alignment horizontal="center"/>
    </xf>
    <xf numFmtId="0" fontId="8" fillId="0" borderId="0" xfId="8" applyFont="1" applyFill="1" applyAlignment="1" applyProtection="1">
      <alignment horizontal="right"/>
      <protection locked="0"/>
    </xf>
    <xf numFmtId="0" fontId="6" fillId="3" borderId="4" xfId="0" applyFont="1" applyFill="1" applyBorder="1" applyAlignment="1">
      <alignment horizontal="right"/>
    </xf>
    <xf numFmtId="0" fontId="9" fillId="3" borderId="10" xfId="0" applyFont="1" applyFill="1" applyBorder="1" applyAlignment="1" applyProtection="1">
      <alignment horizontal="right" vertical="center"/>
    </xf>
    <xf numFmtId="0" fontId="13" fillId="3" borderId="8" xfId="7" applyFont="1" applyFill="1" applyBorder="1" applyAlignment="1" applyProtection="1">
      <alignment horizontal="right" vertical="center"/>
    </xf>
    <xf numFmtId="0" fontId="6" fillId="0" borderId="0" xfId="0" applyFont="1" applyFill="1" applyAlignment="1" applyProtection="1">
      <alignment horizontal="right"/>
      <protection locked="0"/>
    </xf>
    <xf numFmtId="0" fontId="8" fillId="0" borderId="0" xfId="8" applyFont="1" applyFill="1" applyAlignment="1" applyProtection="1">
      <alignment horizontal="center"/>
      <protection locked="0"/>
    </xf>
    <xf numFmtId="0" fontId="6" fillId="3" borderId="1" xfId="0" applyFont="1" applyFill="1" applyBorder="1" applyAlignment="1" applyProtection="1">
      <alignment horizontal="center"/>
    </xf>
    <xf numFmtId="0" fontId="6" fillId="3" borderId="6" xfId="0" applyFont="1" applyFill="1" applyBorder="1" applyAlignment="1" applyProtection="1">
      <alignment horizontal="center"/>
    </xf>
    <xf numFmtId="0" fontId="6" fillId="0" borderId="0" xfId="0" applyFont="1" applyFill="1" applyAlignment="1" applyProtection="1">
      <alignment horizontal="center"/>
      <protection locked="0"/>
    </xf>
    <xf numFmtId="0" fontId="8" fillId="0" borderId="0" xfId="8" applyFont="1" applyFill="1" applyAlignment="1" applyProtection="1">
      <alignment wrapText="1"/>
      <protection locked="0"/>
    </xf>
    <xf numFmtId="0" fontId="6" fillId="3" borderId="1" xfId="0" applyFont="1" applyFill="1" applyBorder="1" applyAlignment="1" applyProtection="1">
      <alignment horizontal="centerContinuous" wrapText="1"/>
    </xf>
    <xf numFmtId="0" fontId="9" fillId="3" borderId="10" xfId="0" applyFont="1" applyFill="1" applyBorder="1" applyAlignment="1" applyProtection="1">
      <alignment horizontal="center" vertical="center" wrapText="1"/>
    </xf>
    <xf numFmtId="0" fontId="13" fillId="3" borderId="8" xfId="7" applyFont="1" applyFill="1" applyBorder="1" applyAlignment="1" applyProtection="1">
      <alignment horizontal="center" vertical="center" wrapText="1"/>
    </xf>
    <xf numFmtId="0" fontId="6" fillId="0" borderId="0" xfId="0" applyFont="1" applyFill="1" applyAlignment="1" applyProtection="1">
      <alignment wrapText="1"/>
      <protection locked="0"/>
    </xf>
    <xf numFmtId="0" fontId="6" fillId="0" borderId="5" xfId="0" applyFont="1" applyFill="1" applyBorder="1"/>
    <xf numFmtId="0" fontId="6" fillId="0" borderId="5" xfId="0" applyFont="1" applyFill="1" applyBorder="1" applyProtection="1"/>
    <xf numFmtId="177" fontId="6" fillId="0" borderId="3" xfId="0" applyNumberFormat="1" applyFont="1" applyFill="1" applyBorder="1"/>
    <xf numFmtId="0" fontId="6" fillId="0" borderId="12" xfId="0" applyFont="1" applyFill="1" applyBorder="1"/>
    <xf numFmtId="0" fontId="6" fillId="0" borderId="7" xfId="0" applyFont="1" applyFill="1" applyBorder="1" applyProtection="1"/>
    <xf numFmtId="177" fontId="6" fillId="0" borderId="13" xfId="0" applyNumberFormat="1" applyFont="1" applyFill="1" applyBorder="1"/>
    <xf numFmtId="0" fontId="6" fillId="0" borderId="11" xfId="0" applyFont="1" applyFill="1" applyBorder="1" applyProtection="1"/>
    <xf numFmtId="177" fontId="6" fillId="0" borderId="13" xfId="0" applyNumberFormat="1" applyFont="1" applyFill="1" applyBorder="1" applyProtection="1"/>
    <xf numFmtId="0" fontId="6" fillId="0" borderId="14" xfId="0" applyFont="1" applyFill="1" applyBorder="1" applyProtection="1"/>
    <xf numFmtId="177" fontId="6" fillId="0" borderId="4" xfId="0" applyNumberFormat="1" applyFont="1" applyFill="1" applyBorder="1" applyProtection="1"/>
    <xf numFmtId="0" fontId="15" fillId="4" borderId="14" xfId="0" applyFont="1" applyFill="1" applyBorder="1"/>
    <xf numFmtId="0" fontId="0" fillId="5" borderId="14" xfId="0" applyFill="1" applyBorder="1"/>
    <xf numFmtId="0" fontId="16" fillId="5" borderId="14" xfId="0" applyFont="1" applyFill="1" applyBorder="1"/>
    <xf numFmtId="0" fontId="0" fillId="0" borderId="0" xfId="0" applyAlignment="1">
      <alignment wrapText="1"/>
    </xf>
    <xf numFmtId="0" fontId="16" fillId="0" borderId="0" xfId="0" applyFont="1" applyAlignment="1">
      <alignment vertical="top" wrapText="1"/>
    </xf>
    <xf numFmtId="0" fontId="25" fillId="0" borderId="0" xfId="0" applyFont="1" applyFill="1" applyProtection="1"/>
    <xf numFmtId="0" fontId="2" fillId="0" borderId="15" xfId="0" applyFont="1" applyFill="1" applyBorder="1" applyAlignment="1">
      <alignment vertical="center"/>
    </xf>
    <xf numFmtId="0" fontId="0" fillId="0" borderId="16" xfId="0" applyFont="1" applyFill="1" applyBorder="1" applyAlignment="1">
      <alignment vertical="center"/>
    </xf>
    <xf numFmtId="0" fontId="9" fillId="3" borderId="6" xfId="7" applyFont="1" applyFill="1" applyBorder="1" applyAlignment="1" applyProtection="1">
      <alignment vertical="center"/>
    </xf>
    <xf numFmtId="0" fontId="14" fillId="3" borderId="3" xfId="7" applyFont="1" applyFill="1" applyBorder="1" applyAlignment="1" applyProtection="1">
      <alignment vertical="center"/>
    </xf>
    <xf numFmtId="0" fontId="14" fillId="3" borderId="5" xfId="7" applyFont="1" applyFill="1" applyBorder="1" applyAlignment="1" applyProtection="1">
      <alignment vertical="center"/>
      <protection locked="0"/>
    </xf>
    <xf numFmtId="49" fontId="0" fillId="0" borderId="0" xfId="0" applyNumberFormat="1"/>
    <xf numFmtId="0" fontId="0" fillId="0" borderId="0" xfId="0" applyNumberFormat="1"/>
    <xf numFmtId="0" fontId="6" fillId="6" borderId="14" xfId="0" applyFont="1" applyFill="1" applyBorder="1" applyAlignment="1">
      <alignment horizontal="left"/>
    </xf>
    <xf numFmtId="0" fontId="6" fillId="0" borderId="14" xfId="0" applyFont="1" applyFill="1" applyBorder="1" applyAlignment="1">
      <alignment horizontal="left"/>
    </xf>
    <xf numFmtId="0" fontId="6" fillId="0" borderId="14" xfId="0" applyFont="1" applyFill="1" applyBorder="1" applyAlignment="1">
      <alignment horizontal="left" vertical="top" wrapText="1"/>
    </xf>
    <xf numFmtId="0" fontId="6" fillId="0" borderId="14" xfId="0" applyFont="1" applyFill="1" applyBorder="1" applyAlignment="1">
      <alignment horizontal="left" vertical="top"/>
    </xf>
    <xf numFmtId="0" fontId="17" fillId="0" borderId="14" xfId="0" applyFont="1" applyFill="1" applyBorder="1" applyAlignment="1">
      <alignment horizontal="left"/>
    </xf>
    <xf numFmtId="0" fontId="18" fillId="0" borderId="14" xfId="0" applyFont="1" applyFill="1" applyBorder="1" applyAlignment="1">
      <alignment horizontal="left"/>
    </xf>
    <xf numFmtId="0" fontId="6" fillId="0" borderId="14" xfId="0" applyFont="1" applyFill="1" applyBorder="1" applyAlignment="1">
      <alignment horizontal="left" wrapText="1"/>
    </xf>
    <xf numFmtId="0" fontId="25" fillId="0" borderId="9" xfId="0" applyFont="1" applyFill="1" applyBorder="1" applyAlignment="1">
      <alignment horizontal="left"/>
    </xf>
    <xf numFmtId="0" fontId="25" fillId="0" borderId="14" xfId="0" applyFont="1" applyFill="1" applyBorder="1" applyAlignment="1">
      <alignment horizontal="left"/>
    </xf>
    <xf numFmtId="0" fontId="6" fillId="0" borderId="9" xfId="0" applyFont="1" applyFill="1" applyBorder="1" applyAlignment="1">
      <alignment horizontal="left"/>
    </xf>
    <xf numFmtId="0" fontId="26" fillId="0" borderId="0" xfId="0" quotePrefix="1" applyFont="1" applyFill="1" applyBorder="1"/>
    <xf numFmtId="0" fontId="27" fillId="7" borderId="0" xfId="0" applyFont="1" applyFill="1" applyBorder="1" applyAlignment="1">
      <alignment horizontal="center" vertical="top"/>
    </xf>
    <xf numFmtId="0" fontId="28" fillId="7" borderId="0" xfId="0" applyFont="1" applyFill="1" applyBorder="1" applyAlignment="1">
      <alignment horizontal="left" vertical="top"/>
    </xf>
    <xf numFmtId="0" fontId="28" fillId="7" borderId="0" xfId="0" applyFont="1" applyFill="1" applyBorder="1" applyAlignment="1" applyProtection="1">
      <alignment wrapText="1"/>
      <protection locked="0"/>
    </xf>
    <xf numFmtId="0" fontId="28" fillId="7" borderId="0" xfId="0" applyFont="1" applyFill="1" applyBorder="1" applyAlignment="1" applyProtection="1">
      <alignment horizontal="center"/>
      <protection locked="0"/>
    </xf>
    <xf numFmtId="0" fontId="28" fillId="7" borderId="0" xfId="0" applyFont="1" applyFill="1" applyBorder="1" applyAlignment="1" applyProtection="1">
      <alignment horizontal="right"/>
      <protection locked="0"/>
    </xf>
    <xf numFmtId="0" fontId="28" fillId="7" borderId="0" xfId="0" applyFont="1" applyFill="1" applyBorder="1" applyProtection="1">
      <protection locked="0"/>
    </xf>
    <xf numFmtId="0" fontId="28" fillId="7" borderId="0" xfId="0" applyFont="1" applyFill="1" applyBorder="1"/>
    <xf numFmtId="0" fontId="6" fillId="0" borderId="5" xfId="0" applyFont="1" applyFill="1" applyBorder="1" applyAlignment="1">
      <alignment horizontal="left"/>
    </xf>
    <xf numFmtId="0" fontId="6" fillId="0" borderId="6" xfId="0" applyFont="1" applyFill="1" applyBorder="1" applyAlignment="1">
      <alignment horizontal="left"/>
    </xf>
    <xf numFmtId="0" fontId="6" fillId="0" borderId="5" xfId="0" applyFont="1" applyFill="1" applyBorder="1" applyAlignment="1">
      <alignment horizontal="left" wrapText="1"/>
    </xf>
    <xf numFmtId="49" fontId="6" fillId="0" borderId="0" xfId="0" applyNumberFormat="1" applyFont="1" applyFill="1" applyBorder="1" applyProtection="1">
      <protection locked="0"/>
    </xf>
    <xf numFmtId="49" fontId="6" fillId="0" borderId="0" xfId="0" applyNumberFormat="1" applyFont="1" applyFill="1" applyBorder="1" applyAlignment="1" applyProtection="1">
      <alignment wrapText="1"/>
      <protection locked="0"/>
    </xf>
    <xf numFmtId="49" fontId="6" fillId="0" borderId="0" xfId="0" applyNumberFormat="1" applyFont="1" applyFill="1" applyBorder="1" applyAlignment="1" applyProtection="1">
      <alignment horizontal="center"/>
      <protection locked="0"/>
    </xf>
    <xf numFmtId="49" fontId="6" fillId="0" borderId="0" xfId="0" applyNumberFormat="1" applyFont="1" applyFill="1" applyBorder="1" applyAlignment="1" applyProtection="1">
      <alignment horizontal="right"/>
      <protection locked="0"/>
    </xf>
    <xf numFmtId="49" fontId="6" fillId="0" borderId="0" xfId="0" applyNumberFormat="1" applyFont="1" applyFill="1" applyBorder="1"/>
    <xf numFmtId="0" fontId="0" fillId="0" borderId="14" xfId="0" applyBorder="1"/>
    <xf numFmtId="49" fontId="7" fillId="8" borderId="0" xfId="0" applyNumberFormat="1" applyFont="1" applyFill="1" applyBorder="1"/>
    <xf numFmtId="49" fontId="7" fillId="8" borderId="0" xfId="0" applyNumberFormat="1" applyFont="1" applyFill="1" applyBorder="1" applyProtection="1">
      <protection locked="0"/>
    </xf>
    <xf numFmtId="0" fontId="14" fillId="0" borderId="17" xfId="0" applyFont="1" applyBorder="1" applyAlignment="1">
      <alignment vertical="center"/>
    </xf>
    <xf numFmtId="0" fontId="1" fillId="0" borderId="15" xfId="0" applyFont="1" applyBorder="1" applyAlignment="1">
      <alignment horizontal="right" vertical="center"/>
    </xf>
    <xf numFmtId="0" fontId="8" fillId="0" borderId="15" xfId="0" applyFont="1" applyBorder="1" applyAlignment="1">
      <alignment vertical="center" wrapText="1"/>
    </xf>
    <xf numFmtId="0" fontId="8" fillId="0" borderId="15" xfId="0" applyFont="1" applyFill="1" applyBorder="1" applyAlignment="1" applyProtection="1">
      <alignment horizontal="center"/>
      <protection locked="0"/>
    </xf>
    <xf numFmtId="0" fontId="8" fillId="0" borderId="15" xfId="0" applyFont="1" applyBorder="1" applyAlignment="1">
      <alignment horizontal="right" vertical="center"/>
    </xf>
    <xf numFmtId="0" fontId="8" fillId="0" borderId="15" xfId="0" applyFont="1" applyBorder="1" applyAlignment="1">
      <alignment vertical="center"/>
    </xf>
    <xf numFmtId="0" fontId="8" fillId="0" borderId="15" xfId="0" applyFont="1" applyFill="1" applyBorder="1" applyProtection="1">
      <protection locked="0"/>
    </xf>
    <xf numFmtId="0" fontId="8" fillId="0" borderId="15" xfId="0" applyFont="1" applyBorder="1" applyAlignment="1">
      <alignment horizontal="center" vertical="center"/>
    </xf>
    <xf numFmtId="0" fontId="8" fillId="0" borderId="15" xfId="0" applyFont="1" applyFill="1" applyBorder="1" applyAlignment="1" applyProtection="1">
      <protection locked="0"/>
    </xf>
    <xf numFmtId="0" fontId="8" fillId="0" borderId="16" xfId="0" applyFont="1" applyBorder="1" applyAlignment="1">
      <alignment horizontal="center" vertical="center"/>
    </xf>
    <xf numFmtId="0" fontId="1" fillId="0" borderId="17" xfId="0" applyFont="1" applyBorder="1" applyAlignment="1">
      <alignment vertical="center"/>
    </xf>
    <xf numFmtId="0" fontId="2" fillId="0" borderId="18" xfId="0" applyFont="1" applyBorder="1" applyAlignment="1">
      <alignment horizontal="centerContinuous" vertical="center"/>
    </xf>
    <xf numFmtId="0" fontId="1" fillId="0" borderId="19" xfId="0" applyFont="1" applyBorder="1" applyAlignment="1">
      <alignment vertical="center"/>
    </xf>
    <xf numFmtId="0" fontId="1" fillId="0" borderId="15" xfId="0" applyFont="1" applyBorder="1" applyAlignment="1">
      <alignment horizontal="left" vertical="center"/>
    </xf>
    <xf numFmtId="0" fontId="2" fillId="0" borderId="15" xfId="0" applyFont="1" applyBorder="1" applyAlignment="1">
      <alignment horizontal="right" vertical="center"/>
    </xf>
    <xf numFmtId="0" fontId="2" fillId="0" borderId="15" xfId="0" applyFont="1" applyBorder="1" applyAlignment="1">
      <alignment vertical="center"/>
    </xf>
    <xf numFmtId="0" fontId="2" fillId="0" borderId="18" xfId="0" applyFont="1" applyBorder="1" applyAlignment="1">
      <alignment vertical="center"/>
    </xf>
    <xf numFmtId="0" fontId="0" fillId="0" borderId="16" xfId="0" applyFont="1" applyBorder="1" applyAlignment="1">
      <alignment vertical="center"/>
    </xf>
    <xf numFmtId="0" fontId="0" fillId="9" borderId="5" xfId="0" applyFill="1" applyBorder="1"/>
    <xf numFmtId="0" fontId="0" fillId="10" borderId="5" xfId="0" applyFill="1" applyBorder="1"/>
    <xf numFmtId="0" fontId="0" fillId="11" borderId="14" xfId="0" applyFill="1" applyBorder="1"/>
    <xf numFmtId="0" fontId="22" fillId="0" borderId="0" xfId="3" applyFont="1" applyAlignment="1" applyProtection="1"/>
    <xf numFmtId="0" fontId="23" fillId="0" borderId="0" xfId="0" applyFont="1"/>
    <xf numFmtId="0" fontId="23" fillId="0" borderId="0" xfId="0" quotePrefix="1" applyFont="1"/>
    <xf numFmtId="0" fontId="14" fillId="0" borderId="17" xfId="0" applyFont="1" applyFill="1" applyBorder="1" applyAlignment="1">
      <alignment vertical="center"/>
    </xf>
    <xf numFmtId="0" fontId="1" fillId="0" borderId="15" xfId="0" applyFont="1" applyFill="1" applyBorder="1" applyAlignment="1">
      <alignment horizontal="right" vertical="center"/>
    </xf>
    <xf numFmtId="0" fontId="8" fillId="0" borderId="15" xfId="0" applyFont="1" applyFill="1" applyBorder="1" applyAlignment="1">
      <alignment vertical="center" wrapText="1"/>
    </xf>
    <xf numFmtId="0" fontId="8" fillId="0" borderId="15" xfId="0" applyFont="1" applyFill="1" applyBorder="1" applyAlignment="1">
      <alignment horizontal="right" vertical="center"/>
    </xf>
    <xf numFmtId="0" fontId="8" fillId="0" borderId="15" xfId="0" applyFont="1" applyFill="1" applyBorder="1" applyAlignment="1">
      <alignment vertical="center"/>
    </xf>
    <xf numFmtId="0" fontId="8" fillId="0" borderId="15" xfId="0" applyFont="1" applyFill="1" applyBorder="1" applyAlignment="1">
      <alignment horizontal="center" vertical="center"/>
    </xf>
    <xf numFmtId="0" fontId="8" fillId="0" borderId="16" xfId="0" applyFont="1" applyFill="1" applyBorder="1" applyAlignment="1">
      <alignment horizontal="center" vertical="center"/>
    </xf>
    <xf numFmtId="0" fontId="1" fillId="0" borderId="17" xfId="0" applyFont="1" applyFill="1" applyBorder="1" applyAlignment="1">
      <alignment vertical="center"/>
    </xf>
    <xf numFmtId="0" fontId="2" fillId="0" borderId="18" xfId="0" applyFont="1" applyFill="1" applyBorder="1" applyAlignment="1">
      <alignment horizontal="centerContinuous" vertical="center"/>
    </xf>
    <xf numFmtId="0" fontId="1" fillId="0" borderId="19" xfId="0" applyFont="1" applyFill="1" applyBorder="1" applyAlignment="1">
      <alignment vertical="center"/>
    </xf>
    <xf numFmtId="0" fontId="1" fillId="0" borderId="15" xfId="0" applyFont="1" applyFill="1" applyBorder="1" applyAlignment="1">
      <alignment horizontal="left" vertical="center"/>
    </xf>
    <xf numFmtId="0" fontId="2" fillId="0" borderId="15" xfId="0" applyFont="1" applyFill="1" applyBorder="1" applyAlignment="1">
      <alignment horizontal="right" vertical="center"/>
    </xf>
    <xf numFmtId="0" fontId="2" fillId="0" borderId="18" xfId="0" applyFont="1" applyFill="1" applyBorder="1" applyAlignment="1">
      <alignment vertical="center"/>
    </xf>
    <xf numFmtId="0" fontId="0" fillId="0" borderId="0" xfId="0" applyFill="1" applyBorder="1"/>
    <xf numFmtId="0" fontId="24" fillId="0" borderId="0" xfId="6">
      <alignment vertical="center"/>
    </xf>
    <xf numFmtId="49" fontId="7" fillId="8" borderId="14" xfId="0" applyNumberFormat="1" applyFont="1" applyFill="1" applyBorder="1"/>
    <xf numFmtId="49" fontId="7" fillId="8" borderId="14" xfId="0" applyNumberFormat="1" applyFont="1" applyFill="1" applyBorder="1" applyAlignment="1" applyProtection="1">
      <alignment wrapText="1"/>
      <protection locked="0"/>
    </xf>
    <xf numFmtId="49" fontId="7" fillId="8" borderId="14" xfId="0" applyNumberFormat="1" applyFont="1" applyFill="1" applyBorder="1" applyAlignment="1" applyProtection="1">
      <alignment horizontal="center"/>
      <protection locked="0"/>
    </xf>
    <xf numFmtId="49" fontId="7" fillId="8" borderId="14" xfId="0" applyNumberFormat="1" applyFont="1" applyFill="1" applyBorder="1" applyAlignment="1" applyProtection="1">
      <alignment horizontal="right"/>
      <protection locked="0"/>
    </xf>
    <xf numFmtId="49" fontId="7" fillId="8" borderId="14" xfId="0" applyNumberFormat="1" applyFont="1" applyFill="1" applyBorder="1" applyProtection="1">
      <protection locked="0"/>
    </xf>
    <xf numFmtId="49" fontId="6" fillId="0" borderId="14" xfId="0" applyNumberFormat="1" applyFont="1" applyFill="1" applyBorder="1" applyProtection="1">
      <protection locked="0"/>
    </xf>
    <xf numFmtId="49" fontId="6" fillId="0" borderId="14" xfId="0" applyNumberFormat="1" applyFont="1" applyFill="1" applyBorder="1" applyAlignment="1" applyProtection="1">
      <alignment wrapText="1"/>
      <protection locked="0"/>
    </xf>
    <xf numFmtId="49" fontId="6" fillId="0" borderId="14" xfId="0" applyNumberFormat="1" applyFont="1" applyFill="1" applyBorder="1" applyAlignment="1" applyProtection="1">
      <alignment horizontal="center"/>
      <protection locked="0"/>
    </xf>
    <xf numFmtId="49" fontId="6" fillId="0" borderId="14" xfId="0" applyNumberFormat="1" applyFont="1" applyFill="1" applyBorder="1" applyAlignment="1" applyProtection="1">
      <alignment horizontal="right"/>
      <protection locked="0"/>
    </xf>
    <xf numFmtId="0" fontId="26" fillId="0" borderId="14" xfId="0" quotePrefix="1" applyFont="1" applyFill="1" applyBorder="1"/>
    <xf numFmtId="0" fontId="30" fillId="13" borderId="14" xfId="0" applyFont="1" applyFill="1" applyBorder="1"/>
    <xf numFmtId="0" fontId="26" fillId="0" borderId="0" xfId="0" applyFont="1"/>
    <xf numFmtId="0" fontId="30" fillId="15" borderId="14" xfId="0" applyFont="1" applyFill="1" applyBorder="1"/>
    <xf numFmtId="0" fontId="26" fillId="0" borderId="0" xfId="0" applyFont="1" applyFill="1" applyBorder="1"/>
    <xf numFmtId="0" fontId="30" fillId="0" borderId="0" xfId="0" applyFont="1" applyFill="1" applyBorder="1"/>
    <xf numFmtId="0" fontId="30" fillId="0" borderId="0" xfId="0" applyFont="1"/>
    <xf numFmtId="0" fontId="30" fillId="0" borderId="14" xfId="0" applyFont="1" applyFill="1" applyBorder="1"/>
    <xf numFmtId="0" fontId="30" fillId="14" borderId="14" xfId="0" applyFont="1" applyFill="1" applyBorder="1"/>
    <xf numFmtId="49" fontId="7" fillId="8" borderId="0" xfId="0" applyNumberFormat="1" applyFont="1" applyFill="1" applyBorder="1" applyAlignment="1" applyProtection="1">
      <alignment wrapText="1"/>
      <protection locked="0"/>
    </xf>
    <xf numFmtId="49" fontId="7" fillId="8" borderId="0" xfId="0" applyNumberFormat="1" applyFont="1" applyFill="1" applyBorder="1" applyAlignment="1" applyProtection="1">
      <alignment horizontal="center"/>
      <protection locked="0"/>
    </xf>
    <xf numFmtId="49" fontId="7" fillId="8" borderId="0" xfId="0" applyNumberFormat="1" applyFont="1" applyFill="1" applyBorder="1" applyAlignment="1" applyProtection="1">
      <alignment horizontal="right"/>
      <protection locked="0"/>
    </xf>
    <xf numFmtId="0" fontId="6" fillId="16" borderId="14" xfId="0" applyFont="1" applyFill="1" applyBorder="1" applyAlignment="1">
      <alignment horizontal="left"/>
    </xf>
    <xf numFmtId="0" fontId="6" fillId="12" borderId="9" xfId="0" applyFont="1" applyFill="1" applyBorder="1" applyAlignment="1" applyProtection="1">
      <alignment horizontal="left"/>
      <protection locked="0"/>
    </xf>
    <xf numFmtId="0" fontId="6" fillId="12" borderId="1" xfId="0" applyFont="1" applyFill="1" applyBorder="1" applyAlignment="1" applyProtection="1">
      <alignment horizontal="left"/>
      <protection locked="0"/>
    </xf>
    <xf numFmtId="0" fontId="6" fillId="12" borderId="4" xfId="0" applyFont="1" applyFill="1" applyBorder="1" applyAlignment="1" applyProtection="1">
      <alignment horizontal="left"/>
      <protection locked="0"/>
    </xf>
    <xf numFmtId="0" fontId="6" fillId="12" borderId="6" xfId="0" applyFont="1" applyFill="1" applyBorder="1" applyAlignment="1" applyProtection="1">
      <alignment horizontal="left" vertical="top"/>
      <protection locked="0"/>
    </xf>
    <xf numFmtId="0" fontId="6" fillId="12" borderId="2" xfId="0" applyFont="1" applyFill="1" applyBorder="1" applyAlignment="1" applyProtection="1">
      <alignment horizontal="left" vertical="top"/>
      <protection locked="0"/>
    </xf>
    <xf numFmtId="0" fontId="6" fillId="12" borderId="3" xfId="0" applyFont="1" applyFill="1" applyBorder="1" applyAlignment="1" applyProtection="1">
      <alignment horizontal="left" vertical="top"/>
      <protection locked="0"/>
    </xf>
    <xf numFmtId="0" fontId="6" fillId="12" borderId="8" xfId="0" applyFont="1" applyFill="1" applyBorder="1" applyAlignment="1" applyProtection="1">
      <alignment horizontal="left" vertical="top"/>
      <protection locked="0"/>
    </xf>
    <xf numFmtId="0" fontId="6" fillId="12" borderId="20" xfId="0" applyFont="1" applyFill="1" applyBorder="1" applyAlignment="1" applyProtection="1">
      <alignment horizontal="left" vertical="top"/>
      <protection locked="0"/>
    </xf>
    <xf numFmtId="0" fontId="6" fillId="12" borderId="13" xfId="0" applyFont="1" applyFill="1" applyBorder="1" applyAlignment="1" applyProtection="1">
      <alignment horizontal="left" vertical="top"/>
      <protection locked="0"/>
    </xf>
    <xf numFmtId="0" fontId="6" fillId="0" borderId="9" xfId="0" applyFont="1" applyFill="1" applyBorder="1" applyAlignment="1" applyProtection="1">
      <alignment horizontal="left"/>
      <protection locked="0"/>
    </xf>
    <xf numFmtId="0" fontId="6" fillId="0" borderId="1" xfId="0" applyFont="1" applyFill="1" applyBorder="1" applyAlignment="1" applyProtection="1">
      <alignment horizontal="left"/>
      <protection locked="0"/>
    </xf>
    <xf numFmtId="0" fontId="6" fillId="0" borderId="4" xfId="0" applyFont="1" applyFill="1" applyBorder="1" applyAlignment="1" applyProtection="1">
      <alignment horizontal="left"/>
      <protection locked="0"/>
    </xf>
    <xf numFmtId="0" fontId="6" fillId="0" borderId="6" xfId="0" applyFont="1" applyFill="1" applyBorder="1" applyAlignment="1" applyProtection="1">
      <alignment horizontal="left" vertical="top"/>
      <protection locked="0"/>
    </xf>
    <xf numFmtId="0" fontId="6" fillId="0" borderId="2" xfId="0" applyFont="1" applyFill="1" applyBorder="1" applyAlignment="1" applyProtection="1">
      <alignment horizontal="left" vertical="top"/>
      <protection locked="0"/>
    </xf>
    <xf numFmtId="0" fontId="6" fillId="0" borderId="3" xfId="0" applyFont="1" applyFill="1" applyBorder="1" applyAlignment="1" applyProtection="1">
      <alignment horizontal="left" vertical="top"/>
      <protection locked="0"/>
    </xf>
    <xf numFmtId="0" fontId="6" fillId="0" borderId="8" xfId="0" applyFont="1" applyFill="1" applyBorder="1" applyAlignment="1" applyProtection="1">
      <alignment horizontal="left" vertical="top"/>
      <protection locked="0"/>
    </xf>
    <xf numFmtId="0" fontId="6" fillId="0" borderId="20" xfId="0" applyFont="1" applyFill="1" applyBorder="1" applyAlignment="1" applyProtection="1">
      <alignment horizontal="left" vertical="top"/>
      <protection locked="0"/>
    </xf>
    <xf numFmtId="0" fontId="6" fillId="0" borderId="13" xfId="0" applyFont="1" applyFill="1" applyBorder="1" applyAlignment="1" applyProtection="1">
      <alignment horizontal="left" vertical="top"/>
      <protection locked="0"/>
    </xf>
    <xf numFmtId="0" fontId="29" fillId="12" borderId="9" xfId="0" applyFont="1" applyFill="1" applyBorder="1" applyAlignment="1" applyProtection="1">
      <alignment horizontal="left"/>
      <protection locked="0"/>
    </xf>
    <xf numFmtId="0" fontId="29" fillId="12" borderId="1" xfId="0" applyFont="1" applyFill="1" applyBorder="1" applyAlignment="1" applyProtection="1">
      <alignment horizontal="left"/>
      <protection locked="0"/>
    </xf>
    <xf numFmtId="0" fontId="29" fillId="12" borderId="4" xfId="0" applyFont="1" applyFill="1" applyBorder="1" applyAlignment="1" applyProtection="1">
      <alignment horizontal="left"/>
      <protection locked="0"/>
    </xf>
    <xf numFmtId="0" fontId="0" fillId="0" borderId="0" xfId="0" applyFill="1" applyBorder="1" applyAlignment="1">
      <alignment horizontal="center"/>
    </xf>
    <xf numFmtId="0" fontId="26" fillId="11" borderId="14" xfId="0" quotePrefix="1" applyFont="1" applyFill="1" applyBorder="1"/>
  </cellXfs>
  <cellStyles count="9">
    <cellStyle name="\P" xfId="1"/>
    <cellStyle name="パーセント2" xfId="2"/>
    <cellStyle name="見出し" xfId="4"/>
    <cellStyle name="常规" xfId="0" builtinId="0"/>
    <cellStyle name="超链接" xfId="3" builtinId="8"/>
    <cellStyle name="標準 2" xfId="5"/>
    <cellStyle name="標準 3" xfId="6"/>
    <cellStyle name="標準_Book1" xfId="7"/>
    <cellStyle name="標準_Book2" xfId="8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Drop" dropLines="10" dropStyle="combo" dx="22" fmlaRange="#REF!" noThreeD="1" sel="0" val="0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Drop" dropLines="10" dropStyle="combo" dx="22" fmlaRange="#REF!" noThreeD="1" sel="0" val="0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Drop" dropLines="10" dropStyle="combo" dx="22" fmlaRange="#REF!" noThreeD="1" sel="0" val="0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Drop" dropLines="10" dropStyle="combo" dx="22" fmlaRange="#REF!" noThreeD="1" sel="0" val="0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Drop" dropLines="10" dropStyle="combo" dx="22" fmlaRange="#REF!" noThreeD="1" sel="0" val="0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Drop" dropLines="10" dropStyle="combo" dx="22" fmlaRange="#REF!" noThreeD="1" sel="0" val="0"/>
</file>

<file path=xl/ctrlProps/ctrlProp12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131073" name="cboTYPE" hidden="1">
              <a:extLst>
                <a:ext uri="{63B3BB69-23CF-44E3-9099-C40C66FF867C}">
                  <a14:compatExt spid="_x0000_s131073"/>
                </a:ext>
                <a:ext uri="{FF2B5EF4-FFF2-40B4-BE49-F238E27FC236}">
                  <a16:creationId xmlns="" xmlns:a16="http://schemas.microsoft.com/office/drawing/2014/main" id="{00000000-0008-0000-0200-0000010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161925</xdr:rowOff>
        </xdr:from>
        <xdr:to>
          <xdr:col>4</xdr:col>
          <xdr:colOff>9525</xdr:colOff>
          <xdr:row>7</xdr:row>
          <xdr:rowOff>200025</xdr:rowOff>
        </xdr:to>
        <xdr:sp macro="" textlink="">
          <xdr:nvSpPr>
            <xdr:cNvPr id="131074" name="chkTYPE" hidden="1">
              <a:extLst>
                <a:ext uri="{63B3BB69-23CF-44E3-9099-C40C66FF867C}">
                  <a14:compatExt spid="_x0000_s131074"/>
                </a:ext>
                <a:ext uri="{FF2B5EF4-FFF2-40B4-BE49-F238E27FC236}">
                  <a16:creationId xmlns="" xmlns:a16="http://schemas.microsoft.com/office/drawing/2014/main" id="{00000000-0008-0000-0200-0000020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4" name="角丸四角形 1">
          <a:extLst>
            <a:ext uri="{FF2B5EF4-FFF2-40B4-BE49-F238E27FC236}">
              <a16:creationId xmlns="" xmlns:a16="http://schemas.microsoft.com/office/drawing/2014/main" id="{00000000-0008-0000-0200-000004000000}"/>
            </a:ext>
          </a:extLst>
        </xdr:cNvPr>
        <xdr:cNvSpPr/>
      </xdr:nvSpPr>
      <xdr:spPr bwMode="auto">
        <a:xfrm>
          <a:off x="2076449" y="2075427"/>
          <a:ext cx="1815521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5" name="角丸四角形 6">
          <a:extLst>
            <a:ext uri="{FF2B5EF4-FFF2-40B4-BE49-F238E27FC236}">
              <a16:creationId xmlns="" xmlns:a16="http://schemas.microsoft.com/office/drawing/2014/main" id="{00000000-0008-0000-0200-000005000000}"/>
            </a:ext>
          </a:extLst>
        </xdr:cNvPr>
        <xdr:cNvSpPr/>
      </xdr:nvSpPr>
      <xdr:spPr bwMode="auto">
        <a:xfrm>
          <a:off x="5520689" y="2097405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48</xdr:row>
      <xdr:rowOff>192405</xdr:rowOff>
    </xdr:from>
    <xdr:to>
      <xdr:col>1</xdr:col>
      <xdr:colOff>1619250</xdr:colOff>
      <xdr:row>48</xdr:row>
      <xdr:rowOff>485766</xdr:rowOff>
    </xdr:to>
    <xdr:sp macro="[0]!ClientSelTableInfo" textlink="">
      <xdr:nvSpPr>
        <xdr:cNvPr id="6" name="角丸四角形 7">
          <a:extLst>
            <a:ext uri="{FF2B5EF4-FFF2-40B4-BE49-F238E27FC236}">
              <a16:creationId xmlns="" xmlns:a16="http://schemas.microsoft.com/office/drawing/2014/main" id="{00000000-0008-0000-0200-000006000000}"/>
            </a:ext>
          </a:extLst>
        </xdr:cNvPr>
        <xdr:cNvSpPr/>
      </xdr:nvSpPr>
      <xdr:spPr bwMode="auto">
        <a:xfrm>
          <a:off x="731519" y="91840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1</xdr:col>
      <xdr:colOff>895350</xdr:colOff>
      <xdr:row>2</xdr:row>
      <xdr:rowOff>694456</xdr:rowOff>
    </xdr:to>
    <xdr:sp macro="[0]!CreateTable" textlink="">
      <xdr:nvSpPr>
        <xdr:cNvPr id="7" name="角丸四角形 8">
          <a:extLst>
            <a:ext uri="{FF2B5EF4-FFF2-40B4-BE49-F238E27FC236}">
              <a16:creationId xmlns="" xmlns:a16="http://schemas.microsoft.com/office/drawing/2014/main" id="{00000000-0008-0000-0200-000007000000}"/>
            </a:ext>
          </a:extLst>
        </xdr:cNvPr>
        <xdr:cNvSpPr/>
      </xdr:nvSpPr>
      <xdr:spPr bwMode="auto">
        <a:xfrm>
          <a:off x="255269" y="920997"/>
          <a:ext cx="935356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8" name="角丸四角形 9">
          <a:extLst>
            <a:ext uri="{FF2B5EF4-FFF2-40B4-BE49-F238E27FC236}">
              <a16:creationId xmlns="" xmlns:a16="http://schemas.microsoft.com/office/drawing/2014/main" id="{00000000-0008-0000-0200-000008000000}"/>
            </a:ext>
          </a:extLst>
        </xdr:cNvPr>
        <xdr:cNvSpPr/>
      </xdr:nvSpPr>
      <xdr:spPr bwMode="auto">
        <a:xfrm>
          <a:off x="4152899" y="1444872"/>
          <a:ext cx="721955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9" name="角丸四角形 10">
          <a:extLst>
            <a:ext uri="{FF2B5EF4-FFF2-40B4-BE49-F238E27FC236}">
              <a16:creationId xmlns="" xmlns:a16="http://schemas.microsoft.com/office/drawing/2014/main" id="{00000000-0008-0000-0200-000009000000}"/>
            </a:ext>
          </a:extLst>
        </xdr:cNvPr>
        <xdr:cNvSpPr/>
      </xdr:nvSpPr>
      <xdr:spPr bwMode="auto">
        <a:xfrm>
          <a:off x="5513069" y="91147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0" name="角丸四角形 11">
          <a:extLst>
            <a:ext uri="{FF2B5EF4-FFF2-40B4-BE49-F238E27FC236}">
              <a16:creationId xmlns="" xmlns:a16="http://schemas.microsoft.com/office/drawing/2014/main" id="{00000000-0008-0000-0200-00000A000000}"/>
            </a:ext>
          </a:extLst>
        </xdr:cNvPr>
        <xdr:cNvSpPr/>
      </xdr:nvSpPr>
      <xdr:spPr bwMode="auto">
        <a:xfrm>
          <a:off x="8269604" y="920997"/>
          <a:ext cx="90686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1" name="角丸四角形 12">
          <a:extLst>
            <a:ext uri="{FF2B5EF4-FFF2-40B4-BE49-F238E27FC236}">
              <a16:creationId xmlns="" xmlns:a16="http://schemas.microsoft.com/office/drawing/2014/main" id="{00000000-0008-0000-0200-00000B000000}"/>
            </a:ext>
          </a:extLst>
        </xdr:cNvPr>
        <xdr:cNvSpPr/>
      </xdr:nvSpPr>
      <xdr:spPr bwMode="auto">
        <a:xfrm>
          <a:off x="8269605" y="1438275"/>
          <a:ext cx="1948448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2" name="角丸四角形 13">
          <a:extLst>
            <a:ext uri="{FF2B5EF4-FFF2-40B4-BE49-F238E27FC236}">
              <a16:creationId xmlns="" xmlns:a16="http://schemas.microsoft.com/office/drawing/2014/main" id="{00000000-0008-0000-0200-00000C000000}"/>
            </a:ext>
          </a:extLst>
        </xdr:cNvPr>
        <xdr:cNvSpPr/>
      </xdr:nvSpPr>
      <xdr:spPr bwMode="auto">
        <a:xfrm>
          <a:off x="2095499" y="930522"/>
          <a:ext cx="1825027" cy="26855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13" name="直線矢印コネクタ 3">
          <a:extLst>
            <a:ext uri="{FF2B5EF4-FFF2-40B4-BE49-F238E27FC236}">
              <a16:creationId xmlns="" xmlns:a16="http://schemas.microsoft.com/office/drawing/2014/main" id="{00000000-0008-0000-0200-00000D000000}"/>
            </a:ext>
          </a:extLst>
        </xdr:cNvPr>
        <xdr:cNvCxnSpPr>
          <a:stCxn id="4" idx="3"/>
          <a:endCxn id="8" idx="1"/>
        </xdr:cNvCxnSpPr>
      </xdr:nvCxnSpPr>
      <xdr:spPr bwMode="auto">
        <a:xfrm flipV="1">
          <a:off x="3891915" y="1573460"/>
          <a:ext cx="261289" cy="645823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4" name="直線矢印コネクタ 16">
          <a:extLst>
            <a:ext uri="{FF2B5EF4-FFF2-40B4-BE49-F238E27FC236}">
              <a16:creationId xmlns="" xmlns:a16="http://schemas.microsoft.com/office/drawing/2014/main" id="{00000000-0008-0000-0200-00000E000000}"/>
            </a:ext>
          </a:extLst>
        </xdr:cNvPr>
        <xdr:cNvCxnSpPr>
          <a:stCxn id="12" idx="3"/>
          <a:endCxn id="8" idx="1"/>
        </xdr:cNvCxnSpPr>
      </xdr:nvCxnSpPr>
      <xdr:spPr bwMode="auto">
        <a:xfrm>
          <a:off x="3920490" y="1068635"/>
          <a:ext cx="232625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5" name="フローチャート: 判断 17">
          <a:extLst>
            <a:ext uri="{FF2B5EF4-FFF2-40B4-BE49-F238E27FC236}">
              <a16:creationId xmlns="" xmlns:a16="http://schemas.microsoft.com/office/drawing/2014/main" id="{00000000-0008-0000-0200-00000F000000}"/>
            </a:ext>
          </a:extLst>
        </xdr:cNvPr>
        <xdr:cNvSpPr/>
      </xdr:nvSpPr>
      <xdr:spPr bwMode="auto">
        <a:xfrm>
          <a:off x="6886575" y="844797"/>
          <a:ext cx="891388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16" name="直線矢印コネクタ 23">
          <a:extLst>
            <a:ext uri="{FF2B5EF4-FFF2-40B4-BE49-F238E27FC236}">
              <a16:creationId xmlns="" xmlns:a16="http://schemas.microsoft.com/office/drawing/2014/main" id="{00000000-0008-0000-0200-000010000000}"/>
            </a:ext>
          </a:extLst>
        </xdr:cNvPr>
        <xdr:cNvCxnSpPr>
          <a:stCxn id="9" idx="3"/>
          <a:endCxn id="15" idx="1"/>
        </xdr:cNvCxnSpPr>
      </xdr:nvCxnSpPr>
      <xdr:spPr bwMode="auto">
        <a:xfrm>
          <a:off x="6408420" y="1041965"/>
          <a:ext cx="478194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17" name="直線矢印コネクタ 28">
          <a:extLst>
            <a:ext uri="{FF2B5EF4-FFF2-40B4-BE49-F238E27FC236}">
              <a16:creationId xmlns="" xmlns:a16="http://schemas.microsoft.com/office/drawing/2014/main" id="{00000000-0008-0000-0200-000011000000}"/>
            </a:ext>
          </a:extLst>
        </xdr:cNvPr>
        <xdr:cNvCxnSpPr>
          <a:stCxn id="15" idx="3"/>
          <a:endCxn id="10" idx="1"/>
        </xdr:cNvCxnSpPr>
      </xdr:nvCxnSpPr>
      <xdr:spPr bwMode="auto">
        <a:xfrm>
          <a:off x="7778115" y="1041965"/>
          <a:ext cx="491273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8" name="グループ化 95231">
          <a:extLst>
            <a:ext uri="{FF2B5EF4-FFF2-40B4-BE49-F238E27FC236}">
              <a16:creationId xmlns="" xmlns:a16="http://schemas.microsoft.com/office/drawing/2014/main" id="{00000000-0008-0000-0200-000012000000}"/>
            </a:ext>
          </a:extLst>
        </xdr:cNvPr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9" name="正方形/長方形 29">
            <a:extLst>
              <a:ext uri="{FF2B5EF4-FFF2-40B4-BE49-F238E27FC236}">
                <a16:creationId xmlns="" xmlns:a16="http://schemas.microsoft.com/office/drawing/2014/main" id="{00000000-0008-0000-0200-000013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" name="正方形/長方形 30">
            <a:extLst>
              <a:ext uri="{FF2B5EF4-FFF2-40B4-BE49-F238E27FC236}">
                <a16:creationId xmlns="" xmlns:a16="http://schemas.microsoft.com/office/drawing/2014/main" id="{00000000-0008-0000-0200-000014000000}"/>
              </a:ext>
            </a:extLst>
          </xdr:cNvPr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21" name="グループ化 34">
          <a:extLst>
            <a:ext uri="{FF2B5EF4-FFF2-40B4-BE49-F238E27FC236}">
              <a16:creationId xmlns="" xmlns:a16="http://schemas.microsoft.com/office/drawing/2014/main" id="{00000000-0008-0000-0200-000015000000}"/>
            </a:ext>
          </a:extLst>
        </xdr:cNvPr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22" name="正方形/長方形 35">
            <a:extLst>
              <a:ext uri="{FF2B5EF4-FFF2-40B4-BE49-F238E27FC236}">
                <a16:creationId xmlns="" xmlns:a16="http://schemas.microsoft.com/office/drawing/2014/main" id="{00000000-0008-0000-0200-000016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3" name="正方形/長方形 36">
            <a:extLst>
              <a:ext uri="{FF2B5EF4-FFF2-40B4-BE49-F238E27FC236}">
                <a16:creationId xmlns="" xmlns:a16="http://schemas.microsoft.com/office/drawing/2014/main" id="{00000000-0008-0000-0200-000017000000}"/>
              </a:ext>
            </a:extLst>
          </xdr:cNvPr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24" name="カギ線コネクタ 95243">
          <a:extLst>
            <a:ext uri="{FF2B5EF4-FFF2-40B4-BE49-F238E27FC236}">
              <a16:creationId xmlns="" xmlns:a16="http://schemas.microsoft.com/office/drawing/2014/main" id="{00000000-0008-0000-0200-000018000000}"/>
            </a:ext>
          </a:extLst>
        </xdr:cNvPr>
        <xdr:cNvCxnSpPr>
          <a:cxnSpLocks noChangeShapeType="1"/>
          <a:stCxn id="8" idx="3"/>
          <a:endCxn id="9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25" name="カギ線コネクタ 49">
          <a:extLst>
            <a:ext uri="{FF2B5EF4-FFF2-40B4-BE49-F238E27FC236}">
              <a16:creationId xmlns="" xmlns:a16="http://schemas.microsoft.com/office/drawing/2014/main" id="{00000000-0008-0000-0200-000019000000}"/>
            </a:ext>
          </a:extLst>
        </xdr:cNvPr>
        <xdr:cNvCxnSpPr>
          <a:cxnSpLocks noChangeShapeType="1"/>
          <a:stCxn id="8" idx="3"/>
          <a:endCxn id="5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74294</xdr:colOff>
      <xdr:row>48</xdr:row>
      <xdr:rowOff>192405</xdr:rowOff>
    </xdr:from>
    <xdr:to>
      <xdr:col>2</xdr:col>
      <xdr:colOff>1257300</xdr:colOff>
      <xdr:row>48</xdr:row>
      <xdr:rowOff>485766</xdr:rowOff>
    </xdr:to>
    <xdr:sp macro="[0]!InsActiveData" textlink="">
      <xdr:nvSpPr>
        <xdr:cNvPr id="26" name="角丸四角形 26">
          <a:extLst>
            <a:ext uri="{FF2B5EF4-FFF2-40B4-BE49-F238E27FC236}">
              <a16:creationId xmlns="" xmlns:a16="http://schemas.microsoft.com/office/drawing/2014/main" id="{00000000-0008-0000-0200-00001A000000}"/>
            </a:ext>
          </a:extLst>
        </xdr:cNvPr>
        <xdr:cNvSpPr/>
      </xdr:nvSpPr>
      <xdr:spPr bwMode="auto">
        <a:xfrm>
          <a:off x="2084069" y="91840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48</xdr:row>
      <xdr:rowOff>114300</xdr:rowOff>
    </xdr:from>
    <xdr:to>
      <xdr:col>12</xdr:col>
      <xdr:colOff>171450</xdr:colOff>
      <xdr:row>48</xdr:row>
      <xdr:rowOff>2886075</xdr:rowOff>
    </xdr:to>
    <xdr:sp macro="" textlink="">
      <xdr:nvSpPr>
        <xdr:cNvPr id="27" name="SqlPanel">
          <a:extLst>
            <a:ext uri="{FF2B5EF4-FFF2-40B4-BE49-F238E27FC236}">
              <a16:creationId xmlns="" xmlns:a16="http://schemas.microsoft.com/office/drawing/2014/main" id="{00000000-0008-0000-0200-00001B000000}"/>
            </a:ext>
          </a:extLst>
        </xdr:cNvPr>
        <xdr:cNvSpPr/>
      </xdr:nvSpPr>
      <xdr:spPr bwMode="auto">
        <a:xfrm>
          <a:off x="3419475" y="9105900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m_edp_test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edp_no='R115'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m_edp_test SELECT 'R115','aaa','','3','  ','   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48</xdr:row>
      <xdr:rowOff>116205</xdr:rowOff>
    </xdr:from>
    <xdr:to>
      <xdr:col>10</xdr:col>
      <xdr:colOff>1866900</xdr:colOff>
      <xdr:row>48</xdr:row>
      <xdr:rowOff>409566</xdr:rowOff>
    </xdr:to>
    <xdr:sp macro="[0]!InsActiveData" textlink="">
      <xdr:nvSpPr>
        <xdr:cNvPr id="28" name="角丸四角形 29">
          <a:extLst>
            <a:ext uri="{FF2B5EF4-FFF2-40B4-BE49-F238E27FC236}">
              <a16:creationId xmlns="" xmlns:a16="http://schemas.microsoft.com/office/drawing/2014/main" id="{00000000-0008-0000-0200-00001C000000}"/>
            </a:ext>
          </a:extLst>
        </xdr:cNvPr>
        <xdr:cNvSpPr/>
      </xdr:nvSpPr>
      <xdr:spPr bwMode="auto">
        <a:xfrm>
          <a:off x="7760969" y="91078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29" name="Text Box 4">
          <a:extLst>
            <a:ext uri="{FF2B5EF4-FFF2-40B4-BE49-F238E27FC236}">
              <a16:creationId xmlns="" xmlns:a16="http://schemas.microsoft.com/office/drawing/2014/main" id="{00000000-0008-0000-0200-00001D000000}"/>
            </a:ext>
          </a:extLst>
        </xdr:cNvPr>
        <xdr:cNvSpPr txBox="1">
          <a:spLocks noChangeArrowheads="1"/>
        </xdr:cNvSpPr>
      </xdr:nvSpPr>
      <xdr:spPr bwMode="auto">
        <a:xfrm>
          <a:off x="47625" y="0"/>
          <a:ext cx="1181100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11</xdr:col>
      <xdr:colOff>200025</xdr:colOff>
      <xdr:row>1</xdr:row>
      <xdr:rowOff>19050</xdr:rowOff>
    </xdr:from>
    <xdr:to>
      <xdr:col>14</xdr:col>
      <xdr:colOff>361950</xdr:colOff>
      <xdr:row>2</xdr:row>
      <xdr:rowOff>704850</xdr:rowOff>
    </xdr:to>
    <xdr:sp macro="" textlink="">
      <xdr:nvSpPr>
        <xdr:cNvPr id="30" name="四角形吹き出し 32">
          <a:extLst>
            <a:ext uri="{FF2B5EF4-FFF2-40B4-BE49-F238E27FC236}">
              <a16:creationId xmlns="" xmlns:a16="http://schemas.microsoft.com/office/drawing/2014/main" id="{00000000-0008-0000-0200-00001E000000}"/>
            </a:ext>
          </a:extLst>
        </xdr:cNvPr>
        <xdr:cNvSpPr/>
      </xdr:nvSpPr>
      <xdr:spPr bwMode="auto">
        <a:xfrm>
          <a:off x="10515600" y="30480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31" name="正方形/長方形 4">
          <a:extLst>
            <a:ext uri="{FF2B5EF4-FFF2-40B4-BE49-F238E27FC236}">
              <a16:creationId xmlns="" xmlns:a16="http://schemas.microsoft.com/office/drawing/2014/main" id="{00000000-0008-0000-0200-00001F000000}"/>
            </a:ext>
          </a:extLst>
        </xdr:cNvPr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200024</xdr:colOff>
      <xdr:row>2</xdr:row>
      <xdr:rowOff>997197</xdr:rowOff>
    </xdr:from>
    <xdr:to>
      <xdr:col>10</xdr:col>
      <xdr:colOff>400050</xdr:colOff>
      <xdr:row>2</xdr:row>
      <xdr:rowOff>1264215</xdr:rowOff>
    </xdr:to>
    <xdr:sp macro="[0]!RunCreateWebPage" textlink="">
      <xdr:nvSpPr>
        <xdr:cNvPr id="32" name="角丸四角形 37">
          <a:extLst>
            <a:ext uri="{FF2B5EF4-FFF2-40B4-BE49-F238E27FC236}">
              <a16:creationId xmlns="" xmlns:a16="http://schemas.microsoft.com/office/drawing/2014/main" id="{00000000-0008-0000-0200-000020000000}"/>
            </a:ext>
          </a:extLst>
        </xdr:cNvPr>
        <xdr:cNvSpPr/>
      </xdr:nvSpPr>
      <xdr:spPr bwMode="auto">
        <a:xfrm>
          <a:off x="6315074" y="1492497"/>
          <a:ext cx="1162051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CreateWeb</a:t>
          </a:r>
          <a:endParaRPr kumimoji="1" lang="ja-JP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125953" name="cboTYPE" hidden="1">
              <a:extLst>
                <a:ext uri="{63B3BB69-23CF-44E3-9099-C40C66FF867C}">
                  <a14:compatExt spid="_x0000_s125953"/>
                </a:ext>
                <a:ext uri="{FF2B5EF4-FFF2-40B4-BE49-F238E27FC236}">
                  <a16:creationId xmlns="" xmlns:a16="http://schemas.microsoft.com/office/drawing/2014/main" id="{00000000-0008-0000-0500-000001E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161925</xdr:rowOff>
        </xdr:from>
        <xdr:to>
          <xdr:col>4</xdr:col>
          <xdr:colOff>9525</xdr:colOff>
          <xdr:row>7</xdr:row>
          <xdr:rowOff>200025</xdr:rowOff>
        </xdr:to>
        <xdr:sp macro="" textlink="">
          <xdr:nvSpPr>
            <xdr:cNvPr id="125954" name="chkTYPE" hidden="1">
              <a:extLst>
                <a:ext uri="{63B3BB69-23CF-44E3-9099-C40C66FF867C}">
                  <a14:compatExt spid="_x0000_s125954"/>
                </a:ext>
                <a:ext uri="{FF2B5EF4-FFF2-40B4-BE49-F238E27FC236}">
                  <a16:creationId xmlns="" xmlns:a16="http://schemas.microsoft.com/office/drawing/2014/main" id="{00000000-0008-0000-0500-000002E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4" name="角丸四角形 1">
          <a:extLst>
            <a:ext uri="{FF2B5EF4-FFF2-40B4-BE49-F238E27FC236}">
              <a16:creationId xmlns="" xmlns:a16="http://schemas.microsoft.com/office/drawing/2014/main" id="{00000000-0008-0000-0500-000004000000}"/>
            </a:ext>
          </a:extLst>
        </xdr:cNvPr>
        <xdr:cNvSpPr/>
      </xdr:nvSpPr>
      <xdr:spPr bwMode="auto">
        <a:xfrm>
          <a:off x="2076449" y="2075427"/>
          <a:ext cx="1815521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5" name="角丸四角形 6">
          <a:extLst>
            <a:ext uri="{FF2B5EF4-FFF2-40B4-BE49-F238E27FC236}">
              <a16:creationId xmlns="" xmlns:a16="http://schemas.microsoft.com/office/drawing/2014/main" id="{00000000-0008-0000-0500-000005000000}"/>
            </a:ext>
          </a:extLst>
        </xdr:cNvPr>
        <xdr:cNvSpPr/>
      </xdr:nvSpPr>
      <xdr:spPr bwMode="auto">
        <a:xfrm>
          <a:off x="5520689" y="2097405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37</xdr:row>
      <xdr:rowOff>192405</xdr:rowOff>
    </xdr:from>
    <xdr:to>
      <xdr:col>1</xdr:col>
      <xdr:colOff>1619250</xdr:colOff>
      <xdr:row>37</xdr:row>
      <xdr:rowOff>485766</xdr:rowOff>
    </xdr:to>
    <xdr:sp macro="[0]!ClientSelTableInfo" textlink="">
      <xdr:nvSpPr>
        <xdr:cNvPr id="6" name="角丸四角形 7">
          <a:extLst>
            <a:ext uri="{FF2B5EF4-FFF2-40B4-BE49-F238E27FC236}">
              <a16:creationId xmlns="" xmlns:a16="http://schemas.microsoft.com/office/drawing/2014/main" id="{00000000-0008-0000-0500-000006000000}"/>
            </a:ext>
          </a:extLst>
        </xdr:cNvPr>
        <xdr:cNvSpPr/>
      </xdr:nvSpPr>
      <xdr:spPr bwMode="auto">
        <a:xfrm>
          <a:off x="731519" y="80410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2</xdr:col>
      <xdr:colOff>38084</xdr:colOff>
      <xdr:row>2</xdr:row>
      <xdr:rowOff>694456</xdr:rowOff>
    </xdr:to>
    <xdr:sp macro="[0]!CreateTable" textlink="">
      <xdr:nvSpPr>
        <xdr:cNvPr id="7" name="角丸四角形 8">
          <a:extLst>
            <a:ext uri="{FF2B5EF4-FFF2-40B4-BE49-F238E27FC236}">
              <a16:creationId xmlns="" xmlns:a16="http://schemas.microsoft.com/office/drawing/2014/main" id="{00000000-0008-0000-0500-000007000000}"/>
            </a:ext>
          </a:extLst>
        </xdr:cNvPr>
        <xdr:cNvSpPr/>
      </xdr:nvSpPr>
      <xdr:spPr bwMode="auto">
        <a:xfrm>
          <a:off x="255269" y="920997"/>
          <a:ext cx="1792590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8" name="角丸四角形 9">
          <a:extLst>
            <a:ext uri="{FF2B5EF4-FFF2-40B4-BE49-F238E27FC236}">
              <a16:creationId xmlns="" xmlns:a16="http://schemas.microsoft.com/office/drawing/2014/main" id="{00000000-0008-0000-0500-000008000000}"/>
            </a:ext>
          </a:extLst>
        </xdr:cNvPr>
        <xdr:cNvSpPr/>
      </xdr:nvSpPr>
      <xdr:spPr bwMode="auto">
        <a:xfrm>
          <a:off x="4152899" y="1444872"/>
          <a:ext cx="721955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9" name="角丸四角形 10">
          <a:extLst>
            <a:ext uri="{FF2B5EF4-FFF2-40B4-BE49-F238E27FC236}">
              <a16:creationId xmlns="" xmlns:a16="http://schemas.microsoft.com/office/drawing/2014/main" id="{00000000-0008-0000-0500-000009000000}"/>
            </a:ext>
          </a:extLst>
        </xdr:cNvPr>
        <xdr:cNvSpPr/>
      </xdr:nvSpPr>
      <xdr:spPr bwMode="auto">
        <a:xfrm>
          <a:off x="5513069" y="91147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0" name="角丸四角形 11">
          <a:extLst>
            <a:ext uri="{FF2B5EF4-FFF2-40B4-BE49-F238E27FC236}">
              <a16:creationId xmlns="" xmlns:a16="http://schemas.microsoft.com/office/drawing/2014/main" id="{00000000-0008-0000-0500-00000A000000}"/>
            </a:ext>
          </a:extLst>
        </xdr:cNvPr>
        <xdr:cNvSpPr/>
      </xdr:nvSpPr>
      <xdr:spPr bwMode="auto">
        <a:xfrm>
          <a:off x="8269604" y="920997"/>
          <a:ext cx="90686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1" name="角丸四角形 12">
          <a:extLst>
            <a:ext uri="{FF2B5EF4-FFF2-40B4-BE49-F238E27FC236}">
              <a16:creationId xmlns="" xmlns:a16="http://schemas.microsoft.com/office/drawing/2014/main" id="{00000000-0008-0000-0500-00000B000000}"/>
            </a:ext>
          </a:extLst>
        </xdr:cNvPr>
        <xdr:cNvSpPr/>
      </xdr:nvSpPr>
      <xdr:spPr bwMode="auto">
        <a:xfrm>
          <a:off x="8269605" y="1438275"/>
          <a:ext cx="1948448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2" name="角丸四角形 13">
          <a:extLst>
            <a:ext uri="{FF2B5EF4-FFF2-40B4-BE49-F238E27FC236}">
              <a16:creationId xmlns="" xmlns:a16="http://schemas.microsoft.com/office/drawing/2014/main" id="{00000000-0008-0000-0500-00000C000000}"/>
            </a:ext>
          </a:extLst>
        </xdr:cNvPr>
        <xdr:cNvSpPr/>
      </xdr:nvSpPr>
      <xdr:spPr bwMode="auto">
        <a:xfrm>
          <a:off x="2095499" y="930522"/>
          <a:ext cx="1825027" cy="26855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13" name="直線矢印コネクタ 3">
          <a:extLst>
            <a:ext uri="{FF2B5EF4-FFF2-40B4-BE49-F238E27FC236}">
              <a16:creationId xmlns="" xmlns:a16="http://schemas.microsoft.com/office/drawing/2014/main" id="{00000000-0008-0000-0500-00000D000000}"/>
            </a:ext>
          </a:extLst>
        </xdr:cNvPr>
        <xdr:cNvCxnSpPr>
          <a:stCxn id="4" idx="3"/>
          <a:endCxn id="8" idx="1"/>
        </xdr:cNvCxnSpPr>
      </xdr:nvCxnSpPr>
      <xdr:spPr bwMode="auto">
        <a:xfrm flipV="1">
          <a:off x="3891915" y="1573460"/>
          <a:ext cx="261289" cy="645823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4" name="直線矢印コネクタ 16">
          <a:extLst>
            <a:ext uri="{FF2B5EF4-FFF2-40B4-BE49-F238E27FC236}">
              <a16:creationId xmlns="" xmlns:a16="http://schemas.microsoft.com/office/drawing/2014/main" id="{00000000-0008-0000-0500-00000E000000}"/>
            </a:ext>
          </a:extLst>
        </xdr:cNvPr>
        <xdr:cNvCxnSpPr>
          <a:stCxn id="12" idx="3"/>
          <a:endCxn id="8" idx="1"/>
        </xdr:cNvCxnSpPr>
      </xdr:nvCxnSpPr>
      <xdr:spPr bwMode="auto">
        <a:xfrm>
          <a:off x="3920490" y="1068635"/>
          <a:ext cx="232625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5" name="フローチャート: 判断 17">
          <a:extLst>
            <a:ext uri="{FF2B5EF4-FFF2-40B4-BE49-F238E27FC236}">
              <a16:creationId xmlns="" xmlns:a16="http://schemas.microsoft.com/office/drawing/2014/main" id="{00000000-0008-0000-0500-00000F000000}"/>
            </a:ext>
          </a:extLst>
        </xdr:cNvPr>
        <xdr:cNvSpPr/>
      </xdr:nvSpPr>
      <xdr:spPr bwMode="auto">
        <a:xfrm>
          <a:off x="6886575" y="844797"/>
          <a:ext cx="891388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16" name="直線矢印コネクタ 23">
          <a:extLst>
            <a:ext uri="{FF2B5EF4-FFF2-40B4-BE49-F238E27FC236}">
              <a16:creationId xmlns="" xmlns:a16="http://schemas.microsoft.com/office/drawing/2014/main" id="{00000000-0008-0000-0500-000010000000}"/>
            </a:ext>
          </a:extLst>
        </xdr:cNvPr>
        <xdr:cNvCxnSpPr>
          <a:stCxn id="9" idx="3"/>
          <a:endCxn id="15" idx="1"/>
        </xdr:cNvCxnSpPr>
      </xdr:nvCxnSpPr>
      <xdr:spPr bwMode="auto">
        <a:xfrm>
          <a:off x="6408420" y="1041965"/>
          <a:ext cx="478194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17" name="直線矢印コネクタ 28">
          <a:extLst>
            <a:ext uri="{FF2B5EF4-FFF2-40B4-BE49-F238E27FC236}">
              <a16:creationId xmlns="" xmlns:a16="http://schemas.microsoft.com/office/drawing/2014/main" id="{00000000-0008-0000-0500-000011000000}"/>
            </a:ext>
          </a:extLst>
        </xdr:cNvPr>
        <xdr:cNvCxnSpPr>
          <a:stCxn id="15" idx="3"/>
          <a:endCxn id="10" idx="1"/>
        </xdr:cNvCxnSpPr>
      </xdr:nvCxnSpPr>
      <xdr:spPr bwMode="auto">
        <a:xfrm>
          <a:off x="7778115" y="1041965"/>
          <a:ext cx="491273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8" name="グループ化 95231">
          <a:extLst>
            <a:ext uri="{FF2B5EF4-FFF2-40B4-BE49-F238E27FC236}">
              <a16:creationId xmlns="" xmlns:a16="http://schemas.microsoft.com/office/drawing/2014/main" id="{00000000-0008-0000-0500-000012000000}"/>
            </a:ext>
          </a:extLst>
        </xdr:cNvPr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9" name="正方形/長方形 29">
            <a:extLst>
              <a:ext uri="{FF2B5EF4-FFF2-40B4-BE49-F238E27FC236}">
                <a16:creationId xmlns="" xmlns:a16="http://schemas.microsoft.com/office/drawing/2014/main" id="{00000000-0008-0000-0500-000013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" name="正方形/長方形 30">
            <a:extLst>
              <a:ext uri="{FF2B5EF4-FFF2-40B4-BE49-F238E27FC236}">
                <a16:creationId xmlns="" xmlns:a16="http://schemas.microsoft.com/office/drawing/2014/main" id="{00000000-0008-0000-0500-000014000000}"/>
              </a:ext>
            </a:extLst>
          </xdr:cNvPr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21" name="グループ化 34">
          <a:extLst>
            <a:ext uri="{FF2B5EF4-FFF2-40B4-BE49-F238E27FC236}">
              <a16:creationId xmlns="" xmlns:a16="http://schemas.microsoft.com/office/drawing/2014/main" id="{00000000-0008-0000-0500-000015000000}"/>
            </a:ext>
          </a:extLst>
        </xdr:cNvPr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22" name="正方形/長方形 35">
            <a:extLst>
              <a:ext uri="{FF2B5EF4-FFF2-40B4-BE49-F238E27FC236}">
                <a16:creationId xmlns="" xmlns:a16="http://schemas.microsoft.com/office/drawing/2014/main" id="{00000000-0008-0000-0500-000016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3" name="正方形/長方形 36">
            <a:extLst>
              <a:ext uri="{FF2B5EF4-FFF2-40B4-BE49-F238E27FC236}">
                <a16:creationId xmlns="" xmlns:a16="http://schemas.microsoft.com/office/drawing/2014/main" id="{00000000-0008-0000-0500-000017000000}"/>
              </a:ext>
            </a:extLst>
          </xdr:cNvPr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24" name="カギ線コネクタ 95243">
          <a:extLst>
            <a:ext uri="{FF2B5EF4-FFF2-40B4-BE49-F238E27FC236}">
              <a16:creationId xmlns="" xmlns:a16="http://schemas.microsoft.com/office/drawing/2014/main" id="{00000000-0008-0000-0500-000018000000}"/>
            </a:ext>
          </a:extLst>
        </xdr:cNvPr>
        <xdr:cNvCxnSpPr>
          <a:cxnSpLocks noChangeShapeType="1"/>
          <a:stCxn id="8" idx="3"/>
          <a:endCxn id="9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25" name="カギ線コネクタ 49">
          <a:extLst>
            <a:ext uri="{FF2B5EF4-FFF2-40B4-BE49-F238E27FC236}">
              <a16:creationId xmlns="" xmlns:a16="http://schemas.microsoft.com/office/drawing/2014/main" id="{00000000-0008-0000-0500-000019000000}"/>
            </a:ext>
          </a:extLst>
        </xdr:cNvPr>
        <xdr:cNvCxnSpPr>
          <a:cxnSpLocks noChangeShapeType="1"/>
          <a:stCxn id="8" idx="3"/>
          <a:endCxn id="5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74294</xdr:colOff>
      <xdr:row>37</xdr:row>
      <xdr:rowOff>192405</xdr:rowOff>
    </xdr:from>
    <xdr:to>
      <xdr:col>2</xdr:col>
      <xdr:colOff>1257300</xdr:colOff>
      <xdr:row>37</xdr:row>
      <xdr:rowOff>485766</xdr:rowOff>
    </xdr:to>
    <xdr:sp macro="[0]!InsActiveData" textlink="">
      <xdr:nvSpPr>
        <xdr:cNvPr id="26" name="角丸四角形 26">
          <a:extLst>
            <a:ext uri="{FF2B5EF4-FFF2-40B4-BE49-F238E27FC236}">
              <a16:creationId xmlns="" xmlns:a16="http://schemas.microsoft.com/office/drawing/2014/main" id="{00000000-0008-0000-0500-00001A000000}"/>
            </a:ext>
          </a:extLst>
        </xdr:cNvPr>
        <xdr:cNvSpPr/>
      </xdr:nvSpPr>
      <xdr:spPr bwMode="auto">
        <a:xfrm>
          <a:off x="2084069" y="80410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37</xdr:row>
      <xdr:rowOff>114300</xdr:rowOff>
    </xdr:from>
    <xdr:to>
      <xdr:col>12</xdr:col>
      <xdr:colOff>171450</xdr:colOff>
      <xdr:row>37</xdr:row>
      <xdr:rowOff>2886075</xdr:rowOff>
    </xdr:to>
    <xdr:sp macro="" textlink="">
      <xdr:nvSpPr>
        <xdr:cNvPr id="27" name="SqlPanel">
          <a:extLst>
            <a:ext uri="{FF2B5EF4-FFF2-40B4-BE49-F238E27FC236}">
              <a16:creationId xmlns="" xmlns:a16="http://schemas.microsoft.com/office/drawing/2014/main" id="{00000000-0008-0000-0500-00001B000000}"/>
            </a:ext>
          </a:extLst>
        </xdr:cNvPr>
        <xdr:cNvSpPr/>
      </xdr:nvSpPr>
      <xdr:spPr bwMode="auto">
        <a:xfrm>
          <a:off x="3419475" y="7962900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m_system_name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system_name='VTHM'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m_system_name SELECT 'VTHM'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37</xdr:row>
      <xdr:rowOff>116205</xdr:rowOff>
    </xdr:from>
    <xdr:to>
      <xdr:col>10</xdr:col>
      <xdr:colOff>1866900</xdr:colOff>
      <xdr:row>37</xdr:row>
      <xdr:rowOff>409566</xdr:rowOff>
    </xdr:to>
    <xdr:sp macro="[0]!InsActiveData" textlink="">
      <xdr:nvSpPr>
        <xdr:cNvPr id="28" name="角丸四角形 29">
          <a:extLst>
            <a:ext uri="{FF2B5EF4-FFF2-40B4-BE49-F238E27FC236}">
              <a16:creationId xmlns="" xmlns:a16="http://schemas.microsoft.com/office/drawing/2014/main" id="{00000000-0008-0000-0500-00001C000000}"/>
            </a:ext>
          </a:extLst>
        </xdr:cNvPr>
        <xdr:cNvSpPr/>
      </xdr:nvSpPr>
      <xdr:spPr bwMode="auto">
        <a:xfrm>
          <a:off x="7760969" y="79648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29" name="Text Box 4">
          <a:extLst>
            <a:ext uri="{FF2B5EF4-FFF2-40B4-BE49-F238E27FC236}">
              <a16:creationId xmlns="" xmlns:a16="http://schemas.microsoft.com/office/drawing/2014/main" id="{00000000-0008-0000-0500-00001D000000}"/>
            </a:ext>
          </a:extLst>
        </xdr:cNvPr>
        <xdr:cNvSpPr txBox="1">
          <a:spLocks noChangeArrowheads="1"/>
        </xdr:cNvSpPr>
      </xdr:nvSpPr>
      <xdr:spPr bwMode="auto">
        <a:xfrm>
          <a:off x="47625" y="0"/>
          <a:ext cx="1181100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11</xdr:col>
      <xdr:colOff>200025</xdr:colOff>
      <xdr:row>1</xdr:row>
      <xdr:rowOff>19050</xdr:rowOff>
    </xdr:from>
    <xdr:to>
      <xdr:col>14</xdr:col>
      <xdr:colOff>361950</xdr:colOff>
      <xdr:row>2</xdr:row>
      <xdr:rowOff>704850</xdr:rowOff>
    </xdr:to>
    <xdr:sp macro="" textlink="">
      <xdr:nvSpPr>
        <xdr:cNvPr id="30" name="四角形吹き出し 32">
          <a:extLst>
            <a:ext uri="{FF2B5EF4-FFF2-40B4-BE49-F238E27FC236}">
              <a16:creationId xmlns="" xmlns:a16="http://schemas.microsoft.com/office/drawing/2014/main" id="{00000000-0008-0000-0500-00001E000000}"/>
            </a:ext>
          </a:extLst>
        </xdr:cNvPr>
        <xdr:cNvSpPr/>
      </xdr:nvSpPr>
      <xdr:spPr bwMode="auto">
        <a:xfrm>
          <a:off x="10515600" y="30480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31" name="正方形/長方形 4">
          <a:extLst>
            <a:ext uri="{FF2B5EF4-FFF2-40B4-BE49-F238E27FC236}">
              <a16:creationId xmlns="" xmlns:a16="http://schemas.microsoft.com/office/drawing/2014/main" id="{00000000-0008-0000-0500-00001F000000}"/>
            </a:ext>
          </a:extLst>
        </xdr:cNvPr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200024</xdr:colOff>
      <xdr:row>2</xdr:row>
      <xdr:rowOff>997197</xdr:rowOff>
    </xdr:from>
    <xdr:to>
      <xdr:col>10</xdr:col>
      <xdr:colOff>400050</xdr:colOff>
      <xdr:row>2</xdr:row>
      <xdr:rowOff>1264215</xdr:rowOff>
    </xdr:to>
    <xdr:sp macro="[0]!RunCreateWebPage" textlink="">
      <xdr:nvSpPr>
        <xdr:cNvPr id="32" name="角丸四角形 37">
          <a:extLst>
            <a:ext uri="{FF2B5EF4-FFF2-40B4-BE49-F238E27FC236}">
              <a16:creationId xmlns="" xmlns:a16="http://schemas.microsoft.com/office/drawing/2014/main" id="{00000000-0008-0000-0500-000020000000}"/>
            </a:ext>
          </a:extLst>
        </xdr:cNvPr>
        <xdr:cNvSpPr/>
      </xdr:nvSpPr>
      <xdr:spPr bwMode="auto">
        <a:xfrm>
          <a:off x="6315074" y="1492497"/>
          <a:ext cx="1162051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CreateWeb</a:t>
          </a:r>
          <a:endParaRPr kumimoji="1" lang="ja-JP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124929" name="cboTYPE" hidden="1">
              <a:extLst>
                <a:ext uri="{63B3BB69-23CF-44E3-9099-C40C66FF867C}">
                  <a14:compatExt spid="_x0000_s124929"/>
                </a:ext>
                <a:ext uri="{FF2B5EF4-FFF2-40B4-BE49-F238E27FC236}">
                  <a16:creationId xmlns="" xmlns:a16="http://schemas.microsoft.com/office/drawing/2014/main" id="{00000000-0008-0000-0400-000001E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161925</xdr:rowOff>
        </xdr:from>
        <xdr:to>
          <xdr:col>4</xdr:col>
          <xdr:colOff>9525</xdr:colOff>
          <xdr:row>7</xdr:row>
          <xdr:rowOff>200025</xdr:rowOff>
        </xdr:to>
        <xdr:sp macro="" textlink="">
          <xdr:nvSpPr>
            <xdr:cNvPr id="124930" name="chkTYPE" hidden="1">
              <a:extLst>
                <a:ext uri="{63B3BB69-23CF-44E3-9099-C40C66FF867C}">
                  <a14:compatExt spid="_x0000_s124930"/>
                </a:ext>
                <a:ext uri="{FF2B5EF4-FFF2-40B4-BE49-F238E27FC236}">
                  <a16:creationId xmlns="" xmlns:a16="http://schemas.microsoft.com/office/drawing/2014/main" id="{00000000-0008-0000-0400-000002E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4" name="角丸四角形 1">
          <a:extLst>
            <a:ext uri="{FF2B5EF4-FFF2-40B4-BE49-F238E27FC236}">
              <a16:creationId xmlns="" xmlns:a16="http://schemas.microsoft.com/office/drawing/2014/main" id="{00000000-0008-0000-0400-000004000000}"/>
            </a:ext>
          </a:extLst>
        </xdr:cNvPr>
        <xdr:cNvSpPr/>
      </xdr:nvSpPr>
      <xdr:spPr bwMode="auto">
        <a:xfrm>
          <a:off x="2076449" y="2075427"/>
          <a:ext cx="1815521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5" name="角丸四角形 6">
          <a:extLst>
            <a:ext uri="{FF2B5EF4-FFF2-40B4-BE49-F238E27FC236}">
              <a16:creationId xmlns="" xmlns:a16="http://schemas.microsoft.com/office/drawing/2014/main" id="{00000000-0008-0000-0400-000005000000}"/>
            </a:ext>
          </a:extLst>
        </xdr:cNvPr>
        <xdr:cNvSpPr/>
      </xdr:nvSpPr>
      <xdr:spPr bwMode="auto">
        <a:xfrm>
          <a:off x="5520689" y="2097405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38</xdr:row>
      <xdr:rowOff>192405</xdr:rowOff>
    </xdr:from>
    <xdr:to>
      <xdr:col>1</xdr:col>
      <xdr:colOff>1619250</xdr:colOff>
      <xdr:row>38</xdr:row>
      <xdr:rowOff>485766</xdr:rowOff>
    </xdr:to>
    <xdr:sp macro="[0]!ClientSelTableInfo" textlink="">
      <xdr:nvSpPr>
        <xdr:cNvPr id="6" name="角丸四角形 7">
          <a:extLst>
            <a:ext uri="{FF2B5EF4-FFF2-40B4-BE49-F238E27FC236}">
              <a16:creationId xmlns="" xmlns:a16="http://schemas.microsoft.com/office/drawing/2014/main" id="{00000000-0008-0000-0400-000006000000}"/>
            </a:ext>
          </a:extLst>
        </xdr:cNvPr>
        <xdr:cNvSpPr/>
      </xdr:nvSpPr>
      <xdr:spPr bwMode="auto">
        <a:xfrm>
          <a:off x="731519" y="80410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2</xdr:col>
      <xdr:colOff>38084</xdr:colOff>
      <xdr:row>2</xdr:row>
      <xdr:rowOff>694456</xdr:rowOff>
    </xdr:to>
    <xdr:sp macro="[0]!CreateTable" textlink="">
      <xdr:nvSpPr>
        <xdr:cNvPr id="7" name="角丸四角形 8">
          <a:extLst>
            <a:ext uri="{FF2B5EF4-FFF2-40B4-BE49-F238E27FC236}">
              <a16:creationId xmlns="" xmlns:a16="http://schemas.microsoft.com/office/drawing/2014/main" id="{00000000-0008-0000-0400-000007000000}"/>
            </a:ext>
          </a:extLst>
        </xdr:cNvPr>
        <xdr:cNvSpPr/>
      </xdr:nvSpPr>
      <xdr:spPr bwMode="auto">
        <a:xfrm>
          <a:off x="255269" y="920997"/>
          <a:ext cx="1792590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8" name="角丸四角形 9">
          <a:extLst>
            <a:ext uri="{FF2B5EF4-FFF2-40B4-BE49-F238E27FC236}">
              <a16:creationId xmlns="" xmlns:a16="http://schemas.microsoft.com/office/drawing/2014/main" id="{00000000-0008-0000-0400-000008000000}"/>
            </a:ext>
          </a:extLst>
        </xdr:cNvPr>
        <xdr:cNvSpPr/>
      </xdr:nvSpPr>
      <xdr:spPr bwMode="auto">
        <a:xfrm>
          <a:off x="4152899" y="1444872"/>
          <a:ext cx="721955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9" name="角丸四角形 10">
          <a:extLst>
            <a:ext uri="{FF2B5EF4-FFF2-40B4-BE49-F238E27FC236}">
              <a16:creationId xmlns="" xmlns:a16="http://schemas.microsoft.com/office/drawing/2014/main" id="{00000000-0008-0000-0400-000009000000}"/>
            </a:ext>
          </a:extLst>
        </xdr:cNvPr>
        <xdr:cNvSpPr/>
      </xdr:nvSpPr>
      <xdr:spPr bwMode="auto">
        <a:xfrm>
          <a:off x="5513069" y="91147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0" name="角丸四角形 11">
          <a:extLst>
            <a:ext uri="{FF2B5EF4-FFF2-40B4-BE49-F238E27FC236}">
              <a16:creationId xmlns="" xmlns:a16="http://schemas.microsoft.com/office/drawing/2014/main" id="{00000000-0008-0000-0400-00000A000000}"/>
            </a:ext>
          </a:extLst>
        </xdr:cNvPr>
        <xdr:cNvSpPr/>
      </xdr:nvSpPr>
      <xdr:spPr bwMode="auto">
        <a:xfrm>
          <a:off x="8269604" y="920997"/>
          <a:ext cx="90686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1" name="角丸四角形 12">
          <a:extLst>
            <a:ext uri="{FF2B5EF4-FFF2-40B4-BE49-F238E27FC236}">
              <a16:creationId xmlns="" xmlns:a16="http://schemas.microsoft.com/office/drawing/2014/main" id="{00000000-0008-0000-0400-00000B000000}"/>
            </a:ext>
          </a:extLst>
        </xdr:cNvPr>
        <xdr:cNvSpPr/>
      </xdr:nvSpPr>
      <xdr:spPr bwMode="auto">
        <a:xfrm>
          <a:off x="8269605" y="1438275"/>
          <a:ext cx="1948448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2" name="角丸四角形 13">
          <a:extLst>
            <a:ext uri="{FF2B5EF4-FFF2-40B4-BE49-F238E27FC236}">
              <a16:creationId xmlns="" xmlns:a16="http://schemas.microsoft.com/office/drawing/2014/main" id="{00000000-0008-0000-0400-00000C000000}"/>
            </a:ext>
          </a:extLst>
        </xdr:cNvPr>
        <xdr:cNvSpPr/>
      </xdr:nvSpPr>
      <xdr:spPr bwMode="auto">
        <a:xfrm>
          <a:off x="2095499" y="930522"/>
          <a:ext cx="1825027" cy="26855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13" name="直線矢印コネクタ 3">
          <a:extLst>
            <a:ext uri="{FF2B5EF4-FFF2-40B4-BE49-F238E27FC236}">
              <a16:creationId xmlns="" xmlns:a16="http://schemas.microsoft.com/office/drawing/2014/main" id="{00000000-0008-0000-0400-00000D000000}"/>
            </a:ext>
          </a:extLst>
        </xdr:cNvPr>
        <xdr:cNvCxnSpPr>
          <a:stCxn id="4" idx="3"/>
          <a:endCxn id="8" idx="1"/>
        </xdr:cNvCxnSpPr>
      </xdr:nvCxnSpPr>
      <xdr:spPr bwMode="auto">
        <a:xfrm flipV="1">
          <a:off x="3891915" y="1573460"/>
          <a:ext cx="261289" cy="645823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4" name="直線矢印コネクタ 16">
          <a:extLst>
            <a:ext uri="{FF2B5EF4-FFF2-40B4-BE49-F238E27FC236}">
              <a16:creationId xmlns="" xmlns:a16="http://schemas.microsoft.com/office/drawing/2014/main" id="{00000000-0008-0000-0400-00000E000000}"/>
            </a:ext>
          </a:extLst>
        </xdr:cNvPr>
        <xdr:cNvCxnSpPr>
          <a:stCxn id="12" idx="3"/>
          <a:endCxn id="8" idx="1"/>
        </xdr:cNvCxnSpPr>
      </xdr:nvCxnSpPr>
      <xdr:spPr bwMode="auto">
        <a:xfrm>
          <a:off x="3920490" y="1068635"/>
          <a:ext cx="232625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5" name="フローチャート: 判断 17">
          <a:extLst>
            <a:ext uri="{FF2B5EF4-FFF2-40B4-BE49-F238E27FC236}">
              <a16:creationId xmlns="" xmlns:a16="http://schemas.microsoft.com/office/drawing/2014/main" id="{00000000-0008-0000-0400-00000F000000}"/>
            </a:ext>
          </a:extLst>
        </xdr:cNvPr>
        <xdr:cNvSpPr/>
      </xdr:nvSpPr>
      <xdr:spPr bwMode="auto">
        <a:xfrm>
          <a:off x="6886575" y="844797"/>
          <a:ext cx="891388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16" name="直線矢印コネクタ 23">
          <a:extLst>
            <a:ext uri="{FF2B5EF4-FFF2-40B4-BE49-F238E27FC236}">
              <a16:creationId xmlns="" xmlns:a16="http://schemas.microsoft.com/office/drawing/2014/main" id="{00000000-0008-0000-0400-000010000000}"/>
            </a:ext>
          </a:extLst>
        </xdr:cNvPr>
        <xdr:cNvCxnSpPr>
          <a:stCxn id="9" idx="3"/>
          <a:endCxn id="15" idx="1"/>
        </xdr:cNvCxnSpPr>
      </xdr:nvCxnSpPr>
      <xdr:spPr bwMode="auto">
        <a:xfrm>
          <a:off x="6408420" y="1041965"/>
          <a:ext cx="478194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17" name="直線矢印コネクタ 28">
          <a:extLst>
            <a:ext uri="{FF2B5EF4-FFF2-40B4-BE49-F238E27FC236}">
              <a16:creationId xmlns="" xmlns:a16="http://schemas.microsoft.com/office/drawing/2014/main" id="{00000000-0008-0000-0400-000011000000}"/>
            </a:ext>
          </a:extLst>
        </xdr:cNvPr>
        <xdr:cNvCxnSpPr>
          <a:stCxn id="15" idx="3"/>
          <a:endCxn id="10" idx="1"/>
        </xdr:cNvCxnSpPr>
      </xdr:nvCxnSpPr>
      <xdr:spPr bwMode="auto">
        <a:xfrm>
          <a:off x="7778115" y="1041965"/>
          <a:ext cx="491273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8" name="グループ化 95231">
          <a:extLst>
            <a:ext uri="{FF2B5EF4-FFF2-40B4-BE49-F238E27FC236}">
              <a16:creationId xmlns="" xmlns:a16="http://schemas.microsoft.com/office/drawing/2014/main" id="{00000000-0008-0000-0400-000012000000}"/>
            </a:ext>
          </a:extLst>
        </xdr:cNvPr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9" name="正方形/長方形 29">
            <a:extLst>
              <a:ext uri="{FF2B5EF4-FFF2-40B4-BE49-F238E27FC236}">
                <a16:creationId xmlns="" xmlns:a16="http://schemas.microsoft.com/office/drawing/2014/main" id="{00000000-0008-0000-0400-000013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" name="正方形/長方形 30">
            <a:extLst>
              <a:ext uri="{FF2B5EF4-FFF2-40B4-BE49-F238E27FC236}">
                <a16:creationId xmlns="" xmlns:a16="http://schemas.microsoft.com/office/drawing/2014/main" id="{00000000-0008-0000-0400-000014000000}"/>
              </a:ext>
            </a:extLst>
          </xdr:cNvPr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21" name="グループ化 34">
          <a:extLst>
            <a:ext uri="{FF2B5EF4-FFF2-40B4-BE49-F238E27FC236}">
              <a16:creationId xmlns="" xmlns:a16="http://schemas.microsoft.com/office/drawing/2014/main" id="{00000000-0008-0000-0400-000015000000}"/>
            </a:ext>
          </a:extLst>
        </xdr:cNvPr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22" name="正方形/長方形 35">
            <a:extLst>
              <a:ext uri="{FF2B5EF4-FFF2-40B4-BE49-F238E27FC236}">
                <a16:creationId xmlns="" xmlns:a16="http://schemas.microsoft.com/office/drawing/2014/main" id="{00000000-0008-0000-0400-000016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3" name="正方形/長方形 36">
            <a:extLst>
              <a:ext uri="{FF2B5EF4-FFF2-40B4-BE49-F238E27FC236}">
                <a16:creationId xmlns="" xmlns:a16="http://schemas.microsoft.com/office/drawing/2014/main" id="{00000000-0008-0000-0400-000017000000}"/>
              </a:ext>
            </a:extLst>
          </xdr:cNvPr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24" name="カギ線コネクタ 95243">
          <a:extLst>
            <a:ext uri="{FF2B5EF4-FFF2-40B4-BE49-F238E27FC236}">
              <a16:creationId xmlns="" xmlns:a16="http://schemas.microsoft.com/office/drawing/2014/main" id="{00000000-0008-0000-0400-000018000000}"/>
            </a:ext>
          </a:extLst>
        </xdr:cNvPr>
        <xdr:cNvCxnSpPr>
          <a:cxnSpLocks noChangeShapeType="1"/>
          <a:stCxn id="8" idx="3"/>
          <a:endCxn id="9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25" name="カギ線コネクタ 49">
          <a:extLst>
            <a:ext uri="{FF2B5EF4-FFF2-40B4-BE49-F238E27FC236}">
              <a16:creationId xmlns="" xmlns:a16="http://schemas.microsoft.com/office/drawing/2014/main" id="{00000000-0008-0000-0400-000019000000}"/>
            </a:ext>
          </a:extLst>
        </xdr:cNvPr>
        <xdr:cNvCxnSpPr>
          <a:cxnSpLocks noChangeShapeType="1"/>
          <a:stCxn id="8" idx="3"/>
          <a:endCxn id="5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74294</xdr:colOff>
      <xdr:row>38</xdr:row>
      <xdr:rowOff>192405</xdr:rowOff>
    </xdr:from>
    <xdr:to>
      <xdr:col>2</xdr:col>
      <xdr:colOff>1257300</xdr:colOff>
      <xdr:row>38</xdr:row>
      <xdr:rowOff>485766</xdr:rowOff>
    </xdr:to>
    <xdr:sp macro="[0]!InsActiveData" textlink="">
      <xdr:nvSpPr>
        <xdr:cNvPr id="26" name="角丸四角形 26">
          <a:extLst>
            <a:ext uri="{FF2B5EF4-FFF2-40B4-BE49-F238E27FC236}">
              <a16:creationId xmlns="" xmlns:a16="http://schemas.microsoft.com/office/drawing/2014/main" id="{00000000-0008-0000-0400-00001A000000}"/>
            </a:ext>
          </a:extLst>
        </xdr:cNvPr>
        <xdr:cNvSpPr/>
      </xdr:nvSpPr>
      <xdr:spPr bwMode="auto">
        <a:xfrm>
          <a:off x="2084069" y="80410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38</xdr:row>
      <xdr:rowOff>114300</xdr:rowOff>
    </xdr:from>
    <xdr:to>
      <xdr:col>12</xdr:col>
      <xdr:colOff>171450</xdr:colOff>
      <xdr:row>38</xdr:row>
      <xdr:rowOff>2886075</xdr:rowOff>
    </xdr:to>
    <xdr:sp macro="" textlink="">
      <xdr:nvSpPr>
        <xdr:cNvPr id="27" name="SqlPanel">
          <a:extLst>
            <a:ext uri="{FF2B5EF4-FFF2-40B4-BE49-F238E27FC236}">
              <a16:creationId xmlns="" xmlns:a16="http://schemas.microsoft.com/office/drawing/2014/main" id="{00000000-0008-0000-0400-00001B000000}"/>
            </a:ext>
          </a:extLst>
        </xdr:cNvPr>
        <xdr:cNvSpPr/>
      </xdr:nvSpPr>
      <xdr:spPr bwMode="auto">
        <a:xfrm>
          <a:off x="3419475" y="7962900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m_edp_test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edp_no='R115'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m_edp_test SELECT 'R115','aaa','','3','  ','   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38</xdr:row>
      <xdr:rowOff>116205</xdr:rowOff>
    </xdr:from>
    <xdr:to>
      <xdr:col>10</xdr:col>
      <xdr:colOff>1866900</xdr:colOff>
      <xdr:row>38</xdr:row>
      <xdr:rowOff>409566</xdr:rowOff>
    </xdr:to>
    <xdr:sp macro="[0]!InsActiveData" textlink="">
      <xdr:nvSpPr>
        <xdr:cNvPr id="28" name="角丸四角形 29">
          <a:extLst>
            <a:ext uri="{FF2B5EF4-FFF2-40B4-BE49-F238E27FC236}">
              <a16:creationId xmlns="" xmlns:a16="http://schemas.microsoft.com/office/drawing/2014/main" id="{00000000-0008-0000-0400-00001C000000}"/>
            </a:ext>
          </a:extLst>
        </xdr:cNvPr>
        <xdr:cNvSpPr/>
      </xdr:nvSpPr>
      <xdr:spPr bwMode="auto">
        <a:xfrm>
          <a:off x="7760969" y="79648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29" name="Text Box 4">
          <a:extLst>
            <a:ext uri="{FF2B5EF4-FFF2-40B4-BE49-F238E27FC236}">
              <a16:creationId xmlns="" xmlns:a16="http://schemas.microsoft.com/office/drawing/2014/main" id="{00000000-0008-0000-0400-00001D000000}"/>
            </a:ext>
          </a:extLst>
        </xdr:cNvPr>
        <xdr:cNvSpPr txBox="1">
          <a:spLocks noChangeArrowheads="1"/>
        </xdr:cNvSpPr>
      </xdr:nvSpPr>
      <xdr:spPr bwMode="auto">
        <a:xfrm>
          <a:off x="47625" y="0"/>
          <a:ext cx="1181100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11</xdr:col>
      <xdr:colOff>200025</xdr:colOff>
      <xdr:row>1</xdr:row>
      <xdr:rowOff>19050</xdr:rowOff>
    </xdr:from>
    <xdr:to>
      <xdr:col>14</xdr:col>
      <xdr:colOff>361950</xdr:colOff>
      <xdr:row>2</xdr:row>
      <xdr:rowOff>704850</xdr:rowOff>
    </xdr:to>
    <xdr:sp macro="" textlink="">
      <xdr:nvSpPr>
        <xdr:cNvPr id="30" name="四角形吹き出し 32">
          <a:extLst>
            <a:ext uri="{FF2B5EF4-FFF2-40B4-BE49-F238E27FC236}">
              <a16:creationId xmlns="" xmlns:a16="http://schemas.microsoft.com/office/drawing/2014/main" id="{00000000-0008-0000-0400-00001E000000}"/>
            </a:ext>
          </a:extLst>
        </xdr:cNvPr>
        <xdr:cNvSpPr/>
      </xdr:nvSpPr>
      <xdr:spPr bwMode="auto">
        <a:xfrm>
          <a:off x="10515600" y="30480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31" name="正方形/長方形 4">
          <a:extLst>
            <a:ext uri="{FF2B5EF4-FFF2-40B4-BE49-F238E27FC236}">
              <a16:creationId xmlns="" xmlns:a16="http://schemas.microsoft.com/office/drawing/2014/main" id="{00000000-0008-0000-0400-00001F000000}"/>
            </a:ext>
          </a:extLst>
        </xdr:cNvPr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200024</xdr:colOff>
      <xdr:row>2</xdr:row>
      <xdr:rowOff>997197</xdr:rowOff>
    </xdr:from>
    <xdr:to>
      <xdr:col>10</xdr:col>
      <xdr:colOff>400050</xdr:colOff>
      <xdr:row>2</xdr:row>
      <xdr:rowOff>1264215</xdr:rowOff>
    </xdr:to>
    <xdr:sp macro="[0]!RunCreateWebPage" textlink="">
      <xdr:nvSpPr>
        <xdr:cNvPr id="32" name="角丸四角形 37">
          <a:extLst>
            <a:ext uri="{FF2B5EF4-FFF2-40B4-BE49-F238E27FC236}">
              <a16:creationId xmlns="" xmlns:a16="http://schemas.microsoft.com/office/drawing/2014/main" id="{00000000-0008-0000-0400-000020000000}"/>
            </a:ext>
          </a:extLst>
        </xdr:cNvPr>
        <xdr:cNvSpPr/>
      </xdr:nvSpPr>
      <xdr:spPr bwMode="auto">
        <a:xfrm>
          <a:off x="6315074" y="1492497"/>
          <a:ext cx="1162051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CreateWeb</a:t>
          </a:r>
          <a:endParaRPr kumimoji="1" lang="ja-JP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144385" name="cboTYPE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="" xmlns:a16="http://schemas.microsoft.com/office/drawing/2014/main" id="{00000000-0008-0000-0400-000001E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161925</xdr:rowOff>
        </xdr:from>
        <xdr:to>
          <xdr:col>4</xdr:col>
          <xdr:colOff>9525</xdr:colOff>
          <xdr:row>7</xdr:row>
          <xdr:rowOff>200025</xdr:rowOff>
        </xdr:to>
        <xdr:sp macro="" textlink="">
          <xdr:nvSpPr>
            <xdr:cNvPr id="144386" name="chkTYPE" hidden="1">
              <a:extLst>
                <a:ext uri="{63B3BB69-23CF-44E3-9099-C40C66FF867C}">
                  <a14:compatExt spid="_x0000_s144386"/>
                </a:ext>
                <a:ext uri="{FF2B5EF4-FFF2-40B4-BE49-F238E27FC236}">
                  <a16:creationId xmlns="" xmlns:a16="http://schemas.microsoft.com/office/drawing/2014/main" id="{00000000-0008-0000-0400-000002E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4" name="角丸四角形 1">
          <a:extLst>
            <a:ext uri="{FF2B5EF4-FFF2-40B4-BE49-F238E27FC236}">
              <a16:creationId xmlns="" xmlns:a16="http://schemas.microsoft.com/office/drawing/2014/main" id="{00000000-0008-0000-0400-000004000000}"/>
            </a:ext>
          </a:extLst>
        </xdr:cNvPr>
        <xdr:cNvSpPr/>
      </xdr:nvSpPr>
      <xdr:spPr bwMode="auto">
        <a:xfrm>
          <a:off x="2076449" y="2075427"/>
          <a:ext cx="1815521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5" name="角丸四角形 6">
          <a:extLst>
            <a:ext uri="{FF2B5EF4-FFF2-40B4-BE49-F238E27FC236}">
              <a16:creationId xmlns="" xmlns:a16="http://schemas.microsoft.com/office/drawing/2014/main" id="{00000000-0008-0000-0400-000005000000}"/>
            </a:ext>
          </a:extLst>
        </xdr:cNvPr>
        <xdr:cNvSpPr/>
      </xdr:nvSpPr>
      <xdr:spPr bwMode="auto">
        <a:xfrm>
          <a:off x="5520689" y="2097405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38</xdr:row>
      <xdr:rowOff>192405</xdr:rowOff>
    </xdr:from>
    <xdr:to>
      <xdr:col>1</xdr:col>
      <xdr:colOff>1619250</xdr:colOff>
      <xdr:row>38</xdr:row>
      <xdr:rowOff>485766</xdr:rowOff>
    </xdr:to>
    <xdr:sp macro="[0]!ClientSelTableInfo" textlink="">
      <xdr:nvSpPr>
        <xdr:cNvPr id="6" name="角丸四角形 7">
          <a:extLst>
            <a:ext uri="{FF2B5EF4-FFF2-40B4-BE49-F238E27FC236}">
              <a16:creationId xmlns="" xmlns:a16="http://schemas.microsoft.com/office/drawing/2014/main" id="{00000000-0008-0000-0400-000006000000}"/>
            </a:ext>
          </a:extLst>
        </xdr:cNvPr>
        <xdr:cNvSpPr/>
      </xdr:nvSpPr>
      <xdr:spPr bwMode="auto">
        <a:xfrm>
          <a:off x="731519" y="80410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2</xdr:col>
      <xdr:colOff>38084</xdr:colOff>
      <xdr:row>2</xdr:row>
      <xdr:rowOff>694456</xdr:rowOff>
    </xdr:to>
    <xdr:sp macro="[0]!CreateTable" textlink="">
      <xdr:nvSpPr>
        <xdr:cNvPr id="7" name="角丸四角形 8">
          <a:extLst>
            <a:ext uri="{FF2B5EF4-FFF2-40B4-BE49-F238E27FC236}">
              <a16:creationId xmlns="" xmlns:a16="http://schemas.microsoft.com/office/drawing/2014/main" id="{00000000-0008-0000-0400-000007000000}"/>
            </a:ext>
          </a:extLst>
        </xdr:cNvPr>
        <xdr:cNvSpPr/>
      </xdr:nvSpPr>
      <xdr:spPr bwMode="auto">
        <a:xfrm>
          <a:off x="255269" y="920997"/>
          <a:ext cx="1792590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8" name="角丸四角形 9">
          <a:extLst>
            <a:ext uri="{FF2B5EF4-FFF2-40B4-BE49-F238E27FC236}">
              <a16:creationId xmlns="" xmlns:a16="http://schemas.microsoft.com/office/drawing/2014/main" id="{00000000-0008-0000-0400-000008000000}"/>
            </a:ext>
          </a:extLst>
        </xdr:cNvPr>
        <xdr:cNvSpPr/>
      </xdr:nvSpPr>
      <xdr:spPr bwMode="auto">
        <a:xfrm>
          <a:off x="4152899" y="1444872"/>
          <a:ext cx="721955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9" name="角丸四角形 10">
          <a:extLst>
            <a:ext uri="{FF2B5EF4-FFF2-40B4-BE49-F238E27FC236}">
              <a16:creationId xmlns="" xmlns:a16="http://schemas.microsoft.com/office/drawing/2014/main" id="{00000000-0008-0000-0400-000009000000}"/>
            </a:ext>
          </a:extLst>
        </xdr:cNvPr>
        <xdr:cNvSpPr/>
      </xdr:nvSpPr>
      <xdr:spPr bwMode="auto">
        <a:xfrm>
          <a:off x="5513069" y="91147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0" name="角丸四角形 11">
          <a:extLst>
            <a:ext uri="{FF2B5EF4-FFF2-40B4-BE49-F238E27FC236}">
              <a16:creationId xmlns="" xmlns:a16="http://schemas.microsoft.com/office/drawing/2014/main" id="{00000000-0008-0000-0400-00000A000000}"/>
            </a:ext>
          </a:extLst>
        </xdr:cNvPr>
        <xdr:cNvSpPr/>
      </xdr:nvSpPr>
      <xdr:spPr bwMode="auto">
        <a:xfrm>
          <a:off x="8269604" y="920997"/>
          <a:ext cx="90686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1" name="角丸四角形 12">
          <a:extLst>
            <a:ext uri="{FF2B5EF4-FFF2-40B4-BE49-F238E27FC236}">
              <a16:creationId xmlns="" xmlns:a16="http://schemas.microsoft.com/office/drawing/2014/main" id="{00000000-0008-0000-0400-00000B000000}"/>
            </a:ext>
          </a:extLst>
        </xdr:cNvPr>
        <xdr:cNvSpPr/>
      </xdr:nvSpPr>
      <xdr:spPr bwMode="auto">
        <a:xfrm>
          <a:off x="8269605" y="1438275"/>
          <a:ext cx="1948448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2" name="角丸四角形 13">
          <a:extLst>
            <a:ext uri="{FF2B5EF4-FFF2-40B4-BE49-F238E27FC236}">
              <a16:creationId xmlns="" xmlns:a16="http://schemas.microsoft.com/office/drawing/2014/main" id="{00000000-0008-0000-0400-00000C000000}"/>
            </a:ext>
          </a:extLst>
        </xdr:cNvPr>
        <xdr:cNvSpPr/>
      </xdr:nvSpPr>
      <xdr:spPr bwMode="auto">
        <a:xfrm>
          <a:off x="2095499" y="930522"/>
          <a:ext cx="1825027" cy="26855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13" name="直線矢印コネクタ 3">
          <a:extLst>
            <a:ext uri="{FF2B5EF4-FFF2-40B4-BE49-F238E27FC236}">
              <a16:creationId xmlns="" xmlns:a16="http://schemas.microsoft.com/office/drawing/2014/main" id="{00000000-0008-0000-0400-00000D000000}"/>
            </a:ext>
          </a:extLst>
        </xdr:cNvPr>
        <xdr:cNvCxnSpPr>
          <a:stCxn id="4" idx="3"/>
          <a:endCxn id="8" idx="1"/>
        </xdr:cNvCxnSpPr>
      </xdr:nvCxnSpPr>
      <xdr:spPr bwMode="auto">
        <a:xfrm flipV="1">
          <a:off x="3891915" y="1573460"/>
          <a:ext cx="261289" cy="645823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4" name="直線矢印コネクタ 16">
          <a:extLst>
            <a:ext uri="{FF2B5EF4-FFF2-40B4-BE49-F238E27FC236}">
              <a16:creationId xmlns="" xmlns:a16="http://schemas.microsoft.com/office/drawing/2014/main" id="{00000000-0008-0000-0400-00000E000000}"/>
            </a:ext>
          </a:extLst>
        </xdr:cNvPr>
        <xdr:cNvCxnSpPr>
          <a:stCxn id="12" idx="3"/>
          <a:endCxn id="8" idx="1"/>
        </xdr:cNvCxnSpPr>
      </xdr:nvCxnSpPr>
      <xdr:spPr bwMode="auto">
        <a:xfrm>
          <a:off x="3920490" y="1068635"/>
          <a:ext cx="232625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5" name="フローチャート: 判断 17">
          <a:extLst>
            <a:ext uri="{FF2B5EF4-FFF2-40B4-BE49-F238E27FC236}">
              <a16:creationId xmlns="" xmlns:a16="http://schemas.microsoft.com/office/drawing/2014/main" id="{00000000-0008-0000-0400-00000F000000}"/>
            </a:ext>
          </a:extLst>
        </xdr:cNvPr>
        <xdr:cNvSpPr/>
      </xdr:nvSpPr>
      <xdr:spPr bwMode="auto">
        <a:xfrm>
          <a:off x="6886575" y="844797"/>
          <a:ext cx="891388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16" name="直線矢印コネクタ 23">
          <a:extLst>
            <a:ext uri="{FF2B5EF4-FFF2-40B4-BE49-F238E27FC236}">
              <a16:creationId xmlns="" xmlns:a16="http://schemas.microsoft.com/office/drawing/2014/main" id="{00000000-0008-0000-0400-000010000000}"/>
            </a:ext>
          </a:extLst>
        </xdr:cNvPr>
        <xdr:cNvCxnSpPr>
          <a:stCxn id="9" idx="3"/>
          <a:endCxn id="15" idx="1"/>
        </xdr:cNvCxnSpPr>
      </xdr:nvCxnSpPr>
      <xdr:spPr bwMode="auto">
        <a:xfrm>
          <a:off x="6408420" y="1041965"/>
          <a:ext cx="478194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17" name="直線矢印コネクタ 28">
          <a:extLst>
            <a:ext uri="{FF2B5EF4-FFF2-40B4-BE49-F238E27FC236}">
              <a16:creationId xmlns="" xmlns:a16="http://schemas.microsoft.com/office/drawing/2014/main" id="{00000000-0008-0000-0400-000011000000}"/>
            </a:ext>
          </a:extLst>
        </xdr:cNvPr>
        <xdr:cNvCxnSpPr>
          <a:stCxn id="15" idx="3"/>
          <a:endCxn id="10" idx="1"/>
        </xdr:cNvCxnSpPr>
      </xdr:nvCxnSpPr>
      <xdr:spPr bwMode="auto">
        <a:xfrm>
          <a:off x="7778115" y="1041965"/>
          <a:ext cx="491273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8" name="グループ化 95231">
          <a:extLst>
            <a:ext uri="{FF2B5EF4-FFF2-40B4-BE49-F238E27FC236}">
              <a16:creationId xmlns="" xmlns:a16="http://schemas.microsoft.com/office/drawing/2014/main" id="{00000000-0008-0000-0400-000012000000}"/>
            </a:ext>
          </a:extLst>
        </xdr:cNvPr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9" name="正方形/長方形 29">
            <a:extLst>
              <a:ext uri="{FF2B5EF4-FFF2-40B4-BE49-F238E27FC236}">
                <a16:creationId xmlns="" xmlns:a16="http://schemas.microsoft.com/office/drawing/2014/main" id="{00000000-0008-0000-0400-000013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" name="正方形/長方形 30">
            <a:extLst>
              <a:ext uri="{FF2B5EF4-FFF2-40B4-BE49-F238E27FC236}">
                <a16:creationId xmlns="" xmlns:a16="http://schemas.microsoft.com/office/drawing/2014/main" id="{00000000-0008-0000-0400-000014000000}"/>
              </a:ext>
            </a:extLst>
          </xdr:cNvPr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21" name="グループ化 34">
          <a:extLst>
            <a:ext uri="{FF2B5EF4-FFF2-40B4-BE49-F238E27FC236}">
              <a16:creationId xmlns="" xmlns:a16="http://schemas.microsoft.com/office/drawing/2014/main" id="{00000000-0008-0000-0400-000015000000}"/>
            </a:ext>
          </a:extLst>
        </xdr:cNvPr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22" name="正方形/長方形 35">
            <a:extLst>
              <a:ext uri="{FF2B5EF4-FFF2-40B4-BE49-F238E27FC236}">
                <a16:creationId xmlns="" xmlns:a16="http://schemas.microsoft.com/office/drawing/2014/main" id="{00000000-0008-0000-0400-000016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3" name="正方形/長方形 36">
            <a:extLst>
              <a:ext uri="{FF2B5EF4-FFF2-40B4-BE49-F238E27FC236}">
                <a16:creationId xmlns="" xmlns:a16="http://schemas.microsoft.com/office/drawing/2014/main" id="{00000000-0008-0000-0400-000017000000}"/>
              </a:ext>
            </a:extLst>
          </xdr:cNvPr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24" name="カギ線コネクタ 95243">
          <a:extLst>
            <a:ext uri="{FF2B5EF4-FFF2-40B4-BE49-F238E27FC236}">
              <a16:creationId xmlns="" xmlns:a16="http://schemas.microsoft.com/office/drawing/2014/main" id="{00000000-0008-0000-0400-000018000000}"/>
            </a:ext>
          </a:extLst>
        </xdr:cNvPr>
        <xdr:cNvCxnSpPr>
          <a:cxnSpLocks noChangeShapeType="1"/>
          <a:stCxn id="8" idx="3"/>
          <a:endCxn id="9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25" name="カギ線コネクタ 49">
          <a:extLst>
            <a:ext uri="{FF2B5EF4-FFF2-40B4-BE49-F238E27FC236}">
              <a16:creationId xmlns="" xmlns:a16="http://schemas.microsoft.com/office/drawing/2014/main" id="{00000000-0008-0000-0400-000019000000}"/>
            </a:ext>
          </a:extLst>
        </xdr:cNvPr>
        <xdr:cNvCxnSpPr>
          <a:cxnSpLocks noChangeShapeType="1"/>
          <a:stCxn id="8" idx="3"/>
          <a:endCxn id="5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74294</xdr:colOff>
      <xdr:row>38</xdr:row>
      <xdr:rowOff>192405</xdr:rowOff>
    </xdr:from>
    <xdr:to>
      <xdr:col>2</xdr:col>
      <xdr:colOff>1257300</xdr:colOff>
      <xdr:row>38</xdr:row>
      <xdr:rowOff>485766</xdr:rowOff>
    </xdr:to>
    <xdr:sp macro="[0]!InsActiveData" textlink="">
      <xdr:nvSpPr>
        <xdr:cNvPr id="26" name="角丸四角形 26">
          <a:extLst>
            <a:ext uri="{FF2B5EF4-FFF2-40B4-BE49-F238E27FC236}">
              <a16:creationId xmlns="" xmlns:a16="http://schemas.microsoft.com/office/drawing/2014/main" id="{00000000-0008-0000-0400-00001A000000}"/>
            </a:ext>
          </a:extLst>
        </xdr:cNvPr>
        <xdr:cNvSpPr/>
      </xdr:nvSpPr>
      <xdr:spPr bwMode="auto">
        <a:xfrm>
          <a:off x="2084069" y="80410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38</xdr:row>
      <xdr:rowOff>114300</xdr:rowOff>
    </xdr:from>
    <xdr:to>
      <xdr:col>12</xdr:col>
      <xdr:colOff>171450</xdr:colOff>
      <xdr:row>38</xdr:row>
      <xdr:rowOff>2886075</xdr:rowOff>
    </xdr:to>
    <xdr:sp macro="" textlink="">
      <xdr:nvSpPr>
        <xdr:cNvPr id="27" name="SqlPanel">
          <a:extLst>
            <a:ext uri="{FF2B5EF4-FFF2-40B4-BE49-F238E27FC236}">
              <a16:creationId xmlns="" xmlns:a16="http://schemas.microsoft.com/office/drawing/2014/main" id="{00000000-0008-0000-0400-00001B000000}"/>
            </a:ext>
          </a:extLst>
        </xdr:cNvPr>
        <xdr:cNvSpPr/>
      </xdr:nvSpPr>
      <xdr:spPr bwMode="auto">
        <a:xfrm>
          <a:off x="3419475" y="7962900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m_edp_test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edp_no='R115'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m_edp_test SELECT 'R115','aaa','','3','  ','   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38</xdr:row>
      <xdr:rowOff>116205</xdr:rowOff>
    </xdr:from>
    <xdr:to>
      <xdr:col>10</xdr:col>
      <xdr:colOff>1866900</xdr:colOff>
      <xdr:row>38</xdr:row>
      <xdr:rowOff>409566</xdr:rowOff>
    </xdr:to>
    <xdr:sp macro="[0]!InsActiveData" textlink="">
      <xdr:nvSpPr>
        <xdr:cNvPr id="28" name="角丸四角形 29">
          <a:extLst>
            <a:ext uri="{FF2B5EF4-FFF2-40B4-BE49-F238E27FC236}">
              <a16:creationId xmlns="" xmlns:a16="http://schemas.microsoft.com/office/drawing/2014/main" id="{00000000-0008-0000-0400-00001C000000}"/>
            </a:ext>
          </a:extLst>
        </xdr:cNvPr>
        <xdr:cNvSpPr/>
      </xdr:nvSpPr>
      <xdr:spPr bwMode="auto">
        <a:xfrm>
          <a:off x="7760969" y="79648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29" name="Text Box 4">
          <a:extLst>
            <a:ext uri="{FF2B5EF4-FFF2-40B4-BE49-F238E27FC236}">
              <a16:creationId xmlns="" xmlns:a16="http://schemas.microsoft.com/office/drawing/2014/main" id="{00000000-0008-0000-0400-00001D000000}"/>
            </a:ext>
          </a:extLst>
        </xdr:cNvPr>
        <xdr:cNvSpPr txBox="1">
          <a:spLocks noChangeArrowheads="1"/>
        </xdr:cNvSpPr>
      </xdr:nvSpPr>
      <xdr:spPr bwMode="auto">
        <a:xfrm>
          <a:off x="47625" y="0"/>
          <a:ext cx="1181100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11</xdr:col>
      <xdr:colOff>200025</xdr:colOff>
      <xdr:row>1</xdr:row>
      <xdr:rowOff>19050</xdr:rowOff>
    </xdr:from>
    <xdr:to>
      <xdr:col>14</xdr:col>
      <xdr:colOff>361950</xdr:colOff>
      <xdr:row>2</xdr:row>
      <xdr:rowOff>704850</xdr:rowOff>
    </xdr:to>
    <xdr:sp macro="" textlink="">
      <xdr:nvSpPr>
        <xdr:cNvPr id="30" name="四角形吹き出し 32">
          <a:extLst>
            <a:ext uri="{FF2B5EF4-FFF2-40B4-BE49-F238E27FC236}">
              <a16:creationId xmlns="" xmlns:a16="http://schemas.microsoft.com/office/drawing/2014/main" id="{00000000-0008-0000-0400-00001E000000}"/>
            </a:ext>
          </a:extLst>
        </xdr:cNvPr>
        <xdr:cNvSpPr/>
      </xdr:nvSpPr>
      <xdr:spPr bwMode="auto">
        <a:xfrm>
          <a:off x="10515600" y="30480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31" name="正方形/長方形 4">
          <a:extLst>
            <a:ext uri="{FF2B5EF4-FFF2-40B4-BE49-F238E27FC236}">
              <a16:creationId xmlns="" xmlns:a16="http://schemas.microsoft.com/office/drawing/2014/main" id="{00000000-0008-0000-0400-00001F000000}"/>
            </a:ext>
          </a:extLst>
        </xdr:cNvPr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200024</xdr:colOff>
      <xdr:row>2</xdr:row>
      <xdr:rowOff>997197</xdr:rowOff>
    </xdr:from>
    <xdr:to>
      <xdr:col>10</xdr:col>
      <xdr:colOff>400050</xdr:colOff>
      <xdr:row>2</xdr:row>
      <xdr:rowOff>1264215</xdr:rowOff>
    </xdr:to>
    <xdr:sp macro="[0]!RunCreateWebPage" textlink="">
      <xdr:nvSpPr>
        <xdr:cNvPr id="32" name="角丸四角形 37">
          <a:extLst>
            <a:ext uri="{FF2B5EF4-FFF2-40B4-BE49-F238E27FC236}">
              <a16:creationId xmlns="" xmlns:a16="http://schemas.microsoft.com/office/drawing/2014/main" id="{00000000-0008-0000-0400-000020000000}"/>
            </a:ext>
          </a:extLst>
        </xdr:cNvPr>
        <xdr:cNvSpPr/>
      </xdr:nvSpPr>
      <xdr:spPr bwMode="auto">
        <a:xfrm>
          <a:off x="6315074" y="1492497"/>
          <a:ext cx="1162051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CreateWeb</a:t>
          </a:r>
          <a:endParaRPr kumimoji="1" lang="ja-JP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95233" name="cboTYPE" hidden="1">
              <a:extLst>
                <a:ext uri="{63B3BB69-23CF-44E3-9099-C40C66FF867C}">
                  <a14:compatExt spid="_x0000_s95233"/>
                </a:ext>
                <a:ext uri="{FF2B5EF4-FFF2-40B4-BE49-F238E27FC236}">
                  <a16:creationId xmlns="" xmlns:a16="http://schemas.microsoft.com/office/drawing/2014/main" id="{00000000-0008-0000-0100-0000017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161925</xdr:rowOff>
        </xdr:from>
        <xdr:to>
          <xdr:col>4</xdr:col>
          <xdr:colOff>9525</xdr:colOff>
          <xdr:row>7</xdr:row>
          <xdr:rowOff>200025</xdr:rowOff>
        </xdr:to>
        <xdr:sp macro="" textlink="">
          <xdr:nvSpPr>
            <xdr:cNvPr id="95234" name="chkTYPE" hidden="1">
              <a:extLst>
                <a:ext uri="{63B3BB69-23CF-44E3-9099-C40C66FF867C}">
                  <a14:compatExt spid="_x0000_s95234"/>
                </a:ext>
                <a:ext uri="{FF2B5EF4-FFF2-40B4-BE49-F238E27FC236}">
                  <a16:creationId xmlns="" xmlns:a16="http://schemas.microsoft.com/office/drawing/2014/main" id="{00000000-0008-0000-0100-0000027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2" name="角丸四角形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SpPr/>
      </xdr:nvSpPr>
      <xdr:spPr bwMode="auto">
        <a:xfrm>
          <a:off x="2076449" y="1949697"/>
          <a:ext cx="1819276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7" name="角丸四角形 6">
          <a:extLst>
            <a:ext uri="{FF2B5EF4-FFF2-40B4-BE49-F238E27FC236}">
              <a16:creationId xmlns="" xmlns:a16="http://schemas.microsoft.com/office/drawing/2014/main" id="{00000000-0008-0000-0100-000007000000}"/>
            </a:ext>
          </a:extLst>
        </xdr:cNvPr>
        <xdr:cNvSpPr/>
      </xdr:nvSpPr>
      <xdr:spPr bwMode="auto">
        <a:xfrm>
          <a:off x="5524499" y="1962150"/>
          <a:ext cx="923926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46</xdr:row>
      <xdr:rowOff>192405</xdr:rowOff>
    </xdr:from>
    <xdr:to>
      <xdr:col>1</xdr:col>
      <xdr:colOff>1619250</xdr:colOff>
      <xdr:row>46</xdr:row>
      <xdr:rowOff>485766</xdr:rowOff>
    </xdr:to>
    <xdr:sp macro="[0]!ClientSelTableInfo" textlink="">
      <xdr:nvSpPr>
        <xdr:cNvPr id="8" name="角丸四角形 7">
          <a:extLst>
            <a:ext uri="{FF2B5EF4-FFF2-40B4-BE49-F238E27FC236}">
              <a16:creationId xmlns="" xmlns:a16="http://schemas.microsoft.com/office/drawing/2014/main" id="{00000000-0008-0000-0100-000008000000}"/>
            </a:ext>
          </a:extLst>
        </xdr:cNvPr>
        <xdr:cNvSpPr/>
      </xdr:nvSpPr>
      <xdr:spPr bwMode="auto">
        <a:xfrm>
          <a:off x="731519" y="8898255"/>
          <a:ext cx="1183006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1</xdr:col>
      <xdr:colOff>895350</xdr:colOff>
      <xdr:row>2</xdr:row>
      <xdr:rowOff>694456</xdr:rowOff>
    </xdr:to>
    <xdr:sp macro="[0]!CreateTable" textlink="">
      <xdr:nvSpPr>
        <xdr:cNvPr id="9" name="角丸四角形 8">
          <a:extLst>
            <a:ext uri="{FF2B5EF4-FFF2-40B4-BE49-F238E27FC236}">
              <a16:creationId xmlns="" xmlns:a16="http://schemas.microsoft.com/office/drawing/2014/main" id="{00000000-0008-0000-0100-000009000000}"/>
            </a:ext>
          </a:extLst>
        </xdr:cNvPr>
        <xdr:cNvSpPr/>
      </xdr:nvSpPr>
      <xdr:spPr bwMode="auto">
        <a:xfrm>
          <a:off x="255269" y="920997"/>
          <a:ext cx="935356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10" name="角丸四角形 9">
          <a:extLst>
            <a:ext uri="{FF2B5EF4-FFF2-40B4-BE49-F238E27FC236}">
              <a16:creationId xmlns="" xmlns:a16="http://schemas.microsoft.com/office/drawing/2014/main" id="{00000000-0008-0000-0100-00000A000000}"/>
            </a:ext>
          </a:extLst>
        </xdr:cNvPr>
        <xdr:cNvSpPr/>
      </xdr:nvSpPr>
      <xdr:spPr bwMode="auto">
        <a:xfrm>
          <a:off x="4152899" y="1301997"/>
          <a:ext cx="714375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11" name="角丸四角形 10">
          <a:extLst>
            <a:ext uri="{FF2B5EF4-FFF2-40B4-BE49-F238E27FC236}">
              <a16:creationId xmlns="" xmlns:a16="http://schemas.microsoft.com/office/drawing/2014/main" id="{00000000-0008-0000-0100-00000B000000}"/>
            </a:ext>
          </a:extLst>
        </xdr:cNvPr>
        <xdr:cNvSpPr/>
      </xdr:nvSpPr>
      <xdr:spPr bwMode="auto">
        <a:xfrm>
          <a:off x="5514974" y="77812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2" name="角丸四角形 11">
          <a:extLst>
            <a:ext uri="{FF2B5EF4-FFF2-40B4-BE49-F238E27FC236}">
              <a16:creationId xmlns="" xmlns:a16="http://schemas.microsoft.com/office/drawing/2014/main" id="{00000000-0008-0000-0100-00000C000000}"/>
            </a:ext>
          </a:extLst>
        </xdr:cNvPr>
        <xdr:cNvSpPr/>
      </xdr:nvSpPr>
      <xdr:spPr bwMode="auto">
        <a:xfrm>
          <a:off x="8277224" y="787647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3" name="角丸四角形 12">
          <a:extLst>
            <a:ext uri="{FF2B5EF4-FFF2-40B4-BE49-F238E27FC236}">
              <a16:creationId xmlns="" xmlns:a16="http://schemas.microsoft.com/office/drawing/2014/main" id="{00000000-0008-0000-0100-00000D000000}"/>
            </a:ext>
          </a:extLst>
        </xdr:cNvPr>
        <xdr:cNvSpPr/>
      </xdr:nvSpPr>
      <xdr:spPr bwMode="auto">
        <a:xfrm>
          <a:off x="8277225" y="1304925"/>
          <a:ext cx="194309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4" name="角丸四角形 13">
          <a:extLst>
            <a:ext uri="{FF2B5EF4-FFF2-40B4-BE49-F238E27FC236}">
              <a16:creationId xmlns="" xmlns:a16="http://schemas.microsoft.com/office/drawing/2014/main" id="{00000000-0008-0000-0100-00000E000000}"/>
            </a:ext>
          </a:extLst>
        </xdr:cNvPr>
        <xdr:cNvSpPr/>
      </xdr:nvSpPr>
      <xdr:spPr bwMode="auto">
        <a:xfrm>
          <a:off x="2105024" y="797172"/>
          <a:ext cx="1819276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4" name="直線矢印コネクタ 3">
          <a:extLst>
            <a:ext uri="{FF2B5EF4-FFF2-40B4-BE49-F238E27FC236}">
              <a16:creationId xmlns="" xmlns:a16="http://schemas.microsoft.com/office/drawing/2014/main" id="{00000000-0008-0000-0100-000004000000}"/>
            </a:ext>
          </a:extLst>
        </xdr:cNvPr>
        <xdr:cNvCxnSpPr>
          <a:stCxn id="2" idx="3"/>
          <a:endCxn id="10" idx="1"/>
        </xdr:cNvCxnSpPr>
      </xdr:nvCxnSpPr>
      <xdr:spPr bwMode="auto">
        <a:xfrm flipV="1">
          <a:off x="3895725" y="1440110"/>
          <a:ext cx="257174" cy="64770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7" name="直線矢印コネクタ 16">
          <a:extLst>
            <a:ext uri="{FF2B5EF4-FFF2-40B4-BE49-F238E27FC236}">
              <a16:creationId xmlns="" xmlns:a16="http://schemas.microsoft.com/office/drawing/2014/main" id="{00000000-0008-0000-0100-000011000000}"/>
            </a:ext>
          </a:extLst>
        </xdr:cNvPr>
        <xdr:cNvCxnSpPr>
          <a:stCxn id="14" idx="3"/>
          <a:endCxn id="10" idx="1"/>
        </xdr:cNvCxnSpPr>
      </xdr:nvCxnSpPr>
      <xdr:spPr bwMode="auto">
        <a:xfrm>
          <a:off x="3924300" y="935285"/>
          <a:ext cx="228599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8" name="フローチャート: 判断 17">
          <a:extLst>
            <a:ext uri="{FF2B5EF4-FFF2-40B4-BE49-F238E27FC236}">
              <a16:creationId xmlns="" xmlns:a16="http://schemas.microsoft.com/office/drawing/2014/main" id="{00000000-0008-0000-0100-000012000000}"/>
            </a:ext>
          </a:extLst>
        </xdr:cNvPr>
        <xdr:cNvSpPr/>
      </xdr:nvSpPr>
      <xdr:spPr bwMode="auto">
        <a:xfrm>
          <a:off x="6886575" y="711447"/>
          <a:ext cx="895350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24" name="直線矢印コネクタ 23">
          <a:extLst>
            <a:ext uri="{FF2B5EF4-FFF2-40B4-BE49-F238E27FC236}">
              <a16:creationId xmlns="" xmlns:a16="http://schemas.microsoft.com/office/drawing/2014/main" id="{00000000-0008-0000-0100-000018000000}"/>
            </a:ext>
          </a:extLst>
        </xdr:cNvPr>
        <xdr:cNvCxnSpPr>
          <a:stCxn id="11" idx="3"/>
          <a:endCxn id="18" idx="1"/>
        </xdr:cNvCxnSpPr>
      </xdr:nvCxnSpPr>
      <xdr:spPr bwMode="auto">
        <a:xfrm>
          <a:off x="6410325" y="916235"/>
          <a:ext cx="476250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29" name="直線矢印コネクタ 28">
          <a:extLst>
            <a:ext uri="{FF2B5EF4-FFF2-40B4-BE49-F238E27FC236}">
              <a16:creationId xmlns="" xmlns:a16="http://schemas.microsoft.com/office/drawing/2014/main" id="{00000000-0008-0000-0100-00001D000000}"/>
            </a:ext>
          </a:extLst>
        </xdr:cNvPr>
        <xdr:cNvCxnSpPr>
          <a:stCxn id="18" idx="3"/>
          <a:endCxn id="12" idx="1"/>
        </xdr:cNvCxnSpPr>
      </xdr:nvCxnSpPr>
      <xdr:spPr bwMode="auto">
        <a:xfrm>
          <a:off x="7781925" y="916235"/>
          <a:ext cx="495299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17901" name="グループ化 95231">
          <a:extLst>
            <a:ext uri="{FF2B5EF4-FFF2-40B4-BE49-F238E27FC236}">
              <a16:creationId xmlns="" xmlns:a16="http://schemas.microsoft.com/office/drawing/2014/main" id="{00000000-0008-0000-0100-00008DCC0100}"/>
            </a:ext>
          </a:extLst>
        </xdr:cNvPr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17914" name="正方形/長方形 29">
            <a:extLst>
              <a:ext uri="{FF2B5EF4-FFF2-40B4-BE49-F238E27FC236}">
                <a16:creationId xmlns="" xmlns:a16="http://schemas.microsoft.com/office/drawing/2014/main" id="{00000000-0008-0000-0100-00009ACC01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31" name="正方形/長方形 30">
            <a:extLst>
              <a:ext uri="{FF2B5EF4-FFF2-40B4-BE49-F238E27FC236}">
                <a16:creationId xmlns="" xmlns:a16="http://schemas.microsoft.com/office/drawing/2014/main" id="{00000000-0008-0000-0100-00001F000000}"/>
              </a:ext>
            </a:extLst>
          </xdr:cNvPr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117902" name="グループ化 34">
          <a:extLst>
            <a:ext uri="{FF2B5EF4-FFF2-40B4-BE49-F238E27FC236}">
              <a16:creationId xmlns="" xmlns:a16="http://schemas.microsoft.com/office/drawing/2014/main" id="{00000000-0008-0000-0100-00008ECC0100}"/>
            </a:ext>
          </a:extLst>
        </xdr:cNvPr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117912" name="正方形/長方形 35">
            <a:extLst>
              <a:ext uri="{FF2B5EF4-FFF2-40B4-BE49-F238E27FC236}">
                <a16:creationId xmlns="" xmlns:a16="http://schemas.microsoft.com/office/drawing/2014/main" id="{00000000-0008-0000-0100-000098CC01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37" name="正方形/長方形 36">
            <a:extLst>
              <a:ext uri="{FF2B5EF4-FFF2-40B4-BE49-F238E27FC236}">
                <a16:creationId xmlns="" xmlns:a16="http://schemas.microsoft.com/office/drawing/2014/main" id="{00000000-0008-0000-0100-000025000000}"/>
              </a:ext>
            </a:extLst>
          </xdr:cNvPr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117903" name="カギ線コネクタ 95243">
          <a:extLst>
            <a:ext uri="{FF2B5EF4-FFF2-40B4-BE49-F238E27FC236}">
              <a16:creationId xmlns="" xmlns:a16="http://schemas.microsoft.com/office/drawing/2014/main" id="{00000000-0008-0000-0100-00008FCC0100}"/>
            </a:ext>
          </a:extLst>
        </xdr:cNvPr>
        <xdr:cNvCxnSpPr>
          <a:cxnSpLocks noChangeShapeType="1"/>
          <a:stCxn id="10" idx="3"/>
          <a:endCxn id="11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117904" name="カギ線コネクタ 49">
          <a:extLst>
            <a:ext uri="{FF2B5EF4-FFF2-40B4-BE49-F238E27FC236}">
              <a16:creationId xmlns="" xmlns:a16="http://schemas.microsoft.com/office/drawing/2014/main" id="{00000000-0008-0000-0100-000090CC0100}"/>
            </a:ext>
          </a:extLst>
        </xdr:cNvPr>
        <xdr:cNvCxnSpPr>
          <a:cxnSpLocks noChangeShapeType="1"/>
          <a:stCxn id="10" idx="3"/>
          <a:endCxn id="7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74294</xdr:colOff>
      <xdr:row>46</xdr:row>
      <xdr:rowOff>192405</xdr:rowOff>
    </xdr:from>
    <xdr:to>
      <xdr:col>2</xdr:col>
      <xdr:colOff>1257300</xdr:colOff>
      <xdr:row>46</xdr:row>
      <xdr:rowOff>485766</xdr:rowOff>
    </xdr:to>
    <xdr:sp macro="[0]!InsActiveData" textlink="">
      <xdr:nvSpPr>
        <xdr:cNvPr id="27" name="角丸四角形 26">
          <a:extLst>
            <a:ext uri="{FF2B5EF4-FFF2-40B4-BE49-F238E27FC236}">
              <a16:creationId xmlns="" xmlns:a16="http://schemas.microsoft.com/office/drawing/2014/main" id="{00000000-0008-0000-0100-00001B000000}"/>
            </a:ext>
          </a:extLst>
        </xdr:cNvPr>
        <xdr:cNvSpPr/>
      </xdr:nvSpPr>
      <xdr:spPr bwMode="auto">
        <a:xfrm>
          <a:off x="2084069" y="8898255"/>
          <a:ext cx="1183006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46</xdr:row>
      <xdr:rowOff>114300</xdr:rowOff>
    </xdr:from>
    <xdr:to>
      <xdr:col>12</xdr:col>
      <xdr:colOff>171450</xdr:colOff>
      <xdr:row>46</xdr:row>
      <xdr:rowOff>2886075</xdr:rowOff>
    </xdr:to>
    <xdr:sp macro="" textlink="">
      <xdr:nvSpPr>
        <xdr:cNvPr id="3" name="SqlPanel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 bwMode="auto">
        <a:xfrm>
          <a:off x="3419475" y="8829675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m_edp_test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edp_no='R115'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m_edp_test SELECT 'R115','aaa','','3','  ','   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46</xdr:row>
      <xdr:rowOff>116205</xdr:rowOff>
    </xdr:from>
    <xdr:to>
      <xdr:col>10</xdr:col>
      <xdr:colOff>1866900</xdr:colOff>
      <xdr:row>46</xdr:row>
      <xdr:rowOff>409566</xdr:rowOff>
    </xdr:to>
    <xdr:sp macro="[0]!InsActiveData" textlink="">
      <xdr:nvSpPr>
        <xdr:cNvPr id="30" name="角丸四角形 29">
          <a:extLst>
            <a:ext uri="{FF2B5EF4-FFF2-40B4-BE49-F238E27FC236}">
              <a16:creationId xmlns="" xmlns:a16="http://schemas.microsoft.com/office/drawing/2014/main" id="{00000000-0008-0000-0100-00001E000000}"/>
            </a:ext>
          </a:extLst>
        </xdr:cNvPr>
        <xdr:cNvSpPr/>
      </xdr:nvSpPr>
      <xdr:spPr bwMode="auto">
        <a:xfrm>
          <a:off x="7760969" y="8831580"/>
          <a:ext cx="1183006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32" name="Text Box 4">
          <a:extLst>
            <a:ext uri="{FF2B5EF4-FFF2-40B4-BE49-F238E27FC236}">
              <a16:creationId xmlns="" xmlns:a16="http://schemas.microsoft.com/office/drawing/2014/main" id="{00000000-0008-0000-0100-000020000000}"/>
            </a:ext>
          </a:extLst>
        </xdr:cNvPr>
        <xdr:cNvSpPr txBox="1">
          <a:spLocks noChangeArrowheads="1"/>
        </xdr:cNvSpPr>
      </xdr:nvSpPr>
      <xdr:spPr bwMode="auto">
        <a:xfrm>
          <a:off x="47625" y="0"/>
          <a:ext cx="1133475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11</xdr:col>
      <xdr:colOff>200025</xdr:colOff>
      <xdr:row>1</xdr:row>
      <xdr:rowOff>19050</xdr:rowOff>
    </xdr:from>
    <xdr:to>
      <xdr:col>14</xdr:col>
      <xdr:colOff>361950</xdr:colOff>
      <xdr:row>2</xdr:row>
      <xdr:rowOff>704850</xdr:rowOff>
    </xdr:to>
    <xdr:sp macro="" textlink="">
      <xdr:nvSpPr>
        <xdr:cNvPr id="33" name="四角形吹き出し 32">
          <a:extLst>
            <a:ext uri="{FF2B5EF4-FFF2-40B4-BE49-F238E27FC236}">
              <a16:creationId xmlns="" xmlns:a16="http://schemas.microsoft.com/office/drawing/2014/main" id="{00000000-0008-0000-0100-000021000000}"/>
            </a:ext>
          </a:extLst>
        </xdr:cNvPr>
        <xdr:cNvSpPr/>
      </xdr:nvSpPr>
      <xdr:spPr bwMode="auto">
        <a:xfrm>
          <a:off x="10515600" y="30480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117911" name="正方形/長方形 4">
          <a:extLst>
            <a:ext uri="{FF2B5EF4-FFF2-40B4-BE49-F238E27FC236}">
              <a16:creationId xmlns="" xmlns:a16="http://schemas.microsoft.com/office/drawing/2014/main" id="{00000000-0008-0000-0100-000097CC0100}"/>
            </a:ext>
          </a:extLst>
        </xdr:cNvPr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200024</xdr:colOff>
      <xdr:row>2</xdr:row>
      <xdr:rowOff>997197</xdr:rowOff>
    </xdr:from>
    <xdr:to>
      <xdr:col>10</xdr:col>
      <xdr:colOff>400050</xdr:colOff>
      <xdr:row>2</xdr:row>
      <xdr:rowOff>1264215</xdr:rowOff>
    </xdr:to>
    <xdr:sp macro="[0]!RunCreateWebPage" textlink="">
      <xdr:nvSpPr>
        <xdr:cNvPr id="38" name="角丸四角形 37">
          <a:extLst>
            <a:ext uri="{FF2B5EF4-FFF2-40B4-BE49-F238E27FC236}">
              <a16:creationId xmlns="" xmlns:a16="http://schemas.microsoft.com/office/drawing/2014/main" id="{00000000-0008-0000-0100-000026000000}"/>
            </a:ext>
          </a:extLst>
        </xdr:cNvPr>
        <xdr:cNvSpPr/>
      </xdr:nvSpPr>
      <xdr:spPr bwMode="auto">
        <a:xfrm>
          <a:off x="6315074" y="1492497"/>
          <a:ext cx="1162051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CreateWeb</a:t>
          </a:r>
          <a:endParaRPr kumimoji="1" lang="ja-JP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114689" name="cboTYPE" hidden="1">
              <a:extLst>
                <a:ext uri="{63B3BB69-23CF-44E3-9099-C40C66FF867C}">
                  <a14:compatExt spid="_x0000_s114689"/>
                </a:ext>
                <a:ext uri="{FF2B5EF4-FFF2-40B4-BE49-F238E27FC236}">
                  <a16:creationId xmlns="" xmlns:a16="http://schemas.microsoft.com/office/drawing/2014/main" id="{00000000-0008-0000-0800-000001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161925</xdr:rowOff>
        </xdr:from>
        <xdr:to>
          <xdr:col>4</xdr:col>
          <xdr:colOff>9525</xdr:colOff>
          <xdr:row>7</xdr:row>
          <xdr:rowOff>200025</xdr:rowOff>
        </xdr:to>
        <xdr:sp macro="" textlink="">
          <xdr:nvSpPr>
            <xdr:cNvPr id="114690" name="chkTYPE" hidden="1">
              <a:extLst>
                <a:ext uri="{63B3BB69-23CF-44E3-9099-C40C66FF867C}">
                  <a14:compatExt spid="_x0000_s114690"/>
                </a:ext>
                <a:ext uri="{FF2B5EF4-FFF2-40B4-BE49-F238E27FC236}">
                  <a16:creationId xmlns="" xmlns:a16="http://schemas.microsoft.com/office/drawing/2014/main" id="{00000000-0008-0000-0800-000002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4" name="角丸四角形 3">
          <a:extLst>
            <a:ext uri="{FF2B5EF4-FFF2-40B4-BE49-F238E27FC236}">
              <a16:creationId xmlns="" xmlns:a16="http://schemas.microsoft.com/office/drawing/2014/main" id="{00000000-0008-0000-0800-000004000000}"/>
            </a:ext>
          </a:extLst>
        </xdr:cNvPr>
        <xdr:cNvSpPr/>
      </xdr:nvSpPr>
      <xdr:spPr bwMode="auto">
        <a:xfrm>
          <a:off x="2076449" y="2075427"/>
          <a:ext cx="1815521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5" name="角丸四角形 4">
          <a:extLst>
            <a:ext uri="{FF2B5EF4-FFF2-40B4-BE49-F238E27FC236}">
              <a16:creationId xmlns="" xmlns:a16="http://schemas.microsoft.com/office/drawing/2014/main" id="{00000000-0008-0000-0800-000005000000}"/>
            </a:ext>
          </a:extLst>
        </xdr:cNvPr>
        <xdr:cNvSpPr/>
      </xdr:nvSpPr>
      <xdr:spPr bwMode="auto">
        <a:xfrm>
          <a:off x="5520689" y="2097405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45</xdr:row>
      <xdr:rowOff>192405</xdr:rowOff>
    </xdr:from>
    <xdr:to>
      <xdr:col>1</xdr:col>
      <xdr:colOff>1619250</xdr:colOff>
      <xdr:row>45</xdr:row>
      <xdr:rowOff>485766</xdr:rowOff>
    </xdr:to>
    <xdr:sp macro="[0]!ClientSelTableInfo" textlink="">
      <xdr:nvSpPr>
        <xdr:cNvPr id="6" name="角丸四角形 5">
          <a:extLst>
            <a:ext uri="{FF2B5EF4-FFF2-40B4-BE49-F238E27FC236}">
              <a16:creationId xmlns="" xmlns:a16="http://schemas.microsoft.com/office/drawing/2014/main" id="{00000000-0008-0000-0800-000006000000}"/>
            </a:ext>
          </a:extLst>
        </xdr:cNvPr>
        <xdr:cNvSpPr/>
      </xdr:nvSpPr>
      <xdr:spPr bwMode="auto">
        <a:xfrm>
          <a:off x="731519" y="91840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2</xdr:col>
      <xdr:colOff>38084</xdr:colOff>
      <xdr:row>2</xdr:row>
      <xdr:rowOff>694456</xdr:rowOff>
    </xdr:to>
    <xdr:sp macro="[0]!CreateTable作成" textlink="">
      <xdr:nvSpPr>
        <xdr:cNvPr id="7" name="角丸四角形 6">
          <a:extLst>
            <a:ext uri="{FF2B5EF4-FFF2-40B4-BE49-F238E27FC236}">
              <a16:creationId xmlns="" xmlns:a16="http://schemas.microsoft.com/office/drawing/2014/main" id="{00000000-0008-0000-0800-000007000000}"/>
            </a:ext>
          </a:extLst>
        </xdr:cNvPr>
        <xdr:cNvSpPr/>
      </xdr:nvSpPr>
      <xdr:spPr bwMode="auto">
        <a:xfrm>
          <a:off x="255269" y="920997"/>
          <a:ext cx="1792590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8" name="角丸四角形 7">
          <a:extLst>
            <a:ext uri="{FF2B5EF4-FFF2-40B4-BE49-F238E27FC236}">
              <a16:creationId xmlns="" xmlns:a16="http://schemas.microsoft.com/office/drawing/2014/main" id="{00000000-0008-0000-0800-000008000000}"/>
            </a:ext>
          </a:extLst>
        </xdr:cNvPr>
        <xdr:cNvSpPr/>
      </xdr:nvSpPr>
      <xdr:spPr bwMode="auto">
        <a:xfrm>
          <a:off x="4152899" y="1444872"/>
          <a:ext cx="721955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9" name="角丸四角形 8">
          <a:extLst>
            <a:ext uri="{FF2B5EF4-FFF2-40B4-BE49-F238E27FC236}">
              <a16:creationId xmlns="" xmlns:a16="http://schemas.microsoft.com/office/drawing/2014/main" id="{00000000-0008-0000-0800-000009000000}"/>
            </a:ext>
          </a:extLst>
        </xdr:cNvPr>
        <xdr:cNvSpPr/>
      </xdr:nvSpPr>
      <xdr:spPr bwMode="auto">
        <a:xfrm>
          <a:off x="5513069" y="91147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0" name="角丸四角形 9">
          <a:extLst>
            <a:ext uri="{FF2B5EF4-FFF2-40B4-BE49-F238E27FC236}">
              <a16:creationId xmlns="" xmlns:a16="http://schemas.microsoft.com/office/drawing/2014/main" id="{00000000-0008-0000-0800-00000A000000}"/>
            </a:ext>
          </a:extLst>
        </xdr:cNvPr>
        <xdr:cNvSpPr/>
      </xdr:nvSpPr>
      <xdr:spPr bwMode="auto">
        <a:xfrm>
          <a:off x="8269604" y="920997"/>
          <a:ext cx="90686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1" name="角丸四角形 10">
          <a:extLst>
            <a:ext uri="{FF2B5EF4-FFF2-40B4-BE49-F238E27FC236}">
              <a16:creationId xmlns="" xmlns:a16="http://schemas.microsoft.com/office/drawing/2014/main" id="{00000000-0008-0000-0800-00000B000000}"/>
            </a:ext>
          </a:extLst>
        </xdr:cNvPr>
        <xdr:cNvSpPr/>
      </xdr:nvSpPr>
      <xdr:spPr bwMode="auto">
        <a:xfrm>
          <a:off x="8269605" y="1438275"/>
          <a:ext cx="1948448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2" name="角丸四角形 11">
          <a:extLst>
            <a:ext uri="{FF2B5EF4-FFF2-40B4-BE49-F238E27FC236}">
              <a16:creationId xmlns="" xmlns:a16="http://schemas.microsoft.com/office/drawing/2014/main" id="{00000000-0008-0000-0800-00000C000000}"/>
            </a:ext>
          </a:extLst>
        </xdr:cNvPr>
        <xdr:cNvSpPr/>
      </xdr:nvSpPr>
      <xdr:spPr bwMode="auto">
        <a:xfrm>
          <a:off x="2095499" y="930522"/>
          <a:ext cx="1825027" cy="26855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13" name="直線矢印コネクタ 12">
          <a:extLst>
            <a:ext uri="{FF2B5EF4-FFF2-40B4-BE49-F238E27FC236}">
              <a16:creationId xmlns="" xmlns:a16="http://schemas.microsoft.com/office/drawing/2014/main" id="{00000000-0008-0000-0800-00000D000000}"/>
            </a:ext>
          </a:extLst>
        </xdr:cNvPr>
        <xdr:cNvCxnSpPr>
          <a:stCxn id="4" idx="3"/>
          <a:endCxn id="8" idx="1"/>
        </xdr:cNvCxnSpPr>
      </xdr:nvCxnSpPr>
      <xdr:spPr bwMode="auto">
        <a:xfrm flipV="1">
          <a:off x="3891915" y="1573460"/>
          <a:ext cx="261289" cy="645823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4" name="直線矢印コネクタ 13">
          <a:extLst>
            <a:ext uri="{FF2B5EF4-FFF2-40B4-BE49-F238E27FC236}">
              <a16:creationId xmlns="" xmlns:a16="http://schemas.microsoft.com/office/drawing/2014/main" id="{00000000-0008-0000-0800-00000E000000}"/>
            </a:ext>
          </a:extLst>
        </xdr:cNvPr>
        <xdr:cNvCxnSpPr>
          <a:stCxn id="12" idx="3"/>
          <a:endCxn id="8" idx="1"/>
        </xdr:cNvCxnSpPr>
      </xdr:nvCxnSpPr>
      <xdr:spPr bwMode="auto">
        <a:xfrm>
          <a:off x="3920490" y="1068635"/>
          <a:ext cx="232625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5" name="フローチャート: 判断 14">
          <a:extLst>
            <a:ext uri="{FF2B5EF4-FFF2-40B4-BE49-F238E27FC236}">
              <a16:creationId xmlns="" xmlns:a16="http://schemas.microsoft.com/office/drawing/2014/main" id="{00000000-0008-0000-0800-00000F000000}"/>
            </a:ext>
          </a:extLst>
        </xdr:cNvPr>
        <xdr:cNvSpPr/>
      </xdr:nvSpPr>
      <xdr:spPr bwMode="auto">
        <a:xfrm>
          <a:off x="6886575" y="844797"/>
          <a:ext cx="891388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16" name="直線矢印コネクタ 15">
          <a:extLst>
            <a:ext uri="{FF2B5EF4-FFF2-40B4-BE49-F238E27FC236}">
              <a16:creationId xmlns="" xmlns:a16="http://schemas.microsoft.com/office/drawing/2014/main" id="{00000000-0008-0000-0800-000010000000}"/>
            </a:ext>
          </a:extLst>
        </xdr:cNvPr>
        <xdr:cNvCxnSpPr>
          <a:stCxn id="9" idx="3"/>
          <a:endCxn id="15" idx="1"/>
        </xdr:cNvCxnSpPr>
      </xdr:nvCxnSpPr>
      <xdr:spPr bwMode="auto">
        <a:xfrm>
          <a:off x="6408420" y="1041965"/>
          <a:ext cx="478194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17" name="直線矢印コネクタ 16">
          <a:extLst>
            <a:ext uri="{FF2B5EF4-FFF2-40B4-BE49-F238E27FC236}">
              <a16:creationId xmlns="" xmlns:a16="http://schemas.microsoft.com/office/drawing/2014/main" id="{00000000-0008-0000-0800-000011000000}"/>
            </a:ext>
          </a:extLst>
        </xdr:cNvPr>
        <xdr:cNvCxnSpPr>
          <a:stCxn id="15" idx="3"/>
          <a:endCxn id="10" idx="1"/>
        </xdr:cNvCxnSpPr>
      </xdr:nvCxnSpPr>
      <xdr:spPr bwMode="auto">
        <a:xfrm>
          <a:off x="7778115" y="1041965"/>
          <a:ext cx="491273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17325" name="グループ化 95231">
          <a:extLst>
            <a:ext uri="{FF2B5EF4-FFF2-40B4-BE49-F238E27FC236}">
              <a16:creationId xmlns="" xmlns:a16="http://schemas.microsoft.com/office/drawing/2014/main" id="{00000000-0008-0000-0800-00004DCA0100}"/>
            </a:ext>
          </a:extLst>
        </xdr:cNvPr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17338" name="正方形/長方形 29">
            <a:extLst>
              <a:ext uri="{FF2B5EF4-FFF2-40B4-BE49-F238E27FC236}">
                <a16:creationId xmlns="" xmlns:a16="http://schemas.microsoft.com/office/drawing/2014/main" id="{00000000-0008-0000-0800-00005ACA01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" name="正方形/長方形 19">
            <a:extLst>
              <a:ext uri="{FF2B5EF4-FFF2-40B4-BE49-F238E27FC236}">
                <a16:creationId xmlns="" xmlns:a16="http://schemas.microsoft.com/office/drawing/2014/main" id="{00000000-0008-0000-0800-000014000000}"/>
              </a:ext>
            </a:extLst>
          </xdr:cNvPr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 b="1">
                <a:solidFill>
                  <a:srgbClr val="0000FF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 b="1">
                <a:solidFill>
                  <a:srgbClr val="0000FF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 b="1">
                <a:solidFill>
                  <a:srgbClr val="0000FF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117326" name="グループ化 34">
          <a:extLst>
            <a:ext uri="{FF2B5EF4-FFF2-40B4-BE49-F238E27FC236}">
              <a16:creationId xmlns="" xmlns:a16="http://schemas.microsoft.com/office/drawing/2014/main" id="{00000000-0008-0000-0800-00004ECA0100}"/>
            </a:ext>
          </a:extLst>
        </xdr:cNvPr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117336" name="正方形/長方形 35">
            <a:extLst>
              <a:ext uri="{FF2B5EF4-FFF2-40B4-BE49-F238E27FC236}">
                <a16:creationId xmlns="" xmlns:a16="http://schemas.microsoft.com/office/drawing/2014/main" id="{00000000-0008-0000-0800-000058CA01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3" name="正方形/長方形 22">
            <a:extLst>
              <a:ext uri="{FF2B5EF4-FFF2-40B4-BE49-F238E27FC236}">
                <a16:creationId xmlns="" xmlns:a16="http://schemas.microsoft.com/office/drawing/2014/main" id="{00000000-0008-0000-0800-000017000000}"/>
              </a:ext>
            </a:extLst>
          </xdr:cNvPr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 b="1">
                <a:solidFill>
                  <a:srgbClr val="0000FF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資料保存用</a:t>
            </a:r>
            <a:r>
              <a:rPr kumimoji="1" lang="en-US" altLang="ja-JP" sz="1100" b="1">
                <a:solidFill>
                  <a:srgbClr val="0000FF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 b="1">
                <a:solidFill>
                  <a:srgbClr val="0000FF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117327" name="カギ線コネクタ 95243">
          <a:extLst>
            <a:ext uri="{FF2B5EF4-FFF2-40B4-BE49-F238E27FC236}">
              <a16:creationId xmlns="" xmlns:a16="http://schemas.microsoft.com/office/drawing/2014/main" id="{00000000-0008-0000-0800-00004FCA0100}"/>
            </a:ext>
          </a:extLst>
        </xdr:cNvPr>
        <xdr:cNvCxnSpPr>
          <a:cxnSpLocks noChangeShapeType="1"/>
          <a:stCxn id="8" idx="3"/>
          <a:endCxn id="9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117328" name="カギ線コネクタ 49">
          <a:extLst>
            <a:ext uri="{FF2B5EF4-FFF2-40B4-BE49-F238E27FC236}">
              <a16:creationId xmlns="" xmlns:a16="http://schemas.microsoft.com/office/drawing/2014/main" id="{00000000-0008-0000-0800-000050CA0100}"/>
            </a:ext>
          </a:extLst>
        </xdr:cNvPr>
        <xdr:cNvCxnSpPr>
          <a:cxnSpLocks noChangeShapeType="1"/>
          <a:stCxn id="8" idx="3"/>
          <a:endCxn id="5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11</xdr:col>
      <xdr:colOff>76200</xdr:colOff>
      <xdr:row>9</xdr:row>
      <xdr:rowOff>0</xdr:rowOff>
    </xdr:from>
    <xdr:to>
      <xdr:col>13</xdr:col>
      <xdr:colOff>350536</xdr:colOff>
      <xdr:row>15</xdr:row>
      <xdr:rowOff>38100</xdr:rowOff>
    </xdr:to>
    <xdr:sp macro="" textlink="">
      <xdr:nvSpPr>
        <xdr:cNvPr id="26" name="四角形吹き出し 25">
          <a:extLst>
            <a:ext uri="{FF2B5EF4-FFF2-40B4-BE49-F238E27FC236}">
              <a16:creationId xmlns="" xmlns:a16="http://schemas.microsoft.com/office/drawing/2014/main" id="{00000000-0008-0000-0800-00001A000000}"/>
            </a:ext>
          </a:extLst>
        </xdr:cNvPr>
        <xdr:cNvSpPr/>
      </xdr:nvSpPr>
      <xdr:spPr bwMode="auto">
        <a:xfrm>
          <a:off x="10391775" y="3705225"/>
          <a:ext cx="2036461" cy="895350"/>
        </a:xfrm>
        <a:prstGeom prst="wedgeRectCallout">
          <a:avLst>
            <a:gd name="adj1" fmla="val -77375"/>
            <a:gd name="adj2" fmla="val -42819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>
              <a:solidFill>
                <a:srgbClr val="FF0000"/>
              </a:solidFill>
            </a:rPr>
            <a:t>行削除の操作しないしてください</a:t>
          </a:r>
        </a:p>
      </xdr:txBody>
    </xdr:sp>
    <xdr:clientData/>
  </xdr:twoCellAnchor>
  <xdr:twoCellAnchor>
    <xdr:from>
      <xdr:col>2</xdr:col>
      <xdr:colOff>74294</xdr:colOff>
      <xdr:row>45</xdr:row>
      <xdr:rowOff>192405</xdr:rowOff>
    </xdr:from>
    <xdr:to>
      <xdr:col>2</xdr:col>
      <xdr:colOff>1257300</xdr:colOff>
      <xdr:row>45</xdr:row>
      <xdr:rowOff>485766</xdr:rowOff>
    </xdr:to>
    <xdr:sp macro="[0]!InsActiveData" textlink="">
      <xdr:nvSpPr>
        <xdr:cNvPr id="27" name="角丸四角形 26">
          <a:extLst>
            <a:ext uri="{FF2B5EF4-FFF2-40B4-BE49-F238E27FC236}">
              <a16:creationId xmlns="" xmlns:a16="http://schemas.microsoft.com/office/drawing/2014/main" id="{00000000-0008-0000-0800-00001B000000}"/>
            </a:ext>
          </a:extLst>
        </xdr:cNvPr>
        <xdr:cNvSpPr/>
      </xdr:nvSpPr>
      <xdr:spPr bwMode="auto">
        <a:xfrm>
          <a:off x="2084069" y="91840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45</xdr:row>
      <xdr:rowOff>114300</xdr:rowOff>
    </xdr:from>
    <xdr:to>
      <xdr:col>12</xdr:col>
      <xdr:colOff>171450</xdr:colOff>
      <xdr:row>45</xdr:row>
      <xdr:rowOff>2886075</xdr:rowOff>
    </xdr:to>
    <xdr:sp macro="" textlink="">
      <xdr:nvSpPr>
        <xdr:cNvPr id="28" name="SqlPanel">
          <a:extLst>
            <a:ext uri="{FF2B5EF4-FFF2-40B4-BE49-F238E27FC236}">
              <a16:creationId xmlns="" xmlns:a16="http://schemas.microsoft.com/office/drawing/2014/main" id="{00000000-0008-0000-0800-00001C000000}"/>
            </a:ext>
          </a:extLst>
        </xdr:cNvPr>
        <xdr:cNvSpPr/>
      </xdr:nvSpPr>
      <xdr:spPr bwMode="auto">
        <a:xfrm>
          <a:off x="3419475" y="9105900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m_edp_test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edp_no='R115'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m_edp_test SELECT 'R115','aaa','','3','  ','   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45</xdr:row>
      <xdr:rowOff>116205</xdr:rowOff>
    </xdr:from>
    <xdr:to>
      <xdr:col>10</xdr:col>
      <xdr:colOff>1866900</xdr:colOff>
      <xdr:row>45</xdr:row>
      <xdr:rowOff>409566</xdr:rowOff>
    </xdr:to>
    <xdr:sp macro="[0]!InsActiveData" textlink="">
      <xdr:nvSpPr>
        <xdr:cNvPr id="29" name="角丸四角形 28">
          <a:extLst>
            <a:ext uri="{FF2B5EF4-FFF2-40B4-BE49-F238E27FC236}">
              <a16:creationId xmlns="" xmlns:a16="http://schemas.microsoft.com/office/drawing/2014/main" id="{00000000-0008-0000-0800-00001D000000}"/>
            </a:ext>
          </a:extLst>
        </xdr:cNvPr>
        <xdr:cNvSpPr/>
      </xdr:nvSpPr>
      <xdr:spPr bwMode="auto">
        <a:xfrm>
          <a:off x="7760969" y="91078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30" name="Text Box 4">
          <a:extLst>
            <a:ext uri="{FF2B5EF4-FFF2-40B4-BE49-F238E27FC236}">
              <a16:creationId xmlns="" xmlns:a16="http://schemas.microsoft.com/office/drawing/2014/main" id="{00000000-0008-0000-0800-00001E000000}"/>
            </a:ext>
          </a:extLst>
        </xdr:cNvPr>
        <xdr:cNvSpPr txBox="1">
          <a:spLocks noChangeArrowheads="1"/>
        </xdr:cNvSpPr>
      </xdr:nvSpPr>
      <xdr:spPr bwMode="auto">
        <a:xfrm>
          <a:off x="47625" y="0"/>
          <a:ext cx="1181100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10</xdr:col>
      <xdr:colOff>3152775</xdr:colOff>
      <xdr:row>0</xdr:row>
      <xdr:rowOff>57150</xdr:rowOff>
    </xdr:from>
    <xdr:to>
      <xdr:col>14</xdr:col>
      <xdr:colOff>76200</xdr:colOff>
      <xdr:row>2</xdr:row>
      <xdr:rowOff>457200</xdr:rowOff>
    </xdr:to>
    <xdr:sp macro="" textlink="">
      <xdr:nvSpPr>
        <xdr:cNvPr id="31" name="四角形吹き出し 30">
          <a:extLst>
            <a:ext uri="{FF2B5EF4-FFF2-40B4-BE49-F238E27FC236}">
              <a16:creationId xmlns="" xmlns:a16="http://schemas.microsoft.com/office/drawing/2014/main" id="{00000000-0008-0000-0800-00001F000000}"/>
            </a:ext>
          </a:extLst>
        </xdr:cNvPr>
        <xdr:cNvSpPr/>
      </xdr:nvSpPr>
      <xdr:spPr bwMode="auto">
        <a:xfrm>
          <a:off x="10229850" y="5715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117335" name="正方形/長方形 31">
          <a:extLst>
            <a:ext uri="{FF2B5EF4-FFF2-40B4-BE49-F238E27FC236}">
              <a16:creationId xmlns="" xmlns:a16="http://schemas.microsoft.com/office/drawing/2014/main" id="{00000000-0008-0000-0800-000057CA0100}"/>
            </a:ext>
          </a:extLst>
        </xdr:cNvPr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409575</xdr:colOff>
      <xdr:row>1</xdr:row>
      <xdr:rowOff>95250</xdr:rowOff>
    </xdr:from>
    <xdr:to>
      <xdr:col>6</xdr:col>
      <xdr:colOff>361950</xdr:colOff>
      <xdr:row>3</xdr:row>
      <xdr:rowOff>69367</xdr:rowOff>
    </xdr:to>
    <xdr:sp macro="[0]!GetTableList" textlink="">
      <xdr:nvSpPr>
        <xdr:cNvPr id="2" name="角丸四角形 1"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SpPr/>
      </xdr:nvSpPr>
      <xdr:spPr bwMode="auto">
        <a:xfrm>
          <a:off x="2238375" y="247650"/>
          <a:ext cx="1781175" cy="278917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Table Name </a:t>
          </a:r>
          <a:r>
            <a:rPr kumimoji="1" lang="ja-JP" altLang="en-US" sz="1100"/>
            <a:t>取得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2</xdr:col>
      <xdr:colOff>925861</xdr:colOff>
      <xdr:row>3</xdr:row>
      <xdr:rowOff>122035</xdr:rowOff>
    </xdr:to>
    <xdr:sp macro="[0]!DoCopyTable" textlink="">
      <xdr:nvSpPr>
        <xdr:cNvPr id="2" name="角丸四角形 1">
          <a:extLst>
            <a:ext uri="{FF2B5EF4-FFF2-40B4-BE49-F238E27FC236}">
              <a16:creationId xmlns="" xmlns:a16="http://schemas.microsoft.com/office/drawing/2014/main" id="{00000000-0008-0000-0A00-000002000000}"/>
            </a:ext>
          </a:extLst>
        </xdr:cNvPr>
        <xdr:cNvSpPr/>
      </xdr:nvSpPr>
      <xdr:spPr bwMode="auto">
        <a:xfrm>
          <a:off x="1219200" y="304800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COPY </a:t>
          </a:r>
          <a:r>
            <a:rPr kumimoji="1" lang="ja-JP" altLang="en-US" sz="1100"/>
            <a:t>→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3</xdr:col>
      <xdr:colOff>925861</xdr:colOff>
      <xdr:row>3</xdr:row>
      <xdr:rowOff>122035</xdr:rowOff>
    </xdr:to>
    <xdr:sp macro="[0]!DoTableRestore" textlink="">
      <xdr:nvSpPr>
        <xdr:cNvPr id="3" name="角丸四角形 2">
          <a:extLst>
            <a:ext uri="{FF2B5EF4-FFF2-40B4-BE49-F238E27FC236}">
              <a16:creationId xmlns="" xmlns:a16="http://schemas.microsoft.com/office/drawing/2014/main" id="{00000000-0008-0000-0A00-000003000000}"/>
            </a:ext>
          </a:extLst>
        </xdr:cNvPr>
        <xdr:cNvSpPr/>
      </xdr:nvSpPr>
      <xdr:spPr bwMode="auto">
        <a:xfrm>
          <a:off x="2390775" y="304800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←復元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529590</xdr:colOff>
      <xdr:row>4</xdr:row>
      <xdr:rowOff>114300</xdr:rowOff>
    </xdr:from>
    <xdr:to>
      <xdr:col>1</xdr:col>
      <xdr:colOff>1674449</xdr:colOff>
      <xdr:row>7</xdr:row>
      <xdr:rowOff>57150</xdr:rowOff>
    </xdr:to>
    <xdr:sp macro="[0]!UPDATE_REP" textlink="">
      <xdr:nvSpPr>
        <xdr:cNvPr id="2" name="角丸四角形 1">
          <a:extLst>
            <a:ext uri="{FF2B5EF4-FFF2-40B4-BE49-F238E27FC236}">
              <a16:creationId xmlns="" xmlns:a16="http://schemas.microsoft.com/office/drawing/2014/main" id="{00000000-0008-0000-0C00-000002000000}"/>
            </a:ext>
          </a:extLst>
        </xdr:cNvPr>
        <xdr:cNvSpPr/>
      </xdr:nvSpPr>
      <xdr:spPr bwMode="auto">
        <a:xfrm>
          <a:off x="1628775" y="723900"/>
          <a:ext cx="1143000" cy="400050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UPDATE</a:t>
          </a:r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4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mments" Target="../comments5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omments" Target="../comments6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4:I7"/>
  <sheetViews>
    <sheetView workbookViewId="0">
      <selection activeCell="C16" sqref="C16"/>
    </sheetView>
  </sheetViews>
  <sheetFormatPr defaultColWidth="9.140625" defaultRowHeight="21"/>
  <cols>
    <col min="1" max="2" width="9.140625" style="119"/>
    <col min="3" max="3" width="13.140625" style="119" customWidth="1"/>
    <col min="4" max="16384" width="9.140625" style="119"/>
  </cols>
  <sheetData>
    <row r="4" spans="2:9">
      <c r="B4" s="120" t="s">
        <v>559</v>
      </c>
      <c r="C4" s="118" t="s">
        <v>554</v>
      </c>
    </row>
    <row r="5" spans="2:9">
      <c r="B5" s="120" t="s">
        <v>560</v>
      </c>
      <c r="C5" s="118" t="s">
        <v>555</v>
      </c>
    </row>
    <row r="6" spans="2:9">
      <c r="B6" s="120" t="s">
        <v>561</v>
      </c>
      <c r="C6" s="118" t="s">
        <v>556</v>
      </c>
    </row>
    <row r="7" spans="2:9">
      <c r="B7" s="120" t="s">
        <v>562</v>
      </c>
      <c r="C7" s="118" t="s">
        <v>557</v>
      </c>
      <c r="I7" s="119" t="s">
        <v>558</v>
      </c>
    </row>
  </sheetData>
  <phoneticPr fontId="5"/>
  <hyperlinks>
    <hyperlink ref="C4" location="DB_INFO!A1" display="DB接続設定"/>
    <hyperlink ref="C5" location="GetTableNameList!A1" display="TABLE一覧取得"/>
    <hyperlink ref="C6" location="CopyTable!A1" display="TABLEのCopy"/>
    <hyperlink ref="C7" location="TABLE_TMP!A1" display="TABLE作成のTemplete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2"/>
  <dimension ref="A1:Y1051"/>
  <sheetViews>
    <sheetView showGridLines="0" topLeftCell="A4" zoomScaleNormal="100" workbookViewId="0">
      <selection activeCell="J18" sqref="J18"/>
    </sheetView>
  </sheetViews>
  <sheetFormatPr defaultColWidth="9.140625" defaultRowHeight="17.100000000000001" customHeight="1"/>
  <cols>
    <col min="1" max="1" width="4.42578125" style="2" customWidth="1"/>
    <col min="2" max="2" width="25.7109375" style="4" bestFit="1" customWidth="1"/>
    <col min="3" max="3" width="19.7109375" style="44" customWidth="1"/>
    <col min="4" max="4" width="10.7109375" style="39" customWidth="1"/>
    <col min="5" max="5" width="7" style="35" customWidth="1"/>
    <col min="6" max="7" width="7.7109375" style="4" customWidth="1"/>
    <col min="8" max="8" width="8.7109375" style="4" customWidth="1"/>
    <col min="9" max="9" width="7.7109375" style="4" customWidth="1"/>
    <col min="10" max="10" width="6.7109375" style="4" customWidth="1"/>
    <col min="11" max="11" width="48.5703125" style="4" customWidth="1"/>
    <col min="12" max="12" width="12.28515625" style="2" bestFit="1" customWidth="1"/>
    <col min="13" max="13" width="14.140625" style="2" bestFit="1" customWidth="1"/>
    <col min="14" max="16384" width="9.140625" style="2"/>
  </cols>
  <sheetData>
    <row r="1" spans="1:15" s="29" customFormat="1" ht="22.5" customHeight="1" thickBot="1">
      <c r="A1" s="97" t="s">
        <v>539</v>
      </c>
      <c r="B1" s="98"/>
      <c r="C1" s="99"/>
      <c r="D1" s="100"/>
      <c r="E1" s="101"/>
      <c r="F1" s="102" t="s">
        <v>543</v>
      </c>
      <c r="G1" s="103"/>
      <c r="H1" s="103"/>
      <c r="I1" s="104" t="s">
        <v>540</v>
      </c>
      <c r="J1" s="105"/>
      <c r="K1" s="106" t="s">
        <v>590</v>
      </c>
      <c r="L1" s="45"/>
      <c r="M1" s="46"/>
      <c r="N1" s="47"/>
    </row>
    <row r="2" spans="1:15" s="29" customFormat="1" ht="17.100000000000001" customHeight="1" thickBot="1">
      <c r="A2" s="107" t="s">
        <v>592</v>
      </c>
      <c r="B2" s="108"/>
      <c r="C2" s="109" t="s">
        <v>541</v>
      </c>
      <c r="D2" s="110"/>
      <c r="E2" s="111"/>
      <c r="F2" s="112"/>
      <c r="G2" s="112"/>
      <c r="H2" s="112"/>
      <c r="I2" s="112"/>
      <c r="J2" s="113"/>
      <c r="K2" s="114" t="s">
        <v>542</v>
      </c>
      <c r="L2" s="48"/>
      <c r="M2" s="49" t="s">
        <v>21</v>
      </c>
      <c r="N2" s="50"/>
    </row>
    <row r="3" spans="1:1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51" t="s">
        <v>22</v>
      </c>
      <c r="M3" s="49" t="s">
        <v>23</v>
      </c>
      <c r="N3" s="52"/>
      <c r="O3" s="18"/>
    </row>
    <row r="4" spans="1:15" s="8" customFormat="1" ht="15">
      <c r="A4" s="19" t="s">
        <v>0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9" t="s">
        <v>24</v>
      </c>
      <c r="M4" s="53" t="s">
        <v>25</v>
      </c>
      <c r="N4" s="54">
        <f>N2*N3</f>
        <v>0</v>
      </c>
    </row>
    <row r="5" spans="1:15" s="8" customFormat="1" ht="13.5">
      <c r="A5" s="19" t="s">
        <v>41</v>
      </c>
      <c r="B5" s="9"/>
      <c r="C5" s="158" t="s">
        <v>683</v>
      </c>
      <c r="D5" s="159"/>
      <c r="E5" s="160"/>
      <c r="F5" s="161" t="s">
        <v>698</v>
      </c>
      <c r="G5" s="162"/>
      <c r="H5" s="162"/>
      <c r="I5" s="162"/>
      <c r="J5" s="162"/>
      <c r="K5" s="163"/>
      <c r="L5" s="51" t="s">
        <v>26</v>
      </c>
      <c r="M5" s="53" t="s">
        <v>23</v>
      </c>
      <c r="N5" s="54"/>
    </row>
    <row r="6" spans="1:15" s="8" customFormat="1" ht="13.5">
      <c r="A6" s="19" t="s">
        <v>19</v>
      </c>
      <c r="B6" s="9"/>
      <c r="C6" s="158" t="s">
        <v>659</v>
      </c>
      <c r="D6" s="159"/>
      <c r="E6" s="160"/>
      <c r="F6" s="164"/>
      <c r="G6" s="165"/>
      <c r="H6" s="165"/>
      <c r="I6" s="165"/>
      <c r="J6" s="165"/>
      <c r="K6" s="166"/>
      <c r="L6" s="49" t="s">
        <v>24</v>
      </c>
      <c r="M6" s="53" t="s">
        <v>25</v>
      </c>
      <c r="N6" s="54">
        <f>N2*N5</f>
        <v>0</v>
      </c>
    </row>
    <row r="7" spans="1:15" s="8" customFormat="1" ht="13.5">
      <c r="A7" s="10"/>
      <c r="B7" s="20" t="s">
        <v>2</v>
      </c>
      <c r="C7" s="42" t="s">
        <v>619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</row>
    <row r="8" spans="1:1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</row>
    <row r="9" spans="1:15" ht="11.25">
      <c r="A9" s="69">
        <v>1</v>
      </c>
      <c r="B9" s="68" t="s">
        <v>661</v>
      </c>
      <c r="C9" s="69" t="s">
        <v>522</v>
      </c>
      <c r="D9" s="69" t="s">
        <v>532</v>
      </c>
      <c r="E9" s="69"/>
      <c r="F9" s="69" t="s">
        <v>585</v>
      </c>
      <c r="G9" s="69" t="s">
        <v>586</v>
      </c>
      <c r="H9" s="69"/>
      <c r="I9" s="69"/>
      <c r="J9" s="69"/>
      <c r="K9" s="69" t="s">
        <v>664</v>
      </c>
    </row>
    <row r="10" spans="1:15" ht="11.25">
      <c r="A10" s="69">
        <v>2</v>
      </c>
      <c r="B10" s="68" t="s">
        <v>685</v>
      </c>
      <c r="C10" s="69" t="s">
        <v>684</v>
      </c>
      <c r="D10" s="69" t="s">
        <v>531</v>
      </c>
      <c r="E10" s="69">
        <v>1</v>
      </c>
      <c r="F10" s="69" t="s">
        <v>585</v>
      </c>
      <c r="G10" s="69" t="s">
        <v>586</v>
      </c>
      <c r="H10" s="69"/>
      <c r="I10" s="69"/>
      <c r="J10" s="69"/>
      <c r="K10" s="69" t="s">
        <v>665</v>
      </c>
    </row>
    <row r="11" spans="1:15" ht="11.25">
      <c r="A11" s="69">
        <v>3</v>
      </c>
      <c r="B11" s="68" t="s">
        <v>626</v>
      </c>
      <c r="C11" s="69" t="s">
        <v>627</v>
      </c>
      <c r="D11" s="69" t="s">
        <v>531</v>
      </c>
      <c r="E11" s="69">
        <v>20</v>
      </c>
      <c r="F11" s="69" t="s">
        <v>585</v>
      </c>
      <c r="G11" s="69" t="s">
        <v>586</v>
      </c>
      <c r="H11" s="69"/>
      <c r="I11" s="69"/>
      <c r="J11" s="69"/>
      <c r="K11" s="69" t="s">
        <v>666</v>
      </c>
    </row>
    <row r="12" spans="1:15" ht="11.25">
      <c r="A12" s="69">
        <v>4</v>
      </c>
      <c r="B12" s="68" t="s">
        <v>687</v>
      </c>
      <c r="C12" s="69" t="s">
        <v>686</v>
      </c>
      <c r="D12" s="69" t="s">
        <v>531</v>
      </c>
      <c r="E12" s="69">
        <v>20</v>
      </c>
      <c r="F12" s="69" t="s">
        <v>585</v>
      </c>
      <c r="G12" s="69" t="s">
        <v>586</v>
      </c>
      <c r="H12" s="69"/>
      <c r="I12" s="69"/>
      <c r="J12" s="69"/>
      <c r="K12" s="68" t="s">
        <v>672</v>
      </c>
    </row>
    <row r="13" spans="1:15" ht="11.25">
      <c r="A13" s="69">
        <v>5</v>
      </c>
      <c r="B13" s="68" t="s">
        <v>632</v>
      </c>
      <c r="C13" s="69" t="s">
        <v>519</v>
      </c>
      <c r="D13" s="69" t="s">
        <v>531</v>
      </c>
      <c r="E13" s="69">
        <v>8</v>
      </c>
      <c r="F13" s="69" t="s">
        <v>585</v>
      </c>
      <c r="G13" s="69" t="s">
        <v>586</v>
      </c>
      <c r="H13" s="69"/>
      <c r="I13" s="69"/>
      <c r="J13" s="69"/>
      <c r="K13" s="69" t="s">
        <v>667</v>
      </c>
    </row>
    <row r="14" spans="1:15" ht="11.25">
      <c r="A14" s="69">
        <v>6</v>
      </c>
      <c r="B14" s="68" t="s">
        <v>689</v>
      </c>
      <c r="C14" s="69" t="s">
        <v>688</v>
      </c>
      <c r="D14" s="69" t="s">
        <v>531</v>
      </c>
      <c r="E14" s="69">
        <v>20</v>
      </c>
      <c r="F14" s="69" t="s">
        <v>585</v>
      </c>
      <c r="G14" s="69" t="s">
        <v>586</v>
      </c>
      <c r="H14" s="69"/>
      <c r="I14" s="69"/>
      <c r="J14" s="69"/>
      <c r="K14" s="69" t="s">
        <v>668</v>
      </c>
    </row>
    <row r="15" spans="1:15" ht="11.25">
      <c r="A15" s="69">
        <v>7</v>
      </c>
      <c r="B15" s="68" t="s">
        <v>662</v>
      </c>
      <c r="C15" s="69" t="s">
        <v>679</v>
      </c>
      <c r="D15" s="69" t="s">
        <v>532</v>
      </c>
      <c r="E15" s="69"/>
      <c r="F15" s="69" t="s">
        <v>585</v>
      </c>
      <c r="G15" s="69" t="s">
        <v>586</v>
      </c>
      <c r="H15" s="69"/>
      <c r="I15" s="69"/>
      <c r="J15" s="69"/>
      <c r="K15" s="69" t="s">
        <v>669</v>
      </c>
    </row>
    <row r="16" spans="1:15" ht="11.25">
      <c r="A16" s="69">
        <v>8</v>
      </c>
      <c r="B16" s="68" t="s">
        <v>691</v>
      </c>
      <c r="C16" s="69" t="s">
        <v>690</v>
      </c>
      <c r="D16" s="69" t="s">
        <v>531</v>
      </c>
      <c r="E16" s="69">
        <v>20</v>
      </c>
      <c r="F16" s="69" t="s">
        <v>585</v>
      </c>
      <c r="G16" s="69" t="s">
        <v>586</v>
      </c>
      <c r="H16" s="69"/>
      <c r="I16" s="69"/>
      <c r="J16" s="69"/>
      <c r="K16" s="68" t="s">
        <v>671</v>
      </c>
      <c r="L16" s="8"/>
      <c r="M16" s="14"/>
      <c r="N16" s="15"/>
    </row>
    <row r="17" spans="1:25" ht="11.25">
      <c r="A17" s="69">
        <v>9</v>
      </c>
      <c r="B17" s="68" t="s">
        <v>693</v>
      </c>
      <c r="C17" s="69" t="s">
        <v>692</v>
      </c>
      <c r="D17" s="69" t="s">
        <v>531</v>
      </c>
      <c r="E17" s="69">
        <v>100</v>
      </c>
      <c r="F17" s="69"/>
      <c r="G17" s="69"/>
      <c r="H17" s="69"/>
      <c r="I17" s="69"/>
      <c r="J17" s="69"/>
      <c r="K17" s="68" t="s">
        <v>670</v>
      </c>
    </row>
    <row r="18" spans="1:25" ht="11.25">
      <c r="A18" s="69">
        <v>10</v>
      </c>
      <c r="B18" s="68" t="s">
        <v>673</v>
      </c>
      <c r="C18" s="69" t="s">
        <v>694</v>
      </c>
      <c r="D18" s="69" t="s">
        <v>620</v>
      </c>
      <c r="E18" s="69"/>
      <c r="F18" s="69"/>
      <c r="G18" s="69"/>
      <c r="H18" s="69"/>
      <c r="I18" s="69"/>
      <c r="J18" s="69"/>
      <c r="K18" s="69"/>
      <c r="L18" s="8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</row>
    <row r="19" spans="1:25" ht="11.25">
      <c r="A19" s="69">
        <v>11</v>
      </c>
      <c r="B19" s="68" t="s">
        <v>674</v>
      </c>
      <c r="C19" s="69" t="s">
        <v>695</v>
      </c>
      <c r="D19" s="69" t="s">
        <v>620</v>
      </c>
      <c r="E19" s="69"/>
      <c r="F19" s="69"/>
      <c r="G19" s="69"/>
      <c r="H19" s="69"/>
      <c r="I19" s="69"/>
      <c r="J19" s="69"/>
      <c r="K19" s="69"/>
      <c r="L19" s="8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</row>
    <row r="20" spans="1:25" ht="11.25">
      <c r="A20" s="69">
        <v>12</v>
      </c>
      <c r="B20" s="68" t="s">
        <v>708</v>
      </c>
      <c r="C20" s="69" t="s">
        <v>624</v>
      </c>
      <c r="D20" s="69" t="s">
        <v>531</v>
      </c>
      <c r="E20" s="69">
        <v>1</v>
      </c>
      <c r="F20" s="69"/>
      <c r="G20" s="69"/>
      <c r="H20" s="69"/>
      <c r="I20" s="69"/>
      <c r="J20" s="69"/>
      <c r="K20" s="69"/>
      <c r="L20" s="8"/>
    </row>
    <row r="21" spans="1:25" ht="11.25">
      <c r="A21" s="69">
        <v>13</v>
      </c>
      <c r="B21" s="68" t="s">
        <v>675</v>
      </c>
      <c r="C21" s="69" t="s">
        <v>696</v>
      </c>
      <c r="D21" s="69" t="s">
        <v>531</v>
      </c>
      <c r="E21" s="69">
        <v>10</v>
      </c>
      <c r="F21" s="71"/>
      <c r="G21" s="71"/>
      <c r="H21" s="71"/>
      <c r="I21" s="71"/>
      <c r="J21" s="71"/>
      <c r="K21" s="70"/>
      <c r="L21" s="8"/>
      <c r="M21" s="14"/>
      <c r="N21" s="15"/>
    </row>
    <row r="22" spans="1:25" ht="11.25">
      <c r="A22" s="69">
        <v>14</v>
      </c>
      <c r="B22" s="68" t="s">
        <v>622</v>
      </c>
      <c r="C22" s="69" t="s">
        <v>623</v>
      </c>
      <c r="D22" s="69" t="s">
        <v>697</v>
      </c>
      <c r="E22" s="69"/>
      <c r="F22" s="69"/>
      <c r="G22" s="69"/>
      <c r="H22" s="71"/>
      <c r="I22" s="71"/>
      <c r="J22" s="71"/>
      <c r="K22" s="70"/>
      <c r="L22" s="8"/>
    </row>
    <row r="23" spans="1:25" ht="11.25">
      <c r="A23" s="69"/>
      <c r="B23" s="68"/>
      <c r="C23" s="70"/>
      <c r="D23" s="71"/>
      <c r="E23" s="71"/>
      <c r="F23" s="73"/>
      <c r="G23" s="69"/>
      <c r="H23" s="71"/>
      <c r="I23" s="71"/>
      <c r="J23" s="71"/>
      <c r="K23" s="70"/>
      <c r="L23" s="8"/>
      <c r="M23" s="14"/>
      <c r="N23" s="15"/>
    </row>
    <row r="24" spans="1:25" ht="11.25">
      <c r="A24" s="69"/>
      <c r="B24" s="68"/>
      <c r="C24" s="70"/>
      <c r="D24" s="69"/>
      <c r="E24" s="71"/>
      <c r="F24" s="73"/>
      <c r="G24" s="69"/>
      <c r="H24" s="71"/>
      <c r="I24" s="71"/>
      <c r="J24" s="71"/>
      <c r="K24" s="70"/>
      <c r="L24" s="8"/>
      <c r="M24" s="3"/>
      <c r="N24" s="1"/>
    </row>
    <row r="25" spans="1:25" ht="11.25">
      <c r="A25" s="69"/>
      <c r="B25" s="68"/>
      <c r="C25" s="70"/>
      <c r="D25" s="69"/>
      <c r="E25" s="69"/>
      <c r="F25" s="69"/>
      <c r="G25" s="69"/>
      <c r="H25" s="69"/>
      <c r="I25" s="69"/>
      <c r="J25" s="69"/>
      <c r="K25" s="74"/>
      <c r="L25" s="8"/>
    </row>
    <row r="26" spans="1:25" ht="11.25">
      <c r="A26" s="69"/>
      <c r="B26" s="68"/>
      <c r="C26" s="70"/>
      <c r="D26" s="69"/>
      <c r="E26" s="69"/>
      <c r="F26" s="69"/>
      <c r="G26" s="69"/>
      <c r="H26" s="69"/>
      <c r="I26" s="69"/>
      <c r="J26" s="69"/>
      <c r="K26" s="74"/>
      <c r="L26" s="8"/>
    </row>
    <row r="27" spans="1:25" ht="11.25">
      <c r="A27" s="69"/>
      <c r="B27" s="68"/>
      <c r="C27" s="70"/>
      <c r="D27" s="69"/>
      <c r="E27" s="69"/>
      <c r="F27" s="69"/>
      <c r="G27" s="69"/>
      <c r="H27" s="69"/>
      <c r="I27" s="69"/>
      <c r="J27" s="69"/>
      <c r="K27" s="74"/>
      <c r="L27" s="8"/>
    </row>
    <row r="28" spans="1:25" ht="11.25">
      <c r="A28" s="69"/>
      <c r="B28" s="68"/>
      <c r="C28" s="70"/>
      <c r="D28" s="69"/>
      <c r="E28" s="69"/>
      <c r="F28" s="69"/>
      <c r="G28" s="69"/>
      <c r="H28" s="69"/>
      <c r="I28" s="69"/>
      <c r="J28" s="69"/>
      <c r="K28" s="74"/>
      <c r="L28" s="8"/>
    </row>
    <row r="29" spans="1:25" ht="11.25">
      <c r="A29" s="69"/>
      <c r="B29" s="68"/>
      <c r="C29" s="70"/>
      <c r="D29" s="69"/>
      <c r="E29" s="69"/>
      <c r="F29" s="69"/>
      <c r="G29" s="69"/>
      <c r="H29" s="69"/>
      <c r="I29" s="69"/>
      <c r="J29" s="69"/>
      <c r="K29" s="74"/>
      <c r="L29" s="8"/>
    </row>
    <row r="30" spans="1:25" ht="11.25">
      <c r="A30" s="69"/>
      <c r="B30" s="68"/>
      <c r="C30" s="70"/>
      <c r="D30" s="69"/>
      <c r="E30" s="69"/>
      <c r="F30" s="69"/>
      <c r="G30" s="69"/>
      <c r="H30" s="69"/>
      <c r="I30" s="69"/>
      <c r="J30" s="69"/>
      <c r="K30" s="74"/>
      <c r="L30" s="8"/>
    </row>
    <row r="31" spans="1:25" ht="11.25">
      <c r="A31" s="69"/>
      <c r="B31" s="68"/>
      <c r="C31" s="70"/>
      <c r="D31" s="69"/>
      <c r="E31" s="69"/>
      <c r="F31" s="69"/>
      <c r="G31" s="69"/>
      <c r="H31" s="69"/>
      <c r="I31" s="69"/>
      <c r="J31" s="69"/>
      <c r="K31" s="74"/>
      <c r="L31" s="8"/>
    </row>
    <row r="32" spans="1:25" ht="11.25">
      <c r="A32" s="69"/>
      <c r="B32" s="68"/>
      <c r="C32" s="70"/>
      <c r="D32" s="69"/>
      <c r="E32" s="69"/>
      <c r="F32" s="69"/>
      <c r="G32" s="69"/>
      <c r="H32" s="69"/>
      <c r="I32" s="69"/>
      <c r="J32" s="69"/>
      <c r="K32" s="74"/>
      <c r="L32" s="8"/>
    </row>
    <row r="33" spans="1:25" ht="11.25">
      <c r="A33" s="69"/>
      <c r="B33" s="68"/>
      <c r="C33" s="70"/>
      <c r="D33" s="69"/>
      <c r="E33" s="69"/>
      <c r="F33" s="69"/>
      <c r="G33" s="69"/>
      <c r="H33" s="69"/>
      <c r="I33" s="69"/>
      <c r="J33" s="69"/>
      <c r="K33" s="74"/>
      <c r="L33" s="8"/>
    </row>
    <row r="34" spans="1:25" ht="11.25">
      <c r="A34" s="69"/>
      <c r="B34" s="69"/>
      <c r="C34" s="70"/>
      <c r="D34" s="69"/>
      <c r="E34" s="69"/>
      <c r="F34" s="69"/>
      <c r="G34" s="69"/>
      <c r="H34" s="69"/>
      <c r="I34" s="69"/>
      <c r="J34" s="69"/>
      <c r="K34" s="74"/>
      <c r="L34" s="8"/>
    </row>
    <row r="35" spans="1:25" ht="11.25">
      <c r="A35" s="69"/>
      <c r="B35" s="69"/>
      <c r="C35" s="70"/>
      <c r="D35" s="69"/>
      <c r="E35" s="69"/>
      <c r="F35" s="69"/>
      <c r="G35" s="69"/>
      <c r="H35" s="69"/>
      <c r="I35" s="69"/>
      <c r="J35" s="69"/>
      <c r="K35" s="74"/>
      <c r="L35" s="8"/>
    </row>
    <row r="36" spans="1:25" ht="11.25">
      <c r="A36" s="69"/>
      <c r="B36" s="75"/>
      <c r="C36" s="76"/>
      <c r="D36" s="76"/>
      <c r="E36" s="76"/>
      <c r="F36" s="69"/>
      <c r="G36" s="69"/>
      <c r="H36" s="69"/>
      <c r="I36" s="69"/>
      <c r="J36" s="69"/>
      <c r="K36" s="74"/>
      <c r="L36" s="60"/>
    </row>
    <row r="37" spans="1:25" ht="11.25">
      <c r="A37" s="69"/>
      <c r="B37" s="69"/>
      <c r="C37" s="69"/>
      <c r="D37" s="69"/>
      <c r="E37" s="69"/>
      <c r="F37" s="69"/>
      <c r="G37" s="69"/>
      <c r="H37" s="69"/>
      <c r="I37" s="69"/>
      <c r="J37" s="69"/>
      <c r="K37" s="74"/>
      <c r="L37" s="8"/>
    </row>
    <row r="38" spans="1:25" ht="11.25">
      <c r="A38" s="69"/>
      <c r="B38" s="69"/>
      <c r="C38" s="69"/>
      <c r="D38" s="69"/>
      <c r="E38" s="69"/>
      <c r="F38" s="69"/>
      <c r="G38" s="69"/>
      <c r="H38" s="69"/>
      <c r="I38" s="69"/>
      <c r="J38" s="69"/>
      <c r="K38" s="74"/>
      <c r="L38" s="8"/>
    </row>
    <row r="39" spans="1:25" ht="11.25">
      <c r="A39" s="69"/>
      <c r="B39" s="69"/>
      <c r="C39" s="74"/>
      <c r="D39" s="69"/>
      <c r="E39" s="69"/>
      <c r="F39" s="69"/>
      <c r="G39" s="69"/>
      <c r="H39" s="69"/>
      <c r="I39" s="69"/>
      <c r="J39" s="69"/>
      <c r="K39" s="74"/>
      <c r="L39" s="8"/>
    </row>
    <row r="40" spans="1:25" ht="11.25">
      <c r="A40" s="69"/>
      <c r="B40" s="69"/>
      <c r="C40" s="74"/>
      <c r="D40" s="69"/>
      <c r="E40" s="69"/>
      <c r="F40" s="69"/>
      <c r="G40" s="69"/>
      <c r="H40" s="69"/>
      <c r="I40" s="69"/>
      <c r="J40" s="69"/>
      <c r="K40" s="74"/>
      <c r="L40" s="8"/>
    </row>
    <row r="41" spans="1:25" ht="11.25">
      <c r="A41" s="69"/>
      <c r="B41" s="69"/>
      <c r="C41" s="74"/>
      <c r="D41" s="69"/>
      <c r="E41" s="69"/>
      <c r="F41" s="69"/>
      <c r="G41" s="69"/>
      <c r="H41" s="69"/>
      <c r="I41" s="69"/>
      <c r="J41" s="69"/>
      <c r="K41" s="74"/>
      <c r="L41" s="8"/>
    </row>
    <row r="42" spans="1:25" ht="11.25">
      <c r="A42" s="69"/>
      <c r="B42" s="69"/>
      <c r="C42" s="74"/>
      <c r="D42" s="69"/>
      <c r="E42" s="69"/>
      <c r="F42" s="69"/>
      <c r="G42" s="69"/>
      <c r="H42" s="69"/>
      <c r="I42" s="69"/>
      <c r="J42" s="69"/>
      <c r="K42" s="74"/>
      <c r="L42" s="8"/>
    </row>
    <row r="43" spans="1:25" ht="11.25">
      <c r="A43" s="69"/>
      <c r="B43" s="69"/>
      <c r="C43" s="74"/>
      <c r="D43" s="69"/>
      <c r="E43" s="69"/>
      <c r="F43" s="69"/>
      <c r="G43" s="69"/>
      <c r="H43" s="69"/>
      <c r="I43" s="69"/>
      <c r="J43" s="69"/>
      <c r="K43" s="74"/>
      <c r="L43" s="8"/>
    </row>
    <row r="44" spans="1:25" ht="11.25">
      <c r="A44" s="69"/>
      <c r="B44" s="69"/>
      <c r="C44" s="74"/>
      <c r="D44" s="69"/>
      <c r="E44" s="69"/>
      <c r="F44" s="69"/>
      <c r="G44" s="69"/>
      <c r="H44" s="69"/>
      <c r="I44" s="69"/>
      <c r="J44" s="69"/>
      <c r="K44" s="74"/>
      <c r="L44" s="8"/>
    </row>
    <row r="45" spans="1:25" ht="11.25">
      <c r="A45" s="69"/>
      <c r="B45" s="77"/>
      <c r="C45" s="74"/>
      <c r="D45" s="69"/>
      <c r="E45" s="69"/>
      <c r="F45" s="69"/>
      <c r="G45" s="69"/>
      <c r="H45" s="69"/>
      <c r="I45" s="69"/>
      <c r="J45" s="69"/>
      <c r="K45" s="74"/>
      <c r="L45" s="8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</row>
    <row r="46" spans="1:25" ht="11.25">
      <c r="A46" s="69"/>
      <c r="B46" s="77"/>
      <c r="C46" s="74"/>
      <c r="D46" s="69"/>
      <c r="E46" s="69"/>
      <c r="F46" s="69"/>
      <c r="G46" s="69"/>
      <c r="H46" s="69"/>
      <c r="I46" s="69"/>
      <c r="J46" s="69"/>
      <c r="K46" s="74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</row>
    <row r="47" spans="1:25" ht="11.25">
      <c r="A47" s="69"/>
      <c r="B47" s="77"/>
      <c r="C47" s="74"/>
      <c r="D47" s="69"/>
      <c r="E47" s="69"/>
      <c r="F47" s="69"/>
      <c r="G47" s="69"/>
      <c r="H47" s="69"/>
      <c r="I47" s="69"/>
      <c r="J47" s="69"/>
      <c r="K47" s="74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</row>
    <row r="48" spans="1:25" ht="11.25">
      <c r="A48" s="86"/>
      <c r="B48" s="87"/>
      <c r="C48" s="88"/>
      <c r="D48" s="86"/>
      <c r="E48" s="86"/>
      <c r="F48" s="86"/>
      <c r="G48" s="86"/>
      <c r="H48" s="86"/>
      <c r="I48" s="86"/>
      <c r="J48" s="86"/>
      <c r="K48" s="88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</row>
    <row r="49" spans="1:23" s="85" customFormat="1" ht="234.75" customHeight="1">
      <c r="A49" s="79" t="s">
        <v>528</v>
      </c>
      <c r="B49" s="80"/>
      <c r="C49" s="81"/>
      <c r="D49" s="82"/>
      <c r="E49" s="83"/>
      <c r="F49" s="84"/>
      <c r="G49" s="84"/>
      <c r="H49" s="84"/>
      <c r="I49" s="84"/>
      <c r="J49" s="84"/>
      <c r="K49" s="84"/>
    </row>
    <row r="50" spans="1:23" s="14" customFormat="1" ht="17.100000000000001" customHeight="1">
      <c r="B50" s="136" t="s">
        <v>588</v>
      </c>
      <c r="C50" s="137" t="s">
        <v>524</v>
      </c>
      <c r="D50" s="138" t="s">
        <v>525</v>
      </c>
      <c r="E50" s="139" t="s">
        <v>535</v>
      </c>
      <c r="F50" s="140" t="s">
        <v>526</v>
      </c>
      <c r="G50" s="140" t="s">
        <v>575</v>
      </c>
      <c r="H50" s="96"/>
      <c r="I50" s="96"/>
      <c r="J50" s="96"/>
      <c r="K50" s="96"/>
      <c r="L50" s="95"/>
      <c r="M50" s="95"/>
      <c r="N50" s="95"/>
      <c r="O50" s="95"/>
      <c r="P50" s="95"/>
      <c r="Q50" s="95"/>
      <c r="R50" s="95"/>
      <c r="S50" s="95"/>
      <c r="T50" s="95"/>
      <c r="U50" s="95"/>
      <c r="V50" s="95"/>
      <c r="W50" s="95"/>
    </row>
    <row r="51" spans="1:23" s="14" customFormat="1" ht="17.100000000000001" customHeight="1">
      <c r="B51" s="140" t="s">
        <v>519</v>
      </c>
      <c r="C51" s="137" t="s">
        <v>520</v>
      </c>
      <c r="D51" s="138" t="s">
        <v>521</v>
      </c>
      <c r="E51" s="139" t="s">
        <v>522</v>
      </c>
      <c r="F51" s="140" t="s">
        <v>523</v>
      </c>
      <c r="G51" s="140" t="s">
        <v>527</v>
      </c>
      <c r="H51" s="96"/>
      <c r="I51" s="96"/>
      <c r="J51" s="96"/>
      <c r="K51" s="96"/>
      <c r="L51" s="95"/>
      <c r="M51" s="95"/>
      <c r="N51" s="95"/>
      <c r="O51" s="95"/>
      <c r="P51" s="95"/>
      <c r="Q51" s="95"/>
      <c r="R51" s="95"/>
      <c r="S51" s="95"/>
      <c r="T51" s="95"/>
      <c r="U51" s="95"/>
      <c r="V51" s="95"/>
      <c r="W51" s="95"/>
    </row>
    <row r="52" spans="1:23" s="14" customFormat="1" ht="17.100000000000001" customHeight="1">
      <c r="B52" s="141" t="s">
        <v>576</v>
      </c>
      <c r="C52" s="142" t="s">
        <v>577</v>
      </c>
      <c r="D52" s="143" t="s">
        <v>578</v>
      </c>
      <c r="E52" s="144">
        <v>1</v>
      </c>
      <c r="F52" s="141" t="s">
        <v>579</v>
      </c>
      <c r="G52" s="141" t="s">
        <v>580</v>
      </c>
      <c r="H52" s="89"/>
      <c r="I52" s="89"/>
      <c r="J52" s="89"/>
      <c r="K52" s="89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</row>
    <row r="53" spans="1:23" s="14" customFormat="1" ht="17.100000000000001" customHeight="1">
      <c r="B53" s="141" t="s">
        <v>581</v>
      </c>
      <c r="C53" s="142" t="s">
        <v>577</v>
      </c>
      <c r="D53" s="143" t="s">
        <v>578</v>
      </c>
      <c r="E53" s="144">
        <v>1</v>
      </c>
      <c r="F53" s="141" t="s">
        <v>579</v>
      </c>
      <c r="G53" s="141" t="s">
        <v>580</v>
      </c>
      <c r="H53" s="89"/>
      <c r="I53" s="89"/>
      <c r="J53" s="89"/>
      <c r="K53" s="89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</row>
    <row r="54" spans="1:23" s="14" customFormat="1" ht="17.100000000000001" customHeight="1">
      <c r="B54" s="141" t="s">
        <v>582</v>
      </c>
      <c r="C54" s="142" t="s">
        <v>577</v>
      </c>
      <c r="D54" s="143" t="s">
        <v>578</v>
      </c>
      <c r="E54" s="144">
        <v>6</v>
      </c>
      <c r="F54" s="141" t="s">
        <v>579</v>
      </c>
      <c r="G54" s="141" t="s">
        <v>580</v>
      </c>
      <c r="H54" s="89"/>
      <c r="I54" s="89"/>
      <c r="J54" s="89"/>
      <c r="K54" s="89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</row>
    <row r="55" spans="1:23" s="14" customFormat="1" ht="17.100000000000001" customHeight="1">
      <c r="B55" s="141" t="s">
        <v>583</v>
      </c>
      <c r="C55" s="142" t="s">
        <v>577</v>
      </c>
      <c r="D55" s="143" t="s">
        <v>578</v>
      </c>
      <c r="E55" s="144">
        <v>3</v>
      </c>
      <c r="F55" s="141" t="s">
        <v>579</v>
      </c>
      <c r="G55" s="141" t="s">
        <v>580</v>
      </c>
      <c r="H55" s="89"/>
      <c r="I55" s="89"/>
      <c r="J55" s="89"/>
      <c r="K55" s="89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</row>
    <row r="56" spans="1:23" s="14" customFormat="1" ht="17.100000000000001" customHeight="1">
      <c r="B56" s="89"/>
      <c r="C56" s="90"/>
      <c r="D56" s="91"/>
      <c r="E56" s="92"/>
      <c r="F56" s="89"/>
      <c r="G56" s="89"/>
      <c r="H56" s="89"/>
      <c r="I56" s="89"/>
      <c r="J56" s="89"/>
      <c r="K56" s="89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</row>
    <row r="57" spans="1:23" s="14" customFormat="1" ht="17.100000000000001" customHeight="1">
      <c r="B57" s="89"/>
      <c r="C57" s="90"/>
      <c r="D57" s="91"/>
      <c r="E57" s="92"/>
      <c r="F57" s="89"/>
      <c r="G57" s="89"/>
      <c r="H57" s="89"/>
      <c r="I57" s="89"/>
      <c r="J57" s="89"/>
      <c r="K57" s="89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</row>
    <row r="58" spans="1:23" s="14" customFormat="1" ht="17.100000000000001" customHeight="1">
      <c r="B58" s="89"/>
      <c r="C58" s="90"/>
      <c r="D58" s="91"/>
      <c r="E58" s="92"/>
      <c r="F58" s="89"/>
      <c r="G58" s="89"/>
      <c r="H58" s="89"/>
      <c r="I58" s="89"/>
      <c r="J58" s="89"/>
      <c r="K58" s="89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</row>
    <row r="59" spans="1:23" s="14" customFormat="1" ht="17.100000000000001" customHeight="1">
      <c r="B59" s="89"/>
      <c r="C59" s="90"/>
      <c r="D59" s="91"/>
      <c r="E59" s="92"/>
      <c r="F59" s="89"/>
      <c r="G59" s="89"/>
      <c r="H59" s="89"/>
      <c r="I59" s="89"/>
      <c r="J59" s="89"/>
      <c r="K59" s="89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</row>
    <row r="60" spans="1:23" s="14" customFormat="1" ht="17.100000000000001" customHeight="1">
      <c r="B60" s="89"/>
      <c r="C60" s="90"/>
      <c r="D60" s="91"/>
      <c r="E60" s="92"/>
      <c r="F60" s="89"/>
      <c r="G60" s="89"/>
      <c r="H60" s="89"/>
      <c r="I60" s="89"/>
      <c r="J60" s="89"/>
      <c r="K60" s="89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</row>
    <row r="61" spans="1:23" s="14" customFormat="1" ht="17.100000000000001" customHeight="1">
      <c r="B61" s="89"/>
      <c r="C61" s="90"/>
      <c r="D61" s="91"/>
      <c r="E61" s="92"/>
      <c r="F61" s="89"/>
      <c r="G61" s="89"/>
      <c r="H61" s="89"/>
      <c r="I61" s="89"/>
      <c r="J61" s="89"/>
      <c r="K61" s="89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</row>
    <row r="62" spans="1:23" s="14" customFormat="1" ht="17.100000000000001" customHeight="1">
      <c r="B62" s="89"/>
      <c r="C62" s="90"/>
      <c r="D62" s="91"/>
      <c r="E62" s="92"/>
      <c r="F62" s="89"/>
      <c r="G62" s="89"/>
      <c r="H62" s="89"/>
      <c r="I62" s="89"/>
      <c r="J62" s="89"/>
      <c r="K62" s="89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</row>
    <row r="63" spans="1:23" s="14" customFormat="1" ht="17.100000000000001" customHeight="1">
      <c r="B63" s="89"/>
      <c r="C63" s="90"/>
      <c r="D63" s="91"/>
      <c r="E63" s="92"/>
      <c r="F63" s="89"/>
      <c r="G63" s="89"/>
      <c r="H63" s="89"/>
      <c r="I63" s="89"/>
      <c r="J63" s="89"/>
      <c r="K63" s="89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</row>
    <row r="64" spans="1:23" s="14" customFormat="1" ht="17.100000000000001" customHeight="1">
      <c r="B64" s="89"/>
      <c r="C64" s="90"/>
      <c r="D64" s="91"/>
      <c r="E64" s="92"/>
      <c r="F64" s="89"/>
      <c r="G64" s="89"/>
      <c r="H64" s="89"/>
      <c r="I64" s="89"/>
      <c r="J64" s="89"/>
      <c r="K64" s="89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</row>
    <row r="65" spans="2:23" s="14" customFormat="1" ht="17.100000000000001" customHeight="1">
      <c r="B65" s="89"/>
      <c r="C65" s="90"/>
      <c r="D65" s="91"/>
      <c r="E65" s="92"/>
      <c r="F65" s="89"/>
      <c r="G65" s="89"/>
      <c r="H65" s="89"/>
      <c r="I65" s="89"/>
      <c r="J65" s="89"/>
      <c r="K65" s="89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</row>
    <row r="66" spans="2:23" s="14" customFormat="1" ht="17.100000000000001" customHeight="1">
      <c r="B66" s="89"/>
      <c r="C66" s="90"/>
      <c r="D66" s="91"/>
      <c r="E66" s="92"/>
      <c r="F66" s="89"/>
      <c r="G66" s="89"/>
      <c r="H66" s="89"/>
      <c r="I66" s="89"/>
      <c r="J66" s="89"/>
      <c r="K66" s="89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</row>
    <row r="67" spans="2:23" s="14" customFormat="1" ht="17.100000000000001" customHeight="1">
      <c r="B67" s="89"/>
      <c r="C67" s="90"/>
      <c r="D67" s="91"/>
      <c r="E67" s="92"/>
      <c r="F67" s="89"/>
      <c r="G67" s="89"/>
      <c r="H67" s="89"/>
      <c r="I67" s="89"/>
      <c r="J67" s="89"/>
      <c r="K67" s="89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</row>
    <row r="68" spans="2:23" s="14" customFormat="1" ht="17.100000000000001" customHeight="1">
      <c r="B68" s="89"/>
      <c r="C68" s="90"/>
      <c r="D68" s="91"/>
      <c r="E68" s="92"/>
      <c r="F68" s="89"/>
      <c r="G68" s="89"/>
      <c r="H68" s="89"/>
      <c r="I68" s="89"/>
      <c r="J68" s="89"/>
      <c r="K68" s="89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</row>
    <row r="69" spans="2:23" s="14" customFormat="1" ht="17.100000000000001" customHeight="1">
      <c r="B69" s="89"/>
      <c r="C69" s="90"/>
      <c r="D69" s="91"/>
      <c r="E69" s="92"/>
      <c r="F69" s="89"/>
      <c r="G69" s="89"/>
      <c r="H69" s="89"/>
      <c r="I69" s="89"/>
      <c r="J69" s="89"/>
      <c r="K69" s="89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</row>
    <row r="70" spans="2:23" s="14" customFormat="1" ht="17.100000000000001" customHeight="1">
      <c r="B70" s="89"/>
      <c r="C70" s="90"/>
      <c r="D70" s="91"/>
      <c r="E70" s="92"/>
      <c r="F70" s="89"/>
      <c r="G70" s="89"/>
      <c r="H70" s="89"/>
      <c r="I70" s="89"/>
      <c r="J70" s="89"/>
      <c r="K70" s="89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</row>
    <row r="71" spans="2:23" s="14" customFormat="1" ht="17.100000000000001" customHeight="1">
      <c r="B71" s="89"/>
      <c r="C71" s="90"/>
      <c r="D71" s="91"/>
      <c r="E71" s="92"/>
      <c r="F71" s="89"/>
      <c r="G71" s="89"/>
      <c r="H71" s="89"/>
      <c r="I71" s="89"/>
      <c r="J71" s="89"/>
      <c r="K71" s="89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</row>
    <row r="72" spans="2:23" s="14" customFormat="1" ht="17.100000000000001" customHeight="1">
      <c r="B72" s="89"/>
      <c r="C72" s="90"/>
      <c r="D72" s="91"/>
      <c r="E72" s="92"/>
      <c r="F72" s="89"/>
      <c r="G72" s="89"/>
      <c r="H72" s="89"/>
      <c r="I72" s="89"/>
      <c r="J72" s="89"/>
      <c r="K72" s="89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</row>
    <row r="73" spans="2:23" s="14" customFormat="1" ht="17.100000000000001" customHeight="1">
      <c r="B73" s="89"/>
      <c r="C73" s="90"/>
      <c r="D73" s="91"/>
      <c r="E73" s="92"/>
      <c r="F73" s="89"/>
      <c r="G73" s="89"/>
      <c r="H73" s="89"/>
      <c r="I73" s="89"/>
      <c r="J73" s="89"/>
      <c r="K73" s="89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</row>
    <row r="74" spans="2:23" s="14" customFormat="1" ht="17.100000000000001" customHeight="1">
      <c r="B74" s="89"/>
      <c r="C74" s="90"/>
      <c r="D74" s="91"/>
      <c r="E74" s="92"/>
      <c r="F74" s="89"/>
      <c r="G74" s="89"/>
      <c r="H74" s="89"/>
      <c r="I74" s="89"/>
      <c r="J74" s="89"/>
      <c r="K74" s="89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</row>
    <row r="75" spans="2:23" s="14" customFormat="1" ht="17.100000000000001" customHeight="1">
      <c r="B75" s="89"/>
      <c r="C75" s="90"/>
      <c r="D75" s="91"/>
      <c r="E75" s="92"/>
      <c r="F75" s="89"/>
      <c r="G75" s="89"/>
      <c r="H75" s="89"/>
      <c r="I75" s="89"/>
      <c r="J75" s="89"/>
      <c r="K75" s="89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</row>
    <row r="76" spans="2:23" s="14" customFormat="1" ht="17.100000000000001" customHeight="1">
      <c r="B76" s="89"/>
      <c r="C76" s="90"/>
      <c r="D76" s="91"/>
      <c r="E76" s="92"/>
      <c r="F76" s="89"/>
      <c r="G76" s="89"/>
      <c r="H76" s="89"/>
      <c r="I76" s="89"/>
      <c r="J76" s="89"/>
      <c r="K76" s="89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</row>
    <row r="77" spans="2:23" s="14" customFormat="1" ht="17.100000000000001" customHeight="1">
      <c r="B77" s="89"/>
      <c r="C77" s="90"/>
      <c r="D77" s="91"/>
      <c r="E77" s="92"/>
      <c r="F77" s="89"/>
      <c r="G77" s="89"/>
      <c r="H77" s="89"/>
      <c r="I77" s="89"/>
      <c r="J77" s="89"/>
      <c r="K77" s="89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</row>
    <row r="78" spans="2:23" s="14" customFormat="1" ht="17.100000000000001" customHeight="1">
      <c r="B78" s="89"/>
      <c r="C78" s="90"/>
      <c r="D78" s="91"/>
      <c r="E78" s="92"/>
      <c r="F78" s="89"/>
      <c r="G78" s="89"/>
      <c r="H78" s="89"/>
      <c r="I78" s="89"/>
      <c r="J78" s="89"/>
      <c r="K78" s="89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</row>
    <row r="79" spans="2:23" s="14" customFormat="1" ht="17.100000000000001" customHeight="1">
      <c r="B79" s="89"/>
      <c r="C79" s="90"/>
      <c r="D79" s="91"/>
      <c r="E79" s="92"/>
      <c r="F79" s="89"/>
      <c r="G79" s="89"/>
      <c r="H79" s="89"/>
      <c r="I79" s="89"/>
      <c r="J79" s="89"/>
      <c r="K79" s="89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</row>
    <row r="80" spans="2:23" s="14" customFormat="1" ht="17.100000000000001" customHeight="1">
      <c r="B80" s="89"/>
      <c r="C80" s="90"/>
      <c r="D80" s="91"/>
      <c r="E80" s="92"/>
      <c r="F80" s="89"/>
      <c r="G80" s="89"/>
      <c r="H80" s="89"/>
      <c r="I80" s="89"/>
      <c r="J80" s="89"/>
      <c r="K80" s="89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</row>
    <row r="81" spans="2:23" s="14" customFormat="1" ht="17.100000000000001" customHeight="1">
      <c r="B81" s="89"/>
      <c r="C81" s="90"/>
      <c r="D81" s="91"/>
      <c r="E81" s="92"/>
      <c r="F81" s="89"/>
      <c r="G81" s="89"/>
      <c r="H81" s="89"/>
      <c r="I81" s="89"/>
      <c r="J81" s="89"/>
      <c r="K81" s="89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</row>
    <row r="82" spans="2:23" s="14" customFormat="1" ht="17.100000000000001" customHeight="1">
      <c r="B82" s="89"/>
      <c r="C82" s="90"/>
      <c r="D82" s="91"/>
      <c r="E82" s="92"/>
      <c r="F82" s="89"/>
      <c r="G82" s="89"/>
      <c r="H82" s="89"/>
      <c r="I82" s="89"/>
      <c r="J82" s="89"/>
      <c r="K82" s="89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</row>
    <row r="83" spans="2:23" s="14" customFormat="1" ht="17.100000000000001" customHeight="1">
      <c r="B83" s="89"/>
      <c r="C83" s="90"/>
      <c r="D83" s="91"/>
      <c r="E83" s="92"/>
      <c r="F83" s="89"/>
      <c r="G83" s="89"/>
      <c r="H83" s="89"/>
      <c r="I83" s="89"/>
      <c r="J83" s="89"/>
      <c r="K83" s="89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</row>
    <row r="84" spans="2:23" s="14" customFormat="1" ht="17.100000000000001" customHeight="1">
      <c r="B84" s="89"/>
      <c r="C84" s="90"/>
      <c r="D84" s="91"/>
      <c r="E84" s="92"/>
      <c r="F84" s="89"/>
      <c r="G84" s="89"/>
      <c r="H84" s="89"/>
      <c r="I84" s="89"/>
      <c r="J84" s="89"/>
      <c r="K84" s="89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</row>
    <row r="85" spans="2:23" s="14" customFormat="1" ht="17.100000000000001" customHeight="1">
      <c r="B85" s="89"/>
      <c r="C85" s="90"/>
      <c r="D85" s="91"/>
      <c r="E85" s="92"/>
      <c r="F85" s="89"/>
      <c r="G85" s="89"/>
      <c r="H85" s="89"/>
      <c r="I85" s="89"/>
      <c r="J85" s="89"/>
      <c r="K85" s="89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</row>
    <row r="86" spans="2:23" s="14" customFormat="1" ht="17.100000000000001" customHeight="1">
      <c r="B86" s="89"/>
      <c r="C86" s="90"/>
      <c r="D86" s="91"/>
      <c r="E86" s="92"/>
      <c r="F86" s="89"/>
      <c r="G86" s="89"/>
      <c r="H86" s="89"/>
      <c r="I86" s="89"/>
      <c r="J86" s="89"/>
      <c r="K86" s="89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</row>
    <row r="87" spans="2:23" s="14" customFormat="1" ht="17.100000000000001" customHeight="1">
      <c r="B87" s="89"/>
      <c r="C87" s="90"/>
      <c r="D87" s="91"/>
      <c r="E87" s="92"/>
      <c r="F87" s="89"/>
      <c r="G87" s="89"/>
      <c r="H87" s="89"/>
      <c r="I87" s="89"/>
      <c r="J87" s="89"/>
      <c r="K87" s="89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</row>
    <row r="88" spans="2:23" s="14" customFormat="1" ht="17.100000000000001" customHeight="1">
      <c r="B88" s="89"/>
      <c r="C88" s="90"/>
      <c r="D88" s="91"/>
      <c r="E88" s="92"/>
      <c r="F88" s="89"/>
      <c r="G88" s="89"/>
      <c r="H88" s="89"/>
      <c r="I88" s="89"/>
      <c r="J88" s="89"/>
      <c r="K88" s="89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</row>
    <row r="89" spans="2:23" s="14" customFormat="1" ht="17.100000000000001" customHeight="1">
      <c r="B89" s="89"/>
      <c r="C89" s="90"/>
      <c r="D89" s="91"/>
      <c r="E89" s="92"/>
      <c r="F89" s="89"/>
      <c r="G89" s="89"/>
      <c r="H89" s="89"/>
      <c r="I89" s="89"/>
      <c r="J89" s="89"/>
      <c r="K89" s="89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</row>
    <row r="90" spans="2:23" s="14" customFormat="1" ht="17.100000000000001" customHeight="1">
      <c r="B90" s="89"/>
      <c r="C90" s="90"/>
      <c r="D90" s="91"/>
      <c r="E90" s="92"/>
      <c r="F90" s="89"/>
      <c r="G90" s="89"/>
      <c r="H90" s="89"/>
      <c r="I90" s="89"/>
      <c r="J90" s="89"/>
      <c r="K90" s="89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</row>
    <row r="91" spans="2:23" s="14" customFormat="1" ht="17.100000000000001" customHeight="1">
      <c r="B91" s="89"/>
      <c r="C91" s="90"/>
      <c r="D91" s="91"/>
      <c r="E91" s="92"/>
      <c r="F91" s="89"/>
      <c r="G91" s="89"/>
      <c r="H91" s="89"/>
      <c r="I91" s="89"/>
      <c r="J91" s="89"/>
      <c r="K91" s="89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</row>
    <row r="92" spans="2:23" s="14" customFormat="1" ht="17.100000000000001" customHeight="1">
      <c r="B92" s="89"/>
      <c r="C92" s="90"/>
      <c r="D92" s="91"/>
      <c r="E92" s="92"/>
      <c r="F92" s="89"/>
      <c r="G92" s="89"/>
      <c r="H92" s="89"/>
      <c r="I92" s="89"/>
      <c r="J92" s="89"/>
      <c r="K92" s="89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</row>
    <row r="93" spans="2:23" s="14" customFormat="1" ht="17.100000000000001" customHeight="1">
      <c r="B93" s="89"/>
      <c r="C93" s="90"/>
      <c r="D93" s="91"/>
      <c r="E93" s="92"/>
      <c r="F93" s="89"/>
      <c r="G93" s="89"/>
      <c r="H93" s="89"/>
      <c r="I93" s="89"/>
      <c r="J93" s="89"/>
      <c r="K93" s="89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</row>
    <row r="94" spans="2:23" s="14" customFormat="1" ht="17.100000000000001" customHeight="1">
      <c r="B94" s="89"/>
      <c r="C94" s="90"/>
      <c r="D94" s="91"/>
      <c r="E94" s="92"/>
      <c r="F94" s="89"/>
      <c r="G94" s="89"/>
      <c r="H94" s="89"/>
      <c r="I94" s="89"/>
      <c r="J94" s="89"/>
      <c r="K94" s="89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</row>
    <row r="95" spans="2:23" s="14" customFormat="1" ht="17.100000000000001" customHeight="1">
      <c r="B95" s="89"/>
      <c r="C95" s="90"/>
      <c r="D95" s="91"/>
      <c r="E95" s="92"/>
      <c r="F95" s="89"/>
      <c r="G95" s="89"/>
      <c r="H95" s="89"/>
      <c r="I95" s="89"/>
      <c r="J95" s="89"/>
      <c r="K95" s="89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</row>
    <row r="96" spans="2:23" s="14" customFormat="1" ht="17.100000000000001" customHeight="1">
      <c r="B96" s="89"/>
      <c r="C96" s="90"/>
      <c r="D96" s="91"/>
      <c r="E96" s="92"/>
      <c r="F96" s="89"/>
      <c r="G96" s="89"/>
      <c r="H96" s="89"/>
      <c r="I96" s="89"/>
      <c r="J96" s="89"/>
      <c r="K96" s="89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</row>
    <row r="97" spans="2:23" s="14" customFormat="1" ht="17.100000000000001" customHeight="1">
      <c r="B97" s="89"/>
      <c r="C97" s="90"/>
      <c r="D97" s="91"/>
      <c r="E97" s="92"/>
      <c r="F97" s="89"/>
      <c r="G97" s="89"/>
      <c r="H97" s="89"/>
      <c r="I97" s="89"/>
      <c r="J97" s="89"/>
      <c r="K97" s="89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</row>
    <row r="98" spans="2:23" s="14" customFormat="1" ht="17.100000000000001" customHeight="1">
      <c r="B98" s="89"/>
      <c r="C98" s="90"/>
      <c r="D98" s="91"/>
      <c r="E98" s="92"/>
      <c r="F98" s="89"/>
      <c r="G98" s="89"/>
      <c r="H98" s="89"/>
      <c r="I98" s="89"/>
      <c r="J98" s="89"/>
      <c r="K98" s="89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</row>
    <row r="99" spans="2:23" s="14" customFormat="1" ht="17.100000000000001" customHeight="1">
      <c r="B99" s="89"/>
      <c r="C99" s="90"/>
      <c r="D99" s="91"/>
      <c r="E99" s="92"/>
      <c r="F99" s="89"/>
      <c r="G99" s="89"/>
      <c r="H99" s="89"/>
      <c r="I99" s="89"/>
      <c r="J99" s="89"/>
      <c r="K99" s="89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</row>
    <row r="100" spans="2:23" s="14" customFormat="1" ht="17.100000000000001" customHeight="1">
      <c r="B100" s="89"/>
      <c r="C100" s="90"/>
      <c r="D100" s="91"/>
      <c r="E100" s="92"/>
      <c r="F100" s="89"/>
      <c r="G100" s="89"/>
      <c r="H100" s="89"/>
      <c r="I100" s="89"/>
      <c r="J100" s="89"/>
      <c r="K100" s="89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</row>
    <row r="101" spans="2:23" s="14" customFormat="1" ht="17.100000000000001" customHeight="1">
      <c r="B101" s="89"/>
      <c r="C101" s="90"/>
      <c r="D101" s="91"/>
      <c r="E101" s="92"/>
      <c r="F101" s="89"/>
      <c r="G101" s="89"/>
      <c r="H101" s="89"/>
      <c r="I101" s="89"/>
      <c r="J101" s="89"/>
      <c r="K101" s="89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</row>
    <row r="102" spans="2:23" s="14" customFormat="1" ht="17.100000000000001" customHeight="1">
      <c r="B102" s="89"/>
      <c r="C102" s="90"/>
      <c r="D102" s="91"/>
      <c r="E102" s="92"/>
      <c r="F102" s="89"/>
      <c r="G102" s="89"/>
      <c r="H102" s="89"/>
      <c r="I102" s="89"/>
      <c r="J102" s="89"/>
      <c r="K102" s="89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</row>
    <row r="103" spans="2:23" s="14" customFormat="1" ht="17.100000000000001" customHeight="1">
      <c r="B103" s="89"/>
      <c r="C103" s="90"/>
      <c r="D103" s="91"/>
      <c r="E103" s="92"/>
      <c r="F103" s="89"/>
      <c r="G103" s="89"/>
      <c r="H103" s="89"/>
      <c r="I103" s="89"/>
      <c r="J103" s="89"/>
      <c r="K103" s="89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</row>
    <row r="104" spans="2:23" s="14" customFormat="1" ht="17.100000000000001" customHeight="1">
      <c r="B104" s="89"/>
      <c r="C104" s="90"/>
      <c r="D104" s="91"/>
      <c r="E104" s="92"/>
      <c r="F104" s="89"/>
      <c r="G104" s="89"/>
      <c r="H104" s="89"/>
      <c r="I104" s="89"/>
      <c r="J104" s="89"/>
      <c r="K104" s="89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</row>
    <row r="105" spans="2:23" s="14" customFormat="1" ht="17.100000000000001" customHeight="1">
      <c r="B105" s="89"/>
      <c r="C105" s="90"/>
      <c r="D105" s="91"/>
      <c r="E105" s="92"/>
      <c r="F105" s="89"/>
      <c r="G105" s="89"/>
      <c r="H105" s="89"/>
      <c r="I105" s="89"/>
      <c r="J105" s="89"/>
      <c r="K105" s="89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</row>
    <row r="106" spans="2:23" s="14" customFormat="1" ht="17.100000000000001" customHeight="1">
      <c r="B106" s="89"/>
      <c r="C106" s="90"/>
      <c r="D106" s="91"/>
      <c r="E106" s="92"/>
      <c r="F106" s="89"/>
      <c r="G106" s="89"/>
      <c r="H106" s="89"/>
      <c r="I106" s="89"/>
      <c r="J106" s="89"/>
      <c r="K106" s="89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</row>
    <row r="107" spans="2:23" s="14" customFormat="1" ht="17.100000000000001" customHeight="1">
      <c r="B107" s="89"/>
      <c r="C107" s="90"/>
      <c r="D107" s="91"/>
      <c r="E107" s="92"/>
      <c r="F107" s="89"/>
      <c r="G107" s="89"/>
      <c r="H107" s="89"/>
      <c r="I107" s="89"/>
      <c r="J107" s="89"/>
      <c r="K107" s="89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</row>
    <row r="108" spans="2:23" s="14" customFormat="1" ht="17.100000000000001" customHeight="1">
      <c r="B108" s="89"/>
      <c r="C108" s="90"/>
      <c r="D108" s="91"/>
      <c r="E108" s="92"/>
      <c r="F108" s="89"/>
      <c r="G108" s="89"/>
      <c r="H108" s="89"/>
      <c r="I108" s="89"/>
      <c r="J108" s="89"/>
      <c r="K108" s="89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</row>
    <row r="109" spans="2:23" s="14" customFormat="1" ht="17.100000000000001" customHeight="1">
      <c r="B109" s="89"/>
      <c r="C109" s="90"/>
      <c r="D109" s="91"/>
      <c r="E109" s="92"/>
      <c r="F109" s="89"/>
      <c r="G109" s="89"/>
      <c r="H109" s="89"/>
      <c r="I109" s="89"/>
      <c r="J109" s="89"/>
      <c r="K109" s="89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</row>
    <row r="110" spans="2:23" s="14" customFormat="1" ht="17.100000000000001" customHeight="1">
      <c r="B110" s="89"/>
      <c r="C110" s="90"/>
      <c r="D110" s="91"/>
      <c r="E110" s="92"/>
      <c r="F110" s="89"/>
      <c r="G110" s="89"/>
      <c r="H110" s="89"/>
      <c r="I110" s="89"/>
      <c r="J110" s="89"/>
      <c r="K110" s="89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</row>
    <row r="111" spans="2:23" s="14" customFormat="1" ht="17.100000000000001" customHeight="1">
      <c r="B111" s="89"/>
      <c r="C111" s="90"/>
      <c r="D111" s="91"/>
      <c r="E111" s="92"/>
      <c r="F111" s="89"/>
      <c r="G111" s="89"/>
      <c r="H111" s="89"/>
      <c r="I111" s="89"/>
      <c r="J111" s="89"/>
      <c r="K111" s="89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</row>
    <row r="112" spans="2:23" s="14" customFormat="1" ht="17.100000000000001" customHeight="1">
      <c r="B112" s="89"/>
      <c r="C112" s="90"/>
      <c r="D112" s="91"/>
      <c r="E112" s="92"/>
      <c r="F112" s="89"/>
      <c r="G112" s="89"/>
      <c r="H112" s="89"/>
      <c r="I112" s="89"/>
      <c r="J112" s="89"/>
      <c r="K112" s="89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</row>
    <row r="113" spans="2:23" s="14" customFormat="1" ht="17.100000000000001" customHeight="1">
      <c r="B113" s="89"/>
      <c r="C113" s="90"/>
      <c r="D113" s="91"/>
      <c r="E113" s="92"/>
      <c r="F113" s="89"/>
      <c r="G113" s="89"/>
      <c r="H113" s="89"/>
      <c r="I113" s="89"/>
      <c r="J113" s="89"/>
      <c r="K113" s="89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</row>
    <row r="114" spans="2:23" s="14" customFormat="1" ht="17.100000000000001" customHeight="1">
      <c r="B114" s="89"/>
      <c r="C114" s="90"/>
      <c r="D114" s="91"/>
      <c r="E114" s="92"/>
      <c r="F114" s="89"/>
      <c r="G114" s="89"/>
      <c r="H114" s="89"/>
      <c r="I114" s="89"/>
      <c r="J114" s="89"/>
      <c r="K114" s="89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</row>
    <row r="115" spans="2:23" s="14" customFormat="1" ht="17.100000000000001" customHeight="1">
      <c r="B115" s="89"/>
      <c r="C115" s="90"/>
      <c r="D115" s="91"/>
      <c r="E115" s="92"/>
      <c r="F115" s="89"/>
      <c r="G115" s="89"/>
      <c r="H115" s="89"/>
      <c r="I115" s="89"/>
      <c r="J115" s="89"/>
      <c r="K115" s="89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</row>
    <row r="116" spans="2:23" s="14" customFormat="1" ht="17.100000000000001" customHeight="1">
      <c r="B116" s="89"/>
      <c r="C116" s="90"/>
      <c r="D116" s="91"/>
      <c r="E116" s="92"/>
      <c r="F116" s="89"/>
      <c r="G116" s="89"/>
      <c r="H116" s="89"/>
      <c r="I116" s="89"/>
      <c r="J116" s="89"/>
      <c r="K116" s="89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</row>
    <row r="117" spans="2:23" s="14" customFormat="1" ht="17.100000000000001" customHeight="1">
      <c r="B117" s="89"/>
      <c r="C117" s="90"/>
      <c r="D117" s="91"/>
      <c r="E117" s="92"/>
      <c r="F117" s="89"/>
      <c r="G117" s="89"/>
      <c r="H117" s="89"/>
      <c r="I117" s="89"/>
      <c r="J117" s="89"/>
      <c r="K117" s="89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</row>
    <row r="118" spans="2:23" s="14" customFormat="1" ht="17.100000000000001" customHeight="1">
      <c r="B118" s="89"/>
      <c r="C118" s="90"/>
      <c r="D118" s="91"/>
      <c r="E118" s="92"/>
      <c r="F118" s="89"/>
      <c r="G118" s="89"/>
      <c r="H118" s="89"/>
      <c r="I118" s="89"/>
      <c r="J118" s="89"/>
      <c r="K118" s="89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</row>
    <row r="119" spans="2:23" s="14" customFormat="1" ht="17.100000000000001" customHeight="1">
      <c r="B119" s="89"/>
      <c r="C119" s="90"/>
      <c r="D119" s="91"/>
      <c r="E119" s="92"/>
      <c r="F119" s="89"/>
      <c r="G119" s="89"/>
      <c r="H119" s="89"/>
      <c r="I119" s="89"/>
      <c r="J119" s="89"/>
      <c r="K119" s="89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</row>
    <row r="120" spans="2:23" s="14" customFormat="1" ht="17.100000000000001" customHeight="1">
      <c r="B120" s="89"/>
      <c r="C120" s="90"/>
      <c r="D120" s="91"/>
      <c r="E120" s="92"/>
      <c r="F120" s="89"/>
      <c r="G120" s="89"/>
      <c r="H120" s="89"/>
      <c r="I120" s="89"/>
      <c r="J120" s="89"/>
      <c r="K120" s="89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</row>
    <row r="121" spans="2:23" s="14" customFormat="1" ht="17.100000000000001" customHeight="1">
      <c r="B121" s="89"/>
      <c r="C121" s="90"/>
      <c r="D121" s="91"/>
      <c r="E121" s="92"/>
      <c r="F121" s="89"/>
      <c r="G121" s="89"/>
      <c r="H121" s="89"/>
      <c r="I121" s="89"/>
      <c r="J121" s="89"/>
      <c r="K121" s="89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</row>
    <row r="122" spans="2:23" s="14" customFormat="1" ht="17.100000000000001" customHeight="1">
      <c r="B122" s="89"/>
      <c r="C122" s="90"/>
      <c r="D122" s="91"/>
      <c r="E122" s="92"/>
      <c r="F122" s="89"/>
      <c r="G122" s="89"/>
      <c r="H122" s="89"/>
      <c r="I122" s="89"/>
      <c r="J122" s="89"/>
      <c r="K122" s="89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</row>
    <row r="123" spans="2:23" s="14" customFormat="1" ht="17.100000000000001" customHeight="1">
      <c r="B123" s="89"/>
      <c r="C123" s="90"/>
      <c r="D123" s="91"/>
      <c r="E123" s="92"/>
      <c r="F123" s="89"/>
      <c r="G123" s="89"/>
      <c r="H123" s="89"/>
      <c r="I123" s="89"/>
      <c r="J123" s="89"/>
      <c r="K123" s="89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</row>
    <row r="124" spans="2:23" s="14" customFormat="1" ht="17.100000000000001" customHeight="1">
      <c r="B124" s="89"/>
      <c r="C124" s="90"/>
      <c r="D124" s="91"/>
      <c r="E124" s="92"/>
      <c r="F124" s="89"/>
      <c r="G124" s="89"/>
      <c r="H124" s="89"/>
      <c r="I124" s="89"/>
      <c r="J124" s="89"/>
      <c r="K124" s="89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</row>
    <row r="125" spans="2:23" s="14" customFormat="1" ht="17.100000000000001" customHeight="1">
      <c r="B125" s="89"/>
      <c r="C125" s="90"/>
      <c r="D125" s="91"/>
      <c r="E125" s="92"/>
      <c r="F125" s="89"/>
      <c r="G125" s="89"/>
      <c r="H125" s="89"/>
      <c r="I125" s="89"/>
      <c r="J125" s="89"/>
      <c r="K125" s="89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</row>
    <row r="126" spans="2:23" s="14" customFormat="1" ht="17.100000000000001" customHeight="1">
      <c r="B126" s="89"/>
      <c r="C126" s="90"/>
      <c r="D126" s="91"/>
      <c r="E126" s="92"/>
      <c r="F126" s="89"/>
      <c r="G126" s="89"/>
      <c r="H126" s="89"/>
      <c r="I126" s="89"/>
      <c r="J126" s="89"/>
      <c r="K126" s="89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</row>
    <row r="127" spans="2:23" s="14" customFormat="1" ht="17.100000000000001" customHeight="1">
      <c r="B127" s="89"/>
      <c r="C127" s="90"/>
      <c r="D127" s="91"/>
      <c r="E127" s="92"/>
      <c r="F127" s="89"/>
      <c r="G127" s="89"/>
      <c r="H127" s="89"/>
      <c r="I127" s="89"/>
      <c r="J127" s="89"/>
      <c r="K127" s="89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</row>
    <row r="128" spans="2:23" s="14" customFormat="1" ht="17.100000000000001" customHeight="1">
      <c r="B128" s="89"/>
      <c r="C128" s="90"/>
      <c r="D128" s="91"/>
      <c r="E128" s="92"/>
      <c r="F128" s="89"/>
      <c r="G128" s="89"/>
      <c r="H128" s="89"/>
      <c r="I128" s="89"/>
      <c r="J128" s="89"/>
      <c r="K128" s="89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</row>
    <row r="129" spans="2:23" s="14" customFormat="1" ht="17.100000000000001" customHeight="1">
      <c r="B129" s="89"/>
      <c r="C129" s="90"/>
      <c r="D129" s="91"/>
      <c r="E129" s="92"/>
      <c r="F129" s="89"/>
      <c r="G129" s="89"/>
      <c r="H129" s="89"/>
      <c r="I129" s="89"/>
      <c r="J129" s="89"/>
      <c r="K129" s="89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</row>
    <row r="130" spans="2:23" s="14" customFormat="1" ht="17.100000000000001" customHeight="1">
      <c r="B130" s="89"/>
      <c r="C130" s="90"/>
      <c r="D130" s="91"/>
      <c r="E130" s="92"/>
      <c r="F130" s="89"/>
      <c r="G130" s="89"/>
      <c r="H130" s="89"/>
      <c r="I130" s="89"/>
      <c r="J130" s="89"/>
      <c r="K130" s="89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</row>
    <row r="131" spans="2:23" s="14" customFormat="1" ht="17.100000000000001" customHeight="1">
      <c r="B131" s="89"/>
      <c r="C131" s="90"/>
      <c r="D131" s="91"/>
      <c r="E131" s="92"/>
      <c r="F131" s="89"/>
      <c r="G131" s="89"/>
      <c r="H131" s="89"/>
      <c r="I131" s="89"/>
      <c r="J131" s="89"/>
      <c r="K131" s="89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</row>
    <row r="132" spans="2:23" s="14" customFormat="1" ht="17.100000000000001" customHeight="1">
      <c r="B132" s="89"/>
      <c r="C132" s="90"/>
      <c r="D132" s="91"/>
      <c r="E132" s="92"/>
      <c r="F132" s="89"/>
      <c r="G132" s="89"/>
      <c r="H132" s="89"/>
      <c r="I132" s="89"/>
      <c r="J132" s="89"/>
      <c r="K132" s="89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</row>
    <row r="133" spans="2:23" s="14" customFormat="1" ht="17.100000000000001" customHeight="1">
      <c r="B133" s="89"/>
      <c r="C133" s="90"/>
      <c r="D133" s="91"/>
      <c r="E133" s="92"/>
      <c r="F133" s="89"/>
      <c r="G133" s="89"/>
      <c r="H133" s="89"/>
      <c r="I133" s="89"/>
      <c r="J133" s="89"/>
      <c r="K133" s="89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</row>
    <row r="134" spans="2:23" s="14" customFormat="1" ht="17.100000000000001" customHeight="1">
      <c r="B134" s="89"/>
      <c r="C134" s="90"/>
      <c r="D134" s="91"/>
      <c r="E134" s="92"/>
      <c r="F134" s="89"/>
      <c r="G134" s="89"/>
      <c r="H134" s="89"/>
      <c r="I134" s="89"/>
      <c r="J134" s="89"/>
      <c r="K134" s="89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</row>
    <row r="135" spans="2:23" s="14" customFormat="1" ht="17.100000000000001" customHeight="1">
      <c r="B135" s="89"/>
      <c r="C135" s="90"/>
      <c r="D135" s="91"/>
      <c r="E135" s="92"/>
      <c r="F135" s="89"/>
      <c r="G135" s="89"/>
      <c r="H135" s="89"/>
      <c r="I135" s="89"/>
      <c r="J135" s="89"/>
      <c r="K135" s="89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</row>
    <row r="136" spans="2:23" s="14" customFormat="1" ht="17.100000000000001" customHeight="1">
      <c r="B136" s="89"/>
      <c r="C136" s="90"/>
      <c r="D136" s="91"/>
      <c r="E136" s="92"/>
      <c r="F136" s="89"/>
      <c r="G136" s="89"/>
      <c r="H136" s="89"/>
      <c r="I136" s="89"/>
      <c r="J136" s="89"/>
      <c r="K136" s="89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</row>
    <row r="137" spans="2:23" s="14" customFormat="1" ht="17.100000000000001" customHeight="1">
      <c r="B137" s="89"/>
      <c r="C137" s="90"/>
      <c r="D137" s="91"/>
      <c r="E137" s="92"/>
      <c r="F137" s="89"/>
      <c r="G137" s="89"/>
      <c r="H137" s="89"/>
      <c r="I137" s="89"/>
      <c r="J137" s="89"/>
      <c r="K137" s="89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</row>
    <row r="138" spans="2:23" s="14" customFormat="1" ht="17.100000000000001" customHeight="1">
      <c r="B138" s="89"/>
      <c r="C138" s="90"/>
      <c r="D138" s="91"/>
      <c r="E138" s="92"/>
      <c r="F138" s="89"/>
      <c r="G138" s="89"/>
      <c r="H138" s="89"/>
      <c r="I138" s="89"/>
      <c r="J138" s="89"/>
      <c r="K138" s="89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</row>
    <row r="139" spans="2:23" s="14" customFormat="1" ht="17.100000000000001" customHeight="1">
      <c r="B139" s="89"/>
      <c r="C139" s="90"/>
      <c r="D139" s="91"/>
      <c r="E139" s="92"/>
      <c r="F139" s="89"/>
      <c r="G139" s="89"/>
      <c r="H139" s="89"/>
      <c r="I139" s="89"/>
      <c r="J139" s="89"/>
      <c r="K139" s="89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</row>
    <row r="140" spans="2:23" s="14" customFormat="1" ht="17.100000000000001" customHeight="1">
      <c r="B140" s="89"/>
      <c r="C140" s="90"/>
      <c r="D140" s="91"/>
      <c r="E140" s="92"/>
      <c r="F140" s="89"/>
      <c r="G140" s="89"/>
      <c r="H140" s="89"/>
      <c r="I140" s="89"/>
      <c r="J140" s="89"/>
      <c r="K140" s="89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</row>
    <row r="141" spans="2:23" s="14" customFormat="1" ht="17.100000000000001" customHeight="1">
      <c r="B141" s="89"/>
      <c r="C141" s="90"/>
      <c r="D141" s="91"/>
      <c r="E141" s="92"/>
      <c r="F141" s="89"/>
      <c r="G141" s="89"/>
      <c r="H141" s="89"/>
      <c r="I141" s="89"/>
      <c r="J141" s="89"/>
      <c r="K141" s="89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</row>
    <row r="142" spans="2:23" s="14" customFormat="1" ht="17.100000000000001" customHeight="1">
      <c r="B142" s="89"/>
      <c r="C142" s="90"/>
      <c r="D142" s="91"/>
      <c r="E142" s="92"/>
      <c r="F142" s="89"/>
      <c r="G142" s="89"/>
      <c r="H142" s="89"/>
      <c r="I142" s="89"/>
      <c r="J142" s="89"/>
      <c r="K142" s="89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</row>
    <row r="143" spans="2:23" s="14" customFormat="1" ht="17.100000000000001" customHeight="1">
      <c r="B143" s="89"/>
      <c r="C143" s="90"/>
      <c r="D143" s="91"/>
      <c r="E143" s="92"/>
      <c r="F143" s="89"/>
      <c r="G143" s="89"/>
      <c r="H143" s="89"/>
      <c r="I143" s="89"/>
      <c r="J143" s="89"/>
      <c r="K143" s="89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</row>
    <row r="144" spans="2:23" s="14" customFormat="1" ht="17.100000000000001" customHeight="1">
      <c r="B144" s="89"/>
      <c r="C144" s="90"/>
      <c r="D144" s="91"/>
      <c r="E144" s="92"/>
      <c r="F144" s="89"/>
      <c r="G144" s="89"/>
      <c r="H144" s="89"/>
      <c r="I144" s="89"/>
      <c r="J144" s="89"/>
      <c r="K144" s="89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</row>
    <row r="145" spans="2:23" s="14" customFormat="1" ht="17.100000000000001" customHeight="1">
      <c r="B145" s="89"/>
      <c r="C145" s="90"/>
      <c r="D145" s="91"/>
      <c r="E145" s="92"/>
      <c r="F145" s="89"/>
      <c r="G145" s="89"/>
      <c r="H145" s="89"/>
      <c r="I145" s="89"/>
      <c r="J145" s="89"/>
      <c r="K145" s="89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</row>
    <row r="146" spans="2:23" s="14" customFormat="1" ht="17.100000000000001" customHeight="1">
      <c r="B146" s="89"/>
      <c r="C146" s="90"/>
      <c r="D146" s="91"/>
      <c r="E146" s="92"/>
      <c r="F146" s="89"/>
      <c r="G146" s="89"/>
      <c r="H146" s="89"/>
      <c r="I146" s="89"/>
      <c r="J146" s="89"/>
      <c r="K146" s="89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</row>
    <row r="147" spans="2:23" s="14" customFormat="1" ht="17.100000000000001" customHeight="1">
      <c r="B147" s="89"/>
      <c r="C147" s="90"/>
      <c r="D147" s="91"/>
      <c r="E147" s="92"/>
      <c r="F147" s="89"/>
      <c r="G147" s="89"/>
      <c r="H147" s="89"/>
      <c r="I147" s="89"/>
      <c r="J147" s="89"/>
      <c r="K147" s="89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</row>
    <row r="148" spans="2:23" s="14" customFormat="1" ht="17.100000000000001" customHeight="1">
      <c r="B148" s="89"/>
      <c r="C148" s="90"/>
      <c r="D148" s="91"/>
      <c r="E148" s="92"/>
      <c r="F148" s="89"/>
      <c r="G148" s="89"/>
      <c r="H148" s="89"/>
      <c r="I148" s="89"/>
      <c r="J148" s="89"/>
      <c r="K148" s="89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</row>
    <row r="149" spans="2:23" s="14" customFormat="1" ht="17.100000000000001" customHeight="1">
      <c r="B149" s="89"/>
      <c r="C149" s="90"/>
      <c r="D149" s="91"/>
      <c r="E149" s="92"/>
      <c r="F149" s="89"/>
      <c r="G149" s="89"/>
      <c r="H149" s="89"/>
      <c r="I149" s="89"/>
      <c r="J149" s="89"/>
      <c r="K149" s="89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</row>
    <row r="150" spans="2:23" s="14" customFormat="1" ht="17.100000000000001" customHeight="1">
      <c r="B150" s="89"/>
      <c r="C150" s="90"/>
      <c r="D150" s="91"/>
      <c r="E150" s="92"/>
      <c r="F150" s="89"/>
      <c r="G150" s="89"/>
      <c r="H150" s="89"/>
      <c r="I150" s="89"/>
      <c r="J150" s="89"/>
      <c r="K150" s="89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</row>
    <row r="151" spans="2:23" s="14" customFormat="1" ht="17.100000000000001" customHeight="1">
      <c r="B151" s="89"/>
      <c r="C151" s="90"/>
      <c r="D151" s="91"/>
      <c r="E151" s="92"/>
      <c r="F151" s="89"/>
      <c r="G151" s="89"/>
      <c r="H151" s="89"/>
      <c r="I151" s="89"/>
      <c r="J151" s="89"/>
      <c r="K151" s="89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</row>
    <row r="152" spans="2:23" s="14" customFormat="1" ht="17.100000000000001" customHeight="1">
      <c r="B152" s="89"/>
      <c r="C152" s="90"/>
      <c r="D152" s="91"/>
      <c r="E152" s="92"/>
      <c r="F152" s="89"/>
      <c r="G152" s="89"/>
      <c r="H152" s="89"/>
      <c r="I152" s="89"/>
      <c r="J152" s="89"/>
      <c r="K152" s="89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</row>
    <row r="153" spans="2:23" s="14" customFormat="1" ht="17.100000000000001" customHeight="1">
      <c r="B153" s="89"/>
      <c r="C153" s="90"/>
      <c r="D153" s="91"/>
      <c r="E153" s="92"/>
      <c r="F153" s="89"/>
      <c r="G153" s="89"/>
      <c r="H153" s="89"/>
      <c r="I153" s="89"/>
      <c r="J153" s="89"/>
      <c r="K153" s="89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</row>
    <row r="154" spans="2:23" s="14" customFormat="1" ht="17.100000000000001" customHeight="1">
      <c r="B154" s="89"/>
      <c r="C154" s="90"/>
      <c r="D154" s="91"/>
      <c r="E154" s="92"/>
      <c r="F154" s="89"/>
      <c r="G154" s="89"/>
      <c r="H154" s="89"/>
      <c r="I154" s="89"/>
      <c r="J154" s="89"/>
      <c r="K154" s="89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</row>
    <row r="155" spans="2:23" s="14" customFormat="1" ht="17.100000000000001" customHeight="1">
      <c r="B155" s="89"/>
      <c r="C155" s="90"/>
      <c r="D155" s="91"/>
      <c r="E155" s="92"/>
      <c r="F155" s="89"/>
      <c r="G155" s="89"/>
      <c r="H155" s="89"/>
      <c r="I155" s="89"/>
      <c r="J155" s="89"/>
      <c r="K155" s="89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</row>
    <row r="156" spans="2:23" s="14" customFormat="1" ht="17.100000000000001" customHeight="1">
      <c r="B156" s="89"/>
      <c r="C156" s="90"/>
      <c r="D156" s="91"/>
      <c r="E156" s="92"/>
      <c r="F156" s="89"/>
      <c r="G156" s="89"/>
      <c r="H156" s="89"/>
      <c r="I156" s="89"/>
      <c r="J156" s="89"/>
      <c r="K156" s="89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</row>
    <row r="157" spans="2:23" s="14" customFormat="1" ht="17.100000000000001" customHeight="1">
      <c r="B157" s="89"/>
      <c r="C157" s="90"/>
      <c r="D157" s="91"/>
      <c r="E157" s="92"/>
      <c r="F157" s="89"/>
      <c r="G157" s="89"/>
      <c r="H157" s="89"/>
      <c r="I157" s="89"/>
      <c r="J157" s="89"/>
      <c r="K157" s="89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</row>
    <row r="158" spans="2:23" s="14" customFormat="1" ht="17.100000000000001" customHeight="1">
      <c r="B158" s="89"/>
      <c r="C158" s="90"/>
      <c r="D158" s="91"/>
      <c r="E158" s="92"/>
      <c r="F158" s="89"/>
      <c r="G158" s="89"/>
      <c r="H158" s="89"/>
      <c r="I158" s="89"/>
      <c r="J158" s="89"/>
      <c r="K158" s="89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</row>
    <row r="159" spans="2:23" s="14" customFormat="1" ht="17.100000000000001" customHeight="1">
      <c r="B159" s="89"/>
      <c r="C159" s="90"/>
      <c r="D159" s="91"/>
      <c r="E159" s="92"/>
      <c r="F159" s="89"/>
      <c r="G159" s="89"/>
      <c r="H159" s="89"/>
      <c r="I159" s="89"/>
      <c r="J159" s="89"/>
      <c r="K159" s="89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</row>
    <row r="160" spans="2:23" s="14" customFormat="1" ht="17.100000000000001" customHeight="1">
      <c r="B160" s="89"/>
      <c r="C160" s="90"/>
      <c r="D160" s="91"/>
      <c r="E160" s="92"/>
      <c r="F160" s="89"/>
      <c r="G160" s="89"/>
      <c r="H160" s="89"/>
      <c r="I160" s="89"/>
      <c r="J160" s="89"/>
      <c r="K160" s="89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</row>
    <row r="161" spans="2:23" s="14" customFormat="1" ht="17.100000000000001" customHeight="1">
      <c r="B161" s="89"/>
      <c r="C161" s="90"/>
      <c r="D161" s="91"/>
      <c r="E161" s="92"/>
      <c r="F161" s="89"/>
      <c r="G161" s="89"/>
      <c r="H161" s="89"/>
      <c r="I161" s="89"/>
      <c r="J161" s="89"/>
      <c r="K161" s="89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</row>
    <row r="162" spans="2:23" s="14" customFormat="1" ht="17.100000000000001" customHeight="1">
      <c r="B162" s="89"/>
      <c r="C162" s="90"/>
      <c r="D162" s="91"/>
      <c r="E162" s="92"/>
      <c r="F162" s="89"/>
      <c r="G162" s="89"/>
      <c r="H162" s="89"/>
      <c r="I162" s="89"/>
      <c r="J162" s="89"/>
      <c r="K162" s="89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</row>
    <row r="163" spans="2:23" s="14" customFormat="1" ht="17.100000000000001" customHeight="1">
      <c r="B163" s="89"/>
      <c r="C163" s="90"/>
      <c r="D163" s="91"/>
      <c r="E163" s="92"/>
      <c r="F163" s="89"/>
      <c r="G163" s="89"/>
      <c r="H163" s="89"/>
      <c r="I163" s="89"/>
      <c r="J163" s="89"/>
      <c r="K163" s="89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</row>
    <row r="164" spans="2:23" s="14" customFormat="1" ht="17.100000000000001" customHeight="1">
      <c r="B164" s="89"/>
      <c r="C164" s="90"/>
      <c r="D164" s="91"/>
      <c r="E164" s="92"/>
      <c r="F164" s="89"/>
      <c r="G164" s="89"/>
      <c r="H164" s="89"/>
      <c r="I164" s="89"/>
      <c r="J164" s="89"/>
      <c r="K164" s="89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</row>
    <row r="165" spans="2:23" s="14" customFormat="1" ht="17.100000000000001" customHeight="1">
      <c r="B165" s="89"/>
      <c r="C165" s="90"/>
      <c r="D165" s="91"/>
      <c r="E165" s="92"/>
      <c r="F165" s="89"/>
      <c r="G165" s="89"/>
      <c r="H165" s="89"/>
      <c r="I165" s="89"/>
      <c r="J165" s="89"/>
      <c r="K165" s="89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</row>
    <row r="166" spans="2:23" s="14" customFormat="1" ht="17.100000000000001" customHeight="1">
      <c r="B166" s="89"/>
      <c r="C166" s="90"/>
      <c r="D166" s="91"/>
      <c r="E166" s="92"/>
      <c r="F166" s="89"/>
      <c r="G166" s="89"/>
      <c r="H166" s="89"/>
      <c r="I166" s="89"/>
      <c r="J166" s="89"/>
      <c r="K166" s="89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</row>
    <row r="167" spans="2:23" s="14" customFormat="1" ht="17.100000000000001" customHeight="1">
      <c r="B167" s="89"/>
      <c r="C167" s="90"/>
      <c r="D167" s="91"/>
      <c r="E167" s="92"/>
      <c r="F167" s="89"/>
      <c r="G167" s="89"/>
      <c r="H167" s="89"/>
      <c r="I167" s="89"/>
      <c r="J167" s="89"/>
      <c r="K167" s="89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</row>
    <row r="168" spans="2:23" s="14" customFormat="1" ht="17.100000000000001" customHeight="1">
      <c r="B168" s="89"/>
      <c r="C168" s="90"/>
      <c r="D168" s="91"/>
      <c r="E168" s="92"/>
      <c r="F168" s="89"/>
      <c r="G168" s="89"/>
      <c r="H168" s="89"/>
      <c r="I168" s="89"/>
      <c r="J168" s="89"/>
      <c r="K168" s="89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</row>
    <row r="169" spans="2:23" s="14" customFormat="1" ht="17.100000000000001" customHeight="1">
      <c r="B169" s="89"/>
      <c r="C169" s="90"/>
      <c r="D169" s="91"/>
      <c r="E169" s="92"/>
      <c r="F169" s="89"/>
      <c r="G169" s="89"/>
      <c r="H169" s="89"/>
      <c r="I169" s="89"/>
      <c r="J169" s="89"/>
      <c r="K169" s="89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</row>
    <row r="170" spans="2:23" s="14" customFormat="1" ht="17.100000000000001" customHeight="1">
      <c r="B170" s="89"/>
      <c r="C170" s="90"/>
      <c r="D170" s="91"/>
      <c r="E170" s="92"/>
      <c r="F170" s="89"/>
      <c r="G170" s="89"/>
      <c r="H170" s="89"/>
      <c r="I170" s="89"/>
      <c r="J170" s="89"/>
      <c r="K170" s="89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</row>
    <row r="171" spans="2:23" s="14" customFormat="1" ht="17.100000000000001" customHeight="1">
      <c r="B171" s="89"/>
      <c r="C171" s="90"/>
      <c r="D171" s="91"/>
      <c r="E171" s="92"/>
      <c r="F171" s="89"/>
      <c r="G171" s="89"/>
      <c r="H171" s="89"/>
      <c r="I171" s="89"/>
      <c r="J171" s="89"/>
      <c r="K171" s="89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</row>
    <row r="172" spans="2:23" s="14" customFormat="1" ht="17.100000000000001" customHeight="1">
      <c r="B172" s="89"/>
      <c r="C172" s="90"/>
      <c r="D172" s="91"/>
      <c r="E172" s="92"/>
      <c r="F172" s="89"/>
      <c r="G172" s="89"/>
      <c r="H172" s="89"/>
      <c r="I172" s="89"/>
      <c r="J172" s="89"/>
      <c r="K172" s="89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</row>
    <row r="173" spans="2:23" s="14" customFormat="1" ht="17.100000000000001" customHeight="1">
      <c r="B173" s="89"/>
      <c r="C173" s="90"/>
      <c r="D173" s="91"/>
      <c r="E173" s="92"/>
      <c r="F173" s="89"/>
      <c r="G173" s="89"/>
      <c r="H173" s="89"/>
      <c r="I173" s="89"/>
      <c r="J173" s="89"/>
      <c r="K173" s="89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</row>
    <row r="174" spans="2:23" s="14" customFormat="1" ht="17.100000000000001" customHeight="1">
      <c r="B174" s="89"/>
      <c r="C174" s="90"/>
      <c r="D174" s="91"/>
      <c r="E174" s="92"/>
      <c r="F174" s="89"/>
      <c r="G174" s="89"/>
      <c r="H174" s="89"/>
      <c r="I174" s="89"/>
      <c r="J174" s="89"/>
      <c r="K174" s="89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</row>
    <row r="175" spans="2:23" s="14" customFormat="1" ht="17.100000000000001" customHeight="1">
      <c r="B175" s="89"/>
      <c r="C175" s="90"/>
      <c r="D175" s="91"/>
      <c r="E175" s="92"/>
      <c r="F175" s="89"/>
      <c r="G175" s="89"/>
      <c r="H175" s="89"/>
      <c r="I175" s="89"/>
      <c r="J175" s="89"/>
      <c r="K175" s="89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</row>
    <row r="176" spans="2:23" s="14" customFormat="1" ht="17.100000000000001" customHeight="1">
      <c r="B176" s="89"/>
      <c r="C176" s="90"/>
      <c r="D176" s="91"/>
      <c r="E176" s="92"/>
      <c r="F176" s="89"/>
      <c r="G176" s="89"/>
      <c r="H176" s="89"/>
      <c r="I176" s="89"/>
      <c r="J176" s="89"/>
      <c r="K176" s="89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</row>
    <row r="177" spans="2:23" s="14" customFormat="1" ht="17.100000000000001" customHeight="1">
      <c r="B177" s="89"/>
      <c r="C177" s="90"/>
      <c r="D177" s="91"/>
      <c r="E177" s="92"/>
      <c r="F177" s="89"/>
      <c r="G177" s="89"/>
      <c r="H177" s="89"/>
      <c r="I177" s="89"/>
      <c r="J177" s="89"/>
      <c r="K177" s="89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</row>
    <row r="178" spans="2:23" s="14" customFormat="1" ht="17.100000000000001" customHeight="1">
      <c r="B178" s="89"/>
      <c r="C178" s="90"/>
      <c r="D178" s="91"/>
      <c r="E178" s="92"/>
      <c r="F178" s="89"/>
      <c r="G178" s="89"/>
      <c r="H178" s="89"/>
      <c r="I178" s="89"/>
      <c r="J178" s="89"/>
      <c r="K178" s="89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</row>
    <row r="179" spans="2:23" s="14" customFormat="1" ht="17.100000000000001" customHeight="1">
      <c r="B179" s="89"/>
      <c r="C179" s="90"/>
      <c r="D179" s="91"/>
      <c r="E179" s="92"/>
      <c r="F179" s="89"/>
      <c r="G179" s="89"/>
      <c r="H179" s="89"/>
      <c r="I179" s="89"/>
      <c r="J179" s="89"/>
      <c r="K179" s="89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</row>
    <row r="180" spans="2:23" s="14" customFormat="1" ht="17.100000000000001" customHeight="1">
      <c r="B180" s="89"/>
      <c r="C180" s="90"/>
      <c r="D180" s="91"/>
      <c r="E180" s="92"/>
      <c r="F180" s="89"/>
      <c r="G180" s="89"/>
      <c r="H180" s="89"/>
      <c r="I180" s="89"/>
      <c r="J180" s="89"/>
      <c r="K180" s="89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</row>
    <row r="181" spans="2:23" s="14" customFormat="1" ht="17.100000000000001" customHeight="1">
      <c r="B181" s="89"/>
      <c r="C181" s="90"/>
      <c r="D181" s="91"/>
      <c r="E181" s="92"/>
      <c r="F181" s="89"/>
      <c r="G181" s="89"/>
      <c r="H181" s="89"/>
      <c r="I181" s="89"/>
      <c r="J181" s="89"/>
      <c r="K181" s="89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</row>
    <row r="182" spans="2:23" s="14" customFormat="1" ht="17.100000000000001" customHeight="1">
      <c r="B182" s="89"/>
      <c r="C182" s="90"/>
      <c r="D182" s="91"/>
      <c r="E182" s="92"/>
      <c r="F182" s="89"/>
      <c r="G182" s="89"/>
      <c r="H182" s="89"/>
      <c r="I182" s="89"/>
      <c r="J182" s="89"/>
      <c r="K182" s="89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</row>
    <row r="183" spans="2:23" s="14" customFormat="1" ht="17.100000000000001" customHeight="1">
      <c r="B183" s="89"/>
      <c r="C183" s="90"/>
      <c r="D183" s="91"/>
      <c r="E183" s="92"/>
      <c r="F183" s="89"/>
      <c r="G183" s="89"/>
      <c r="H183" s="89"/>
      <c r="I183" s="89"/>
      <c r="J183" s="89"/>
      <c r="K183" s="89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</row>
    <row r="184" spans="2:23" s="14" customFormat="1" ht="17.100000000000001" customHeight="1">
      <c r="B184" s="89"/>
      <c r="C184" s="90"/>
      <c r="D184" s="91"/>
      <c r="E184" s="92"/>
      <c r="F184" s="89"/>
      <c r="G184" s="89"/>
      <c r="H184" s="89"/>
      <c r="I184" s="89"/>
      <c r="J184" s="89"/>
      <c r="K184" s="89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</row>
    <row r="185" spans="2:23" s="14" customFormat="1" ht="17.100000000000001" customHeight="1">
      <c r="B185" s="89"/>
      <c r="C185" s="90"/>
      <c r="D185" s="91"/>
      <c r="E185" s="92"/>
      <c r="F185" s="89"/>
      <c r="G185" s="89"/>
      <c r="H185" s="89"/>
      <c r="I185" s="89"/>
      <c r="J185" s="89"/>
      <c r="K185" s="89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</row>
    <row r="186" spans="2:23" s="14" customFormat="1" ht="17.100000000000001" customHeight="1">
      <c r="B186" s="89"/>
      <c r="C186" s="90"/>
      <c r="D186" s="91"/>
      <c r="E186" s="92"/>
      <c r="F186" s="89"/>
      <c r="G186" s="89"/>
      <c r="H186" s="89"/>
      <c r="I186" s="89"/>
      <c r="J186" s="89"/>
      <c r="K186" s="89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</row>
    <row r="187" spans="2:23" s="14" customFormat="1" ht="17.100000000000001" customHeight="1">
      <c r="B187" s="89"/>
      <c r="C187" s="90"/>
      <c r="D187" s="91"/>
      <c r="E187" s="92"/>
      <c r="F187" s="89"/>
      <c r="G187" s="89"/>
      <c r="H187" s="89"/>
      <c r="I187" s="89"/>
      <c r="J187" s="89"/>
      <c r="K187" s="89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</row>
    <row r="188" spans="2:23" s="14" customFormat="1" ht="17.100000000000001" customHeight="1">
      <c r="B188" s="89"/>
      <c r="C188" s="90"/>
      <c r="D188" s="91"/>
      <c r="E188" s="92"/>
      <c r="F188" s="89"/>
      <c r="G188" s="89"/>
      <c r="H188" s="89"/>
      <c r="I188" s="89"/>
      <c r="J188" s="89"/>
      <c r="K188" s="89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</row>
    <row r="189" spans="2:23" s="14" customFormat="1" ht="17.100000000000001" customHeight="1">
      <c r="B189" s="89"/>
      <c r="C189" s="90"/>
      <c r="D189" s="91"/>
      <c r="E189" s="92"/>
      <c r="F189" s="89"/>
      <c r="G189" s="89"/>
      <c r="H189" s="89"/>
      <c r="I189" s="89"/>
      <c r="J189" s="89"/>
      <c r="K189" s="89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</row>
    <row r="190" spans="2:23" s="14" customFormat="1" ht="17.100000000000001" customHeight="1">
      <c r="B190" s="89"/>
      <c r="C190" s="90"/>
      <c r="D190" s="91"/>
      <c r="E190" s="92"/>
      <c r="F190" s="89"/>
      <c r="G190" s="89"/>
      <c r="H190" s="89"/>
      <c r="I190" s="89"/>
      <c r="J190" s="89"/>
      <c r="K190" s="89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</row>
    <row r="191" spans="2:23" s="14" customFormat="1" ht="17.100000000000001" customHeight="1">
      <c r="B191" s="89"/>
      <c r="C191" s="90"/>
      <c r="D191" s="91"/>
      <c r="E191" s="92"/>
      <c r="F191" s="89"/>
      <c r="G191" s="89"/>
      <c r="H191" s="89"/>
      <c r="I191" s="89"/>
      <c r="J191" s="89"/>
      <c r="K191" s="89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</row>
    <row r="192" spans="2:23" s="14" customFormat="1" ht="17.100000000000001" customHeight="1">
      <c r="B192" s="89"/>
      <c r="C192" s="90"/>
      <c r="D192" s="91"/>
      <c r="E192" s="92"/>
      <c r="F192" s="89"/>
      <c r="G192" s="89"/>
      <c r="H192" s="89"/>
      <c r="I192" s="89"/>
      <c r="J192" s="89"/>
      <c r="K192" s="89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</row>
    <row r="193" spans="2:23" s="14" customFormat="1" ht="17.100000000000001" customHeight="1">
      <c r="B193" s="89"/>
      <c r="C193" s="90"/>
      <c r="D193" s="91"/>
      <c r="E193" s="92"/>
      <c r="F193" s="89"/>
      <c r="G193" s="89"/>
      <c r="H193" s="89"/>
      <c r="I193" s="89"/>
      <c r="J193" s="89"/>
      <c r="K193" s="89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</row>
    <row r="194" spans="2:23" s="14" customFormat="1" ht="17.100000000000001" customHeight="1">
      <c r="B194" s="89"/>
      <c r="C194" s="90"/>
      <c r="D194" s="91"/>
      <c r="E194" s="92"/>
      <c r="F194" s="89"/>
      <c r="G194" s="89"/>
      <c r="H194" s="89"/>
      <c r="I194" s="89"/>
      <c r="J194" s="89"/>
      <c r="K194" s="89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</row>
    <row r="195" spans="2:23" s="14" customFormat="1" ht="17.100000000000001" customHeight="1">
      <c r="B195" s="89"/>
      <c r="C195" s="90"/>
      <c r="D195" s="91"/>
      <c r="E195" s="92"/>
      <c r="F195" s="89"/>
      <c r="G195" s="89"/>
      <c r="H195" s="89"/>
      <c r="I195" s="89"/>
      <c r="J195" s="89"/>
      <c r="K195" s="89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</row>
    <row r="196" spans="2:23" s="14" customFormat="1" ht="17.100000000000001" customHeight="1">
      <c r="B196" s="89"/>
      <c r="C196" s="90"/>
      <c r="D196" s="91"/>
      <c r="E196" s="92"/>
      <c r="F196" s="89"/>
      <c r="G196" s="89"/>
      <c r="H196" s="89"/>
      <c r="I196" s="89"/>
      <c r="J196" s="89"/>
      <c r="K196" s="89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</row>
    <row r="197" spans="2:23" s="14" customFormat="1" ht="17.100000000000001" customHeight="1">
      <c r="B197" s="89"/>
      <c r="C197" s="90"/>
      <c r="D197" s="91"/>
      <c r="E197" s="92"/>
      <c r="F197" s="89"/>
      <c r="G197" s="89"/>
      <c r="H197" s="89"/>
      <c r="I197" s="89"/>
      <c r="J197" s="89"/>
      <c r="K197" s="89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</row>
    <row r="198" spans="2:23" s="14" customFormat="1" ht="17.100000000000001" customHeight="1">
      <c r="B198" s="89"/>
      <c r="C198" s="90"/>
      <c r="D198" s="91"/>
      <c r="E198" s="92"/>
      <c r="F198" s="89"/>
      <c r="G198" s="89"/>
      <c r="H198" s="89"/>
      <c r="I198" s="89"/>
      <c r="J198" s="89"/>
      <c r="K198" s="89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</row>
    <row r="199" spans="2:23" s="14" customFormat="1" ht="17.100000000000001" customHeight="1">
      <c r="B199" s="89"/>
      <c r="C199" s="90"/>
      <c r="D199" s="91"/>
      <c r="E199" s="92"/>
      <c r="F199" s="89"/>
      <c r="G199" s="89"/>
      <c r="H199" s="89"/>
      <c r="I199" s="89"/>
      <c r="J199" s="89"/>
      <c r="K199" s="89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</row>
    <row r="200" spans="2:23" s="14" customFormat="1" ht="17.100000000000001" customHeight="1">
      <c r="B200" s="89"/>
      <c r="C200" s="90"/>
      <c r="D200" s="91"/>
      <c r="E200" s="92"/>
      <c r="F200" s="89"/>
      <c r="G200" s="89"/>
      <c r="H200" s="89"/>
      <c r="I200" s="89"/>
      <c r="J200" s="89"/>
      <c r="K200" s="89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</row>
    <row r="201" spans="2:23" s="14" customFormat="1" ht="17.100000000000001" customHeight="1">
      <c r="B201" s="89"/>
      <c r="C201" s="90"/>
      <c r="D201" s="91"/>
      <c r="E201" s="92"/>
      <c r="F201" s="89"/>
      <c r="G201" s="89"/>
      <c r="H201" s="89"/>
      <c r="I201" s="89"/>
      <c r="J201" s="89"/>
      <c r="K201" s="89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</row>
    <row r="202" spans="2:23" s="14" customFormat="1" ht="17.100000000000001" customHeight="1">
      <c r="B202" s="89"/>
      <c r="C202" s="90"/>
      <c r="D202" s="91"/>
      <c r="E202" s="92"/>
      <c r="F202" s="89"/>
      <c r="G202" s="89"/>
      <c r="H202" s="89"/>
      <c r="I202" s="89"/>
      <c r="J202" s="89"/>
      <c r="K202" s="89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</row>
    <row r="203" spans="2:23" s="14" customFormat="1" ht="17.100000000000001" customHeight="1">
      <c r="B203" s="89"/>
      <c r="C203" s="90"/>
      <c r="D203" s="91"/>
      <c r="E203" s="92"/>
      <c r="F203" s="89"/>
      <c r="G203" s="89"/>
      <c r="H203" s="89"/>
      <c r="I203" s="89"/>
      <c r="J203" s="89"/>
      <c r="K203" s="89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</row>
    <row r="204" spans="2:23" s="14" customFormat="1" ht="17.100000000000001" customHeight="1">
      <c r="B204" s="89"/>
      <c r="C204" s="90"/>
      <c r="D204" s="91"/>
      <c r="E204" s="92"/>
      <c r="F204" s="89"/>
      <c r="G204" s="89"/>
      <c r="H204" s="89"/>
      <c r="I204" s="89"/>
      <c r="J204" s="89"/>
      <c r="K204" s="89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</row>
    <row r="205" spans="2:23" s="14" customFormat="1" ht="17.100000000000001" customHeight="1">
      <c r="B205" s="89"/>
      <c r="C205" s="90"/>
      <c r="D205" s="91"/>
      <c r="E205" s="92"/>
      <c r="F205" s="89"/>
      <c r="G205" s="89"/>
      <c r="H205" s="89"/>
      <c r="I205" s="89"/>
      <c r="J205" s="89"/>
      <c r="K205" s="89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</row>
    <row r="206" spans="2:23" s="14" customFormat="1" ht="17.100000000000001" customHeight="1">
      <c r="B206" s="89"/>
      <c r="C206" s="90"/>
      <c r="D206" s="91"/>
      <c r="E206" s="92"/>
      <c r="F206" s="89"/>
      <c r="G206" s="89"/>
      <c r="H206" s="89"/>
      <c r="I206" s="89"/>
      <c r="J206" s="89"/>
      <c r="K206" s="89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</row>
    <row r="207" spans="2:23" s="14" customFormat="1" ht="17.100000000000001" customHeight="1">
      <c r="B207" s="89"/>
      <c r="C207" s="90"/>
      <c r="D207" s="91"/>
      <c r="E207" s="92"/>
      <c r="F207" s="89"/>
      <c r="G207" s="89"/>
      <c r="H207" s="89"/>
      <c r="I207" s="89"/>
      <c r="J207" s="89"/>
      <c r="K207" s="89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</row>
    <row r="208" spans="2:23" s="14" customFormat="1" ht="17.100000000000001" customHeight="1">
      <c r="B208" s="89"/>
      <c r="C208" s="90"/>
      <c r="D208" s="91"/>
      <c r="E208" s="92"/>
      <c r="F208" s="89"/>
      <c r="G208" s="89"/>
      <c r="H208" s="89"/>
      <c r="I208" s="89"/>
      <c r="J208" s="89"/>
      <c r="K208" s="89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</row>
    <row r="209" spans="2:23" s="14" customFormat="1" ht="17.100000000000001" customHeight="1">
      <c r="B209" s="89"/>
      <c r="C209" s="90"/>
      <c r="D209" s="91"/>
      <c r="E209" s="92"/>
      <c r="F209" s="89"/>
      <c r="G209" s="89"/>
      <c r="H209" s="89"/>
      <c r="I209" s="89"/>
      <c r="J209" s="89"/>
      <c r="K209" s="89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</row>
    <row r="210" spans="2:23" s="14" customFormat="1" ht="17.100000000000001" customHeight="1">
      <c r="B210" s="89"/>
      <c r="C210" s="90"/>
      <c r="D210" s="91"/>
      <c r="E210" s="92"/>
      <c r="F210" s="89"/>
      <c r="G210" s="89"/>
      <c r="H210" s="89"/>
      <c r="I210" s="89"/>
      <c r="J210" s="89"/>
      <c r="K210" s="89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</row>
    <row r="211" spans="2:23" s="14" customFormat="1" ht="17.100000000000001" customHeight="1">
      <c r="B211" s="89"/>
      <c r="C211" s="90"/>
      <c r="D211" s="91"/>
      <c r="E211" s="92"/>
      <c r="F211" s="89"/>
      <c r="G211" s="89"/>
      <c r="H211" s="89"/>
      <c r="I211" s="89"/>
      <c r="J211" s="89"/>
      <c r="K211" s="89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</row>
    <row r="212" spans="2:23" s="14" customFormat="1" ht="17.100000000000001" customHeight="1">
      <c r="B212" s="89"/>
      <c r="C212" s="90"/>
      <c r="D212" s="91"/>
      <c r="E212" s="92"/>
      <c r="F212" s="89"/>
      <c r="G212" s="89"/>
      <c r="H212" s="89"/>
      <c r="I212" s="89"/>
      <c r="J212" s="89"/>
      <c r="K212" s="89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</row>
    <row r="213" spans="2:23" s="14" customFormat="1" ht="17.100000000000001" customHeight="1">
      <c r="B213" s="89"/>
      <c r="C213" s="90"/>
      <c r="D213" s="91"/>
      <c r="E213" s="92"/>
      <c r="F213" s="89"/>
      <c r="G213" s="89"/>
      <c r="H213" s="89"/>
      <c r="I213" s="89"/>
      <c r="J213" s="89"/>
      <c r="K213" s="89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</row>
    <row r="214" spans="2:23" s="14" customFormat="1" ht="17.100000000000001" customHeight="1">
      <c r="B214" s="89"/>
      <c r="C214" s="90"/>
      <c r="D214" s="91"/>
      <c r="E214" s="92"/>
      <c r="F214" s="89"/>
      <c r="G214" s="89"/>
      <c r="H214" s="89"/>
      <c r="I214" s="89"/>
      <c r="J214" s="89"/>
      <c r="K214" s="89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</row>
    <row r="215" spans="2:23" s="14" customFormat="1" ht="17.100000000000001" customHeight="1">
      <c r="B215" s="89"/>
      <c r="C215" s="90"/>
      <c r="D215" s="91"/>
      <c r="E215" s="92"/>
      <c r="F215" s="89"/>
      <c r="G215" s="89"/>
      <c r="H215" s="89"/>
      <c r="I215" s="89"/>
      <c r="J215" s="89"/>
      <c r="K215" s="89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</row>
    <row r="216" spans="2:23" s="14" customFormat="1" ht="17.100000000000001" customHeight="1">
      <c r="B216" s="89"/>
      <c r="C216" s="90"/>
      <c r="D216" s="91"/>
      <c r="E216" s="92"/>
      <c r="F216" s="89"/>
      <c r="G216" s="89"/>
      <c r="H216" s="89"/>
      <c r="I216" s="89"/>
      <c r="J216" s="89"/>
      <c r="K216" s="89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</row>
    <row r="217" spans="2:23" s="14" customFormat="1" ht="17.100000000000001" customHeight="1">
      <c r="B217" s="89"/>
      <c r="C217" s="90"/>
      <c r="D217" s="91"/>
      <c r="E217" s="92"/>
      <c r="F217" s="89"/>
      <c r="G217" s="89"/>
      <c r="H217" s="89"/>
      <c r="I217" s="89"/>
      <c r="J217" s="89"/>
      <c r="K217" s="89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</row>
    <row r="218" spans="2:23" s="14" customFormat="1" ht="17.100000000000001" customHeight="1">
      <c r="B218" s="89"/>
      <c r="C218" s="90"/>
      <c r="D218" s="91"/>
      <c r="E218" s="92"/>
      <c r="F218" s="89"/>
      <c r="G218" s="89"/>
      <c r="H218" s="89"/>
      <c r="I218" s="89"/>
      <c r="J218" s="89"/>
      <c r="K218" s="89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</row>
    <row r="219" spans="2:23" s="14" customFormat="1" ht="17.100000000000001" customHeight="1">
      <c r="B219" s="89"/>
      <c r="C219" s="90"/>
      <c r="D219" s="91"/>
      <c r="E219" s="92"/>
      <c r="F219" s="89"/>
      <c r="G219" s="89"/>
      <c r="H219" s="89"/>
      <c r="I219" s="89"/>
      <c r="J219" s="89"/>
      <c r="K219" s="89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</row>
    <row r="220" spans="2:23" s="14" customFormat="1" ht="17.100000000000001" customHeight="1">
      <c r="B220" s="89"/>
      <c r="C220" s="90"/>
      <c r="D220" s="91"/>
      <c r="E220" s="92"/>
      <c r="F220" s="89"/>
      <c r="G220" s="89"/>
      <c r="H220" s="89"/>
      <c r="I220" s="89"/>
      <c r="J220" s="89"/>
      <c r="K220" s="89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</row>
    <row r="221" spans="2:23" s="14" customFormat="1" ht="17.100000000000001" customHeight="1">
      <c r="B221" s="89"/>
      <c r="C221" s="90"/>
      <c r="D221" s="91"/>
      <c r="E221" s="92"/>
      <c r="F221" s="89"/>
      <c r="G221" s="89"/>
      <c r="H221" s="89"/>
      <c r="I221" s="89"/>
      <c r="J221" s="89"/>
      <c r="K221" s="89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</row>
    <row r="222" spans="2:23" s="14" customFormat="1" ht="17.100000000000001" customHeight="1">
      <c r="B222" s="89"/>
      <c r="C222" s="90"/>
      <c r="D222" s="91"/>
      <c r="E222" s="92"/>
      <c r="F222" s="89"/>
      <c r="G222" s="89"/>
      <c r="H222" s="89"/>
      <c r="I222" s="89"/>
      <c r="J222" s="89"/>
      <c r="K222" s="89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</row>
    <row r="223" spans="2:23" s="14" customFormat="1" ht="17.100000000000001" customHeight="1">
      <c r="B223" s="89"/>
      <c r="C223" s="90"/>
      <c r="D223" s="91"/>
      <c r="E223" s="92"/>
      <c r="F223" s="89"/>
      <c r="G223" s="89"/>
      <c r="H223" s="89"/>
      <c r="I223" s="89"/>
      <c r="J223" s="89"/>
      <c r="K223" s="89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</row>
    <row r="224" spans="2:23" s="14" customFormat="1" ht="17.100000000000001" customHeight="1">
      <c r="B224" s="89"/>
      <c r="C224" s="90"/>
      <c r="D224" s="91"/>
      <c r="E224" s="92"/>
      <c r="F224" s="89"/>
      <c r="G224" s="89"/>
      <c r="H224" s="89"/>
      <c r="I224" s="89"/>
      <c r="J224" s="89"/>
      <c r="K224" s="89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</row>
    <row r="225" spans="2:23" s="14" customFormat="1" ht="17.100000000000001" customHeight="1">
      <c r="B225" s="89"/>
      <c r="C225" s="90"/>
      <c r="D225" s="91"/>
      <c r="E225" s="92"/>
      <c r="F225" s="89"/>
      <c r="G225" s="89"/>
      <c r="H225" s="89"/>
      <c r="I225" s="89"/>
      <c r="J225" s="89"/>
      <c r="K225" s="89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</row>
    <row r="226" spans="2:23" s="14" customFormat="1" ht="17.100000000000001" customHeight="1">
      <c r="B226" s="89"/>
      <c r="C226" s="90"/>
      <c r="D226" s="91"/>
      <c r="E226" s="92"/>
      <c r="F226" s="89"/>
      <c r="G226" s="89"/>
      <c r="H226" s="89"/>
      <c r="I226" s="89"/>
      <c r="J226" s="89"/>
      <c r="K226" s="89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</row>
    <row r="227" spans="2:23" s="14" customFormat="1" ht="17.100000000000001" customHeight="1">
      <c r="B227" s="89"/>
      <c r="C227" s="90"/>
      <c r="D227" s="91"/>
      <c r="E227" s="92"/>
      <c r="F227" s="89"/>
      <c r="G227" s="89"/>
      <c r="H227" s="89"/>
      <c r="I227" s="89"/>
      <c r="J227" s="89"/>
      <c r="K227" s="89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</row>
    <row r="228" spans="2:23" s="14" customFormat="1" ht="17.100000000000001" customHeight="1">
      <c r="B228" s="89"/>
      <c r="C228" s="90"/>
      <c r="D228" s="91"/>
      <c r="E228" s="92"/>
      <c r="F228" s="89"/>
      <c r="G228" s="89"/>
      <c r="H228" s="89"/>
      <c r="I228" s="89"/>
      <c r="J228" s="89"/>
      <c r="K228" s="89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</row>
    <row r="229" spans="2:23" s="14" customFormat="1" ht="17.100000000000001" customHeight="1">
      <c r="B229" s="89"/>
      <c r="C229" s="90"/>
      <c r="D229" s="91"/>
      <c r="E229" s="92"/>
      <c r="F229" s="89"/>
      <c r="G229" s="89"/>
      <c r="H229" s="89"/>
      <c r="I229" s="89"/>
      <c r="J229" s="89"/>
      <c r="K229" s="89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</row>
    <row r="230" spans="2:23" s="14" customFormat="1" ht="17.100000000000001" customHeight="1">
      <c r="B230" s="89"/>
      <c r="C230" s="90"/>
      <c r="D230" s="91"/>
      <c r="E230" s="92"/>
      <c r="F230" s="89"/>
      <c r="G230" s="89"/>
      <c r="H230" s="89"/>
      <c r="I230" s="89"/>
      <c r="J230" s="89"/>
      <c r="K230" s="89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</row>
    <row r="231" spans="2:23" s="14" customFormat="1" ht="17.100000000000001" customHeight="1">
      <c r="B231" s="89"/>
      <c r="C231" s="90"/>
      <c r="D231" s="91"/>
      <c r="E231" s="92"/>
      <c r="F231" s="89"/>
      <c r="G231" s="89"/>
      <c r="H231" s="89"/>
      <c r="I231" s="89"/>
      <c r="J231" s="89"/>
      <c r="K231" s="89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</row>
    <row r="232" spans="2:23" s="14" customFormat="1" ht="17.100000000000001" customHeight="1">
      <c r="B232" s="89"/>
      <c r="C232" s="90"/>
      <c r="D232" s="91"/>
      <c r="E232" s="92"/>
      <c r="F232" s="89"/>
      <c r="G232" s="89"/>
      <c r="H232" s="89"/>
      <c r="I232" s="89"/>
      <c r="J232" s="89"/>
      <c r="K232" s="89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</row>
    <row r="233" spans="2:23" s="14" customFormat="1" ht="17.100000000000001" customHeight="1">
      <c r="B233" s="89"/>
      <c r="C233" s="90"/>
      <c r="D233" s="91"/>
      <c r="E233" s="92"/>
      <c r="F233" s="89"/>
      <c r="G233" s="89"/>
      <c r="H233" s="89"/>
      <c r="I233" s="89"/>
      <c r="J233" s="89"/>
      <c r="K233" s="89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</row>
    <row r="234" spans="2:23" s="14" customFormat="1" ht="17.100000000000001" customHeight="1">
      <c r="B234" s="89"/>
      <c r="C234" s="90"/>
      <c r="D234" s="91"/>
      <c r="E234" s="92"/>
      <c r="F234" s="89"/>
      <c r="G234" s="89"/>
      <c r="H234" s="89"/>
      <c r="I234" s="89"/>
      <c r="J234" s="89"/>
      <c r="K234" s="89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</row>
    <row r="235" spans="2:23" s="14" customFormat="1" ht="17.100000000000001" customHeight="1">
      <c r="B235" s="89"/>
      <c r="C235" s="90"/>
      <c r="D235" s="91"/>
      <c r="E235" s="92"/>
      <c r="F235" s="89"/>
      <c r="G235" s="89"/>
      <c r="H235" s="89"/>
      <c r="I235" s="89"/>
      <c r="J235" s="89"/>
      <c r="K235" s="89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</row>
    <row r="236" spans="2:23" s="14" customFormat="1" ht="17.100000000000001" customHeight="1">
      <c r="B236" s="89"/>
      <c r="C236" s="90"/>
      <c r="D236" s="91"/>
      <c r="E236" s="92"/>
      <c r="F236" s="89"/>
      <c r="G236" s="89"/>
      <c r="H236" s="89"/>
      <c r="I236" s="89"/>
      <c r="J236" s="89"/>
      <c r="K236" s="89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</row>
    <row r="237" spans="2:23" s="14" customFormat="1" ht="17.100000000000001" customHeight="1">
      <c r="B237" s="89"/>
      <c r="C237" s="90"/>
      <c r="D237" s="91"/>
      <c r="E237" s="92"/>
      <c r="F237" s="89"/>
      <c r="G237" s="89"/>
      <c r="H237" s="89"/>
      <c r="I237" s="89"/>
      <c r="J237" s="89"/>
      <c r="K237" s="89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</row>
    <row r="238" spans="2:23" s="14" customFormat="1" ht="17.100000000000001" customHeight="1">
      <c r="B238" s="89"/>
      <c r="C238" s="90"/>
      <c r="D238" s="91"/>
      <c r="E238" s="92"/>
      <c r="F238" s="89"/>
      <c r="G238" s="89"/>
      <c r="H238" s="89"/>
      <c r="I238" s="89"/>
      <c r="J238" s="89"/>
      <c r="K238" s="89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</row>
    <row r="239" spans="2:23" s="14" customFormat="1" ht="17.100000000000001" customHeight="1">
      <c r="B239" s="89"/>
      <c r="C239" s="90"/>
      <c r="D239" s="91"/>
      <c r="E239" s="92"/>
      <c r="F239" s="89"/>
      <c r="G239" s="89"/>
      <c r="H239" s="89"/>
      <c r="I239" s="89"/>
      <c r="J239" s="89"/>
      <c r="K239" s="89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</row>
    <row r="240" spans="2:23" s="14" customFormat="1" ht="17.100000000000001" customHeight="1">
      <c r="B240" s="89"/>
      <c r="C240" s="90"/>
      <c r="D240" s="91"/>
      <c r="E240" s="92"/>
      <c r="F240" s="89"/>
      <c r="G240" s="89"/>
      <c r="H240" s="89"/>
      <c r="I240" s="89"/>
      <c r="J240" s="89"/>
      <c r="K240" s="89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</row>
    <row r="241" spans="2:23" s="14" customFormat="1" ht="17.100000000000001" customHeight="1">
      <c r="B241" s="89"/>
      <c r="C241" s="90"/>
      <c r="D241" s="91"/>
      <c r="E241" s="92"/>
      <c r="F241" s="89"/>
      <c r="G241" s="89"/>
      <c r="H241" s="89"/>
      <c r="I241" s="89"/>
      <c r="J241" s="89"/>
      <c r="K241" s="89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</row>
    <row r="242" spans="2:23" s="14" customFormat="1" ht="17.100000000000001" customHeight="1">
      <c r="B242" s="89"/>
      <c r="C242" s="90"/>
      <c r="D242" s="91"/>
      <c r="E242" s="92"/>
      <c r="F242" s="89"/>
      <c r="G242" s="89"/>
      <c r="H242" s="89"/>
      <c r="I242" s="89"/>
      <c r="J242" s="89"/>
      <c r="K242" s="89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</row>
    <row r="243" spans="2:23" s="14" customFormat="1" ht="17.100000000000001" customHeight="1">
      <c r="B243" s="89"/>
      <c r="C243" s="90"/>
      <c r="D243" s="91"/>
      <c r="E243" s="92"/>
      <c r="F243" s="89"/>
      <c r="G243" s="89"/>
      <c r="H243" s="89"/>
      <c r="I243" s="89"/>
      <c r="J243" s="89"/>
      <c r="K243" s="89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</row>
    <row r="244" spans="2:23" s="14" customFormat="1" ht="17.100000000000001" customHeight="1">
      <c r="B244" s="89"/>
      <c r="C244" s="90"/>
      <c r="D244" s="91"/>
      <c r="E244" s="92"/>
      <c r="F244" s="89"/>
      <c r="G244" s="89"/>
      <c r="H244" s="89"/>
      <c r="I244" s="89"/>
      <c r="J244" s="89"/>
      <c r="K244" s="89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</row>
    <row r="245" spans="2:23" s="14" customFormat="1" ht="17.100000000000001" customHeight="1">
      <c r="B245" s="89"/>
      <c r="C245" s="90"/>
      <c r="D245" s="91"/>
      <c r="E245" s="92"/>
      <c r="F245" s="89"/>
      <c r="G245" s="89"/>
      <c r="H245" s="89"/>
      <c r="I245" s="89"/>
      <c r="J245" s="89"/>
      <c r="K245" s="89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</row>
    <row r="246" spans="2:23" s="14" customFormat="1" ht="17.100000000000001" customHeight="1">
      <c r="B246" s="89"/>
      <c r="C246" s="90"/>
      <c r="D246" s="91"/>
      <c r="E246" s="92"/>
      <c r="F246" s="89"/>
      <c r="G246" s="89"/>
      <c r="H246" s="89"/>
      <c r="I246" s="89"/>
      <c r="J246" s="89"/>
      <c r="K246" s="89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</row>
    <row r="247" spans="2:23" s="14" customFormat="1" ht="17.100000000000001" customHeight="1">
      <c r="B247" s="89"/>
      <c r="C247" s="90"/>
      <c r="D247" s="91"/>
      <c r="E247" s="92"/>
      <c r="F247" s="89"/>
      <c r="G247" s="89"/>
      <c r="H247" s="89"/>
      <c r="I247" s="89"/>
      <c r="J247" s="89"/>
      <c r="K247" s="89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</row>
    <row r="248" spans="2:23" s="14" customFormat="1" ht="17.100000000000001" customHeight="1">
      <c r="B248" s="89"/>
      <c r="C248" s="90"/>
      <c r="D248" s="91"/>
      <c r="E248" s="92"/>
      <c r="F248" s="89"/>
      <c r="G248" s="89"/>
      <c r="H248" s="89"/>
      <c r="I248" s="89"/>
      <c r="J248" s="89"/>
      <c r="K248" s="89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</row>
    <row r="249" spans="2:23" s="14" customFormat="1" ht="17.100000000000001" customHeight="1">
      <c r="B249" s="89"/>
      <c r="C249" s="90"/>
      <c r="D249" s="91"/>
      <c r="E249" s="92"/>
      <c r="F249" s="89"/>
      <c r="G249" s="89"/>
      <c r="H249" s="89"/>
      <c r="I249" s="89"/>
      <c r="J249" s="89"/>
      <c r="K249" s="89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</row>
    <row r="250" spans="2:23" s="14" customFormat="1" ht="17.100000000000001" customHeight="1">
      <c r="B250" s="89"/>
      <c r="C250" s="90"/>
      <c r="D250" s="91"/>
      <c r="E250" s="92"/>
      <c r="F250" s="89"/>
      <c r="G250" s="89"/>
      <c r="H250" s="89"/>
      <c r="I250" s="89"/>
      <c r="J250" s="89"/>
      <c r="K250" s="89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</row>
    <row r="251" spans="2:23" s="14" customFormat="1" ht="17.100000000000001" customHeight="1">
      <c r="B251" s="89"/>
      <c r="C251" s="90"/>
      <c r="D251" s="91"/>
      <c r="E251" s="92"/>
      <c r="F251" s="89"/>
      <c r="G251" s="89"/>
      <c r="H251" s="89"/>
      <c r="I251" s="89"/>
      <c r="J251" s="89"/>
      <c r="K251" s="89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</row>
    <row r="252" spans="2:23" s="14" customFormat="1" ht="17.100000000000001" customHeight="1">
      <c r="B252" s="89"/>
      <c r="C252" s="90"/>
      <c r="D252" s="91"/>
      <c r="E252" s="92"/>
      <c r="F252" s="89"/>
      <c r="G252" s="89"/>
      <c r="H252" s="89"/>
      <c r="I252" s="89"/>
      <c r="J252" s="89"/>
      <c r="K252" s="89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</row>
    <row r="253" spans="2:23" s="14" customFormat="1" ht="17.100000000000001" customHeight="1">
      <c r="B253" s="89"/>
      <c r="C253" s="90"/>
      <c r="D253" s="91"/>
      <c r="E253" s="92"/>
      <c r="F253" s="89"/>
      <c r="G253" s="89"/>
      <c r="H253" s="89"/>
      <c r="I253" s="89"/>
      <c r="J253" s="89"/>
      <c r="K253" s="89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</row>
    <row r="254" spans="2:23" s="14" customFormat="1" ht="17.100000000000001" customHeight="1">
      <c r="B254" s="89"/>
      <c r="C254" s="90"/>
      <c r="D254" s="91"/>
      <c r="E254" s="92"/>
      <c r="F254" s="89"/>
      <c r="G254" s="89"/>
      <c r="H254" s="89"/>
      <c r="I254" s="89"/>
      <c r="J254" s="89"/>
      <c r="K254" s="89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</row>
    <row r="255" spans="2:23" s="14" customFormat="1" ht="17.100000000000001" customHeight="1">
      <c r="B255" s="89"/>
      <c r="C255" s="90"/>
      <c r="D255" s="91"/>
      <c r="E255" s="92"/>
      <c r="F255" s="89"/>
      <c r="G255" s="89"/>
      <c r="H255" s="89"/>
      <c r="I255" s="89"/>
      <c r="J255" s="89"/>
      <c r="K255" s="89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</row>
    <row r="256" spans="2:23" s="14" customFormat="1" ht="17.100000000000001" customHeight="1">
      <c r="B256" s="89"/>
      <c r="C256" s="90"/>
      <c r="D256" s="91"/>
      <c r="E256" s="92"/>
      <c r="F256" s="89"/>
      <c r="G256" s="89"/>
      <c r="H256" s="89"/>
      <c r="I256" s="89"/>
      <c r="J256" s="89"/>
      <c r="K256" s="89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</row>
    <row r="257" spans="2:23" s="14" customFormat="1" ht="17.100000000000001" customHeight="1">
      <c r="B257" s="89"/>
      <c r="C257" s="90"/>
      <c r="D257" s="91"/>
      <c r="E257" s="92"/>
      <c r="F257" s="89"/>
      <c r="G257" s="89"/>
      <c r="H257" s="89"/>
      <c r="I257" s="89"/>
      <c r="J257" s="89"/>
      <c r="K257" s="89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</row>
    <row r="258" spans="2:23" s="14" customFormat="1" ht="17.100000000000001" customHeight="1">
      <c r="B258" s="89"/>
      <c r="C258" s="90"/>
      <c r="D258" s="91"/>
      <c r="E258" s="92"/>
      <c r="F258" s="89"/>
      <c r="G258" s="89"/>
      <c r="H258" s="89"/>
      <c r="I258" s="89"/>
      <c r="J258" s="89"/>
      <c r="K258" s="89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</row>
    <row r="259" spans="2:23" s="14" customFormat="1" ht="17.100000000000001" customHeight="1">
      <c r="B259" s="89"/>
      <c r="C259" s="90"/>
      <c r="D259" s="91"/>
      <c r="E259" s="92"/>
      <c r="F259" s="89"/>
      <c r="G259" s="89"/>
      <c r="H259" s="89"/>
      <c r="I259" s="89"/>
      <c r="J259" s="89"/>
      <c r="K259" s="89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</row>
    <row r="260" spans="2:23" s="14" customFormat="1" ht="17.100000000000001" customHeight="1">
      <c r="B260" s="89"/>
      <c r="C260" s="90"/>
      <c r="D260" s="91"/>
      <c r="E260" s="92"/>
      <c r="F260" s="89"/>
      <c r="G260" s="89"/>
      <c r="H260" s="89"/>
      <c r="I260" s="89"/>
      <c r="J260" s="89"/>
      <c r="K260" s="89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</row>
    <row r="261" spans="2:23" s="14" customFormat="1" ht="17.100000000000001" customHeight="1">
      <c r="B261" s="89"/>
      <c r="C261" s="90"/>
      <c r="D261" s="91"/>
      <c r="E261" s="92"/>
      <c r="F261" s="89"/>
      <c r="G261" s="89"/>
      <c r="H261" s="89"/>
      <c r="I261" s="89"/>
      <c r="J261" s="89"/>
      <c r="K261" s="89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</row>
    <row r="262" spans="2:23" s="14" customFormat="1" ht="17.100000000000001" customHeight="1">
      <c r="B262" s="89"/>
      <c r="C262" s="90"/>
      <c r="D262" s="91"/>
      <c r="E262" s="92"/>
      <c r="F262" s="89"/>
      <c r="G262" s="89"/>
      <c r="H262" s="89"/>
      <c r="I262" s="89"/>
      <c r="J262" s="89"/>
      <c r="K262" s="89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</row>
    <row r="263" spans="2:23" s="14" customFormat="1" ht="17.100000000000001" customHeight="1">
      <c r="B263" s="89"/>
      <c r="C263" s="90"/>
      <c r="D263" s="91"/>
      <c r="E263" s="92"/>
      <c r="F263" s="89"/>
      <c r="G263" s="89"/>
      <c r="H263" s="89"/>
      <c r="I263" s="89"/>
      <c r="J263" s="89"/>
      <c r="K263" s="89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</row>
    <row r="264" spans="2:23" s="14" customFormat="1" ht="17.100000000000001" customHeight="1">
      <c r="B264" s="89"/>
      <c r="C264" s="90"/>
      <c r="D264" s="91"/>
      <c r="E264" s="92"/>
      <c r="F264" s="89"/>
      <c r="G264" s="89"/>
      <c r="H264" s="89"/>
      <c r="I264" s="89"/>
      <c r="J264" s="89"/>
      <c r="K264" s="89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</row>
    <row r="265" spans="2:23" s="14" customFormat="1" ht="17.100000000000001" customHeight="1">
      <c r="B265" s="89"/>
      <c r="C265" s="90"/>
      <c r="D265" s="91"/>
      <c r="E265" s="92"/>
      <c r="F265" s="89"/>
      <c r="G265" s="89"/>
      <c r="H265" s="89"/>
      <c r="I265" s="89"/>
      <c r="J265" s="89"/>
      <c r="K265" s="89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</row>
    <row r="266" spans="2:23" s="14" customFormat="1" ht="17.100000000000001" customHeight="1">
      <c r="B266" s="89"/>
      <c r="C266" s="90"/>
      <c r="D266" s="91"/>
      <c r="E266" s="92"/>
      <c r="F266" s="89"/>
      <c r="G266" s="89"/>
      <c r="H266" s="89"/>
      <c r="I266" s="89"/>
      <c r="J266" s="89"/>
      <c r="K266" s="89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</row>
    <row r="267" spans="2:23" s="14" customFormat="1" ht="17.100000000000001" customHeight="1">
      <c r="B267" s="89"/>
      <c r="C267" s="90"/>
      <c r="D267" s="91"/>
      <c r="E267" s="92"/>
      <c r="F267" s="89"/>
      <c r="G267" s="89"/>
      <c r="H267" s="89"/>
      <c r="I267" s="89"/>
      <c r="J267" s="89"/>
      <c r="K267" s="89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</row>
    <row r="268" spans="2:23" s="14" customFormat="1" ht="17.100000000000001" customHeight="1">
      <c r="B268" s="89"/>
      <c r="C268" s="90"/>
      <c r="D268" s="91"/>
      <c r="E268" s="92"/>
      <c r="F268" s="89"/>
      <c r="G268" s="89"/>
      <c r="H268" s="89"/>
      <c r="I268" s="89"/>
      <c r="J268" s="89"/>
      <c r="K268" s="89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</row>
    <row r="269" spans="2:23" s="14" customFormat="1" ht="17.100000000000001" customHeight="1">
      <c r="B269" s="89"/>
      <c r="C269" s="90"/>
      <c r="D269" s="91"/>
      <c r="E269" s="92"/>
      <c r="F269" s="89"/>
      <c r="G269" s="89"/>
      <c r="H269" s="89"/>
      <c r="I269" s="89"/>
      <c r="J269" s="89"/>
      <c r="K269" s="89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</row>
    <row r="270" spans="2:23" s="14" customFormat="1" ht="17.100000000000001" customHeight="1">
      <c r="B270" s="89"/>
      <c r="C270" s="90"/>
      <c r="D270" s="91"/>
      <c r="E270" s="92"/>
      <c r="F270" s="89"/>
      <c r="G270" s="89"/>
      <c r="H270" s="89"/>
      <c r="I270" s="89"/>
      <c r="J270" s="89"/>
      <c r="K270" s="89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</row>
    <row r="271" spans="2:23" s="14" customFormat="1" ht="17.100000000000001" customHeight="1">
      <c r="B271" s="89"/>
      <c r="C271" s="90"/>
      <c r="D271" s="91"/>
      <c r="E271" s="92"/>
      <c r="F271" s="89"/>
      <c r="G271" s="89"/>
      <c r="H271" s="89"/>
      <c r="I271" s="89"/>
      <c r="J271" s="89"/>
      <c r="K271" s="89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</row>
    <row r="272" spans="2:23" s="14" customFormat="1" ht="17.100000000000001" customHeight="1">
      <c r="B272" s="89"/>
      <c r="C272" s="90"/>
      <c r="D272" s="91"/>
      <c r="E272" s="92"/>
      <c r="F272" s="89"/>
      <c r="G272" s="89"/>
      <c r="H272" s="89"/>
      <c r="I272" s="89"/>
      <c r="J272" s="89"/>
      <c r="K272" s="89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</row>
    <row r="273" spans="2:23" s="14" customFormat="1" ht="17.100000000000001" customHeight="1">
      <c r="B273" s="89"/>
      <c r="C273" s="90"/>
      <c r="D273" s="91"/>
      <c r="E273" s="92"/>
      <c r="F273" s="89"/>
      <c r="G273" s="89"/>
      <c r="H273" s="89"/>
      <c r="I273" s="89"/>
      <c r="J273" s="89"/>
      <c r="K273" s="89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</row>
    <row r="274" spans="2:23" s="14" customFormat="1" ht="17.100000000000001" customHeight="1">
      <c r="B274" s="89"/>
      <c r="C274" s="90"/>
      <c r="D274" s="91"/>
      <c r="E274" s="92"/>
      <c r="F274" s="89"/>
      <c r="G274" s="89"/>
      <c r="H274" s="89"/>
      <c r="I274" s="89"/>
      <c r="J274" s="89"/>
      <c r="K274" s="89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</row>
    <row r="275" spans="2:23" s="14" customFormat="1" ht="17.100000000000001" customHeight="1">
      <c r="B275" s="89"/>
      <c r="C275" s="90"/>
      <c r="D275" s="91"/>
      <c r="E275" s="92"/>
      <c r="F275" s="89"/>
      <c r="G275" s="89"/>
      <c r="H275" s="89"/>
      <c r="I275" s="89"/>
      <c r="J275" s="89"/>
      <c r="K275" s="89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</row>
    <row r="276" spans="2:23" s="14" customFormat="1" ht="17.100000000000001" customHeight="1">
      <c r="B276" s="89"/>
      <c r="C276" s="90"/>
      <c r="D276" s="91"/>
      <c r="E276" s="92"/>
      <c r="F276" s="89"/>
      <c r="G276" s="89"/>
      <c r="H276" s="89"/>
      <c r="I276" s="89"/>
      <c r="J276" s="89"/>
      <c r="K276" s="89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</row>
    <row r="277" spans="2:23" s="14" customFormat="1" ht="17.100000000000001" customHeight="1">
      <c r="B277" s="89"/>
      <c r="C277" s="90"/>
      <c r="D277" s="91"/>
      <c r="E277" s="92"/>
      <c r="F277" s="89"/>
      <c r="G277" s="89"/>
      <c r="H277" s="89"/>
      <c r="I277" s="89"/>
      <c r="J277" s="89"/>
      <c r="K277" s="89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</row>
    <row r="278" spans="2:23" s="14" customFormat="1" ht="17.100000000000001" customHeight="1">
      <c r="B278" s="89"/>
      <c r="C278" s="90"/>
      <c r="D278" s="91"/>
      <c r="E278" s="92"/>
      <c r="F278" s="89"/>
      <c r="G278" s="89"/>
      <c r="H278" s="89"/>
      <c r="I278" s="89"/>
      <c r="J278" s="89"/>
      <c r="K278" s="89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</row>
    <row r="279" spans="2:23" s="14" customFormat="1" ht="17.100000000000001" customHeight="1">
      <c r="B279" s="89"/>
      <c r="C279" s="90"/>
      <c r="D279" s="91"/>
      <c r="E279" s="92"/>
      <c r="F279" s="89"/>
      <c r="G279" s="89"/>
      <c r="H279" s="89"/>
      <c r="I279" s="89"/>
      <c r="J279" s="89"/>
      <c r="K279" s="89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</row>
    <row r="280" spans="2:23" s="14" customFormat="1" ht="17.100000000000001" customHeight="1">
      <c r="B280" s="89"/>
      <c r="C280" s="90"/>
      <c r="D280" s="91"/>
      <c r="E280" s="92"/>
      <c r="F280" s="89"/>
      <c r="G280" s="89"/>
      <c r="H280" s="89"/>
      <c r="I280" s="89"/>
      <c r="J280" s="89"/>
      <c r="K280" s="89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</row>
    <row r="281" spans="2:23" s="14" customFormat="1" ht="17.100000000000001" customHeight="1">
      <c r="B281" s="89"/>
      <c r="C281" s="90"/>
      <c r="D281" s="91"/>
      <c r="E281" s="92"/>
      <c r="F281" s="89"/>
      <c r="G281" s="89"/>
      <c r="H281" s="89"/>
      <c r="I281" s="89"/>
      <c r="J281" s="89"/>
      <c r="K281" s="89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</row>
    <row r="282" spans="2:23" s="14" customFormat="1" ht="17.100000000000001" customHeight="1">
      <c r="B282" s="89"/>
      <c r="C282" s="90"/>
      <c r="D282" s="91"/>
      <c r="E282" s="92"/>
      <c r="F282" s="89"/>
      <c r="G282" s="89"/>
      <c r="H282" s="89"/>
      <c r="I282" s="89"/>
      <c r="J282" s="89"/>
      <c r="K282" s="89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</row>
    <row r="283" spans="2:23" s="14" customFormat="1" ht="17.100000000000001" customHeight="1">
      <c r="B283" s="89"/>
      <c r="C283" s="90"/>
      <c r="D283" s="91"/>
      <c r="E283" s="92"/>
      <c r="F283" s="89"/>
      <c r="G283" s="89"/>
      <c r="H283" s="89"/>
      <c r="I283" s="89"/>
      <c r="J283" s="89"/>
      <c r="K283" s="89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</row>
    <row r="284" spans="2:23" s="14" customFormat="1" ht="17.100000000000001" customHeight="1">
      <c r="B284" s="89"/>
      <c r="C284" s="90"/>
      <c r="D284" s="91"/>
      <c r="E284" s="92"/>
      <c r="F284" s="89"/>
      <c r="G284" s="89"/>
      <c r="H284" s="89"/>
      <c r="I284" s="89"/>
      <c r="J284" s="89"/>
      <c r="K284" s="89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</row>
    <row r="285" spans="2:23" s="14" customFormat="1" ht="17.100000000000001" customHeight="1">
      <c r="B285" s="89"/>
      <c r="C285" s="90"/>
      <c r="D285" s="91"/>
      <c r="E285" s="92"/>
      <c r="F285" s="89"/>
      <c r="G285" s="89"/>
      <c r="H285" s="89"/>
      <c r="I285" s="89"/>
      <c r="J285" s="89"/>
      <c r="K285" s="89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</row>
    <row r="286" spans="2:23" s="14" customFormat="1" ht="17.100000000000001" customHeight="1">
      <c r="B286" s="89"/>
      <c r="C286" s="90"/>
      <c r="D286" s="91"/>
      <c r="E286" s="92"/>
      <c r="F286" s="89"/>
      <c r="G286" s="89"/>
      <c r="H286" s="89"/>
      <c r="I286" s="89"/>
      <c r="J286" s="89"/>
      <c r="K286" s="89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</row>
    <row r="287" spans="2:23" s="14" customFormat="1" ht="17.100000000000001" customHeight="1">
      <c r="B287" s="89"/>
      <c r="C287" s="90"/>
      <c r="D287" s="91"/>
      <c r="E287" s="92"/>
      <c r="F287" s="89"/>
      <c r="G287" s="89"/>
      <c r="H287" s="89"/>
      <c r="I287" s="89"/>
      <c r="J287" s="89"/>
      <c r="K287" s="89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</row>
    <row r="288" spans="2:23" s="14" customFormat="1" ht="17.100000000000001" customHeight="1">
      <c r="B288" s="89"/>
      <c r="C288" s="90"/>
      <c r="D288" s="91"/>
      <c r="E288" s="92"/>
      <c r="F288" s="89"/>
      <c r="G288" s="89"/>
      <c r="H288" s="89"/>
      <c r="I288" s="89"/>
      <c r="J288" s="89"/>
      <c r="K288" s="89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</row>
    <row r="289" spans="2:23" s="14" customFormat="1" ht="17.100000000000001" customHeight="1">
      <c r="B289" s="89"/>
      <c r="C289" s="90"/>
      <c r="D289" s="91"/>
      <c r="E289" s="92"/>
      <c r="F289" s="89"/>
      <c r="G289" s="89"/>
      <c r="H289" s="89"/>
      <c r="I289" s="89"/>
      <c r="J289" s="89"/>
      <c r="K289" s="89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</row>
    <row r="290" spans="2:23" s="14" customFormat="1" ht="17.100000000000001" customHeight="1">
      <c r="B290" s="89"/>
      <c r="C290" s="90"/>
      <c r="D290" s="91"/>
      <c r="E290" s="92"/>
      <c r="F290" s="89"/>
      <c r="G290" s="89"/>
      <c r="H290" s="89"/>
      <c r="I290" s="89"/>
      <c r="J290" s="89"/>
      <c r="K290" s="89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</row>
    <row r="291" spans="2:23" s="14" customFormat="1" ht="17.100000000000001" customHeight="1">
      <c r="B291" s="89"/>
      <c r="C291" s="90"/>
      <c r="D291" s="91"/>
      <c r="E291" s="92"/>
      <c r="F291" s="89"/>
      <c r="G291" s="89"/>
      <c r="H291" s="89"/>
      <c r="I291" s="89"/>
      <c r="J291" s="89"/>
      <c r="K291" s="89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</row>
    <row r="292" spans="2:23" s="14" customFormat="1" ht="17.100000000000001" customHeight="1">
      <c r="B292" s="89"/>
      <c r="C292" s="90"/>
      <c r="D292" s="91"/>
      <c r="E292" s="92"/>
      <c r="F292" s="89"/>
      <c r="G292" s="89"/>
      <c r="H292" s="89"/>
      <c r="I292" s="89"/>
      <c r="J292" s="89"/>
      <c r="K292" s="89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</row>
    <row r="293" spans="2:23" s="14" customFormat="1" ht="17.100000000000001" customHeight="1">
      <c r="B293" s="89"/>
      <c r="C293" s="90"/>
      <c r="D293" s="91"/>
      <c r="E293" s="92"/>
      <c r="F293" s="89"/>
      <c r="G293" s="89"/>
      <c r="H293" s="89"/>
      <c r="I293" s="89"/>
      <c r="J293" s="89"/>
      <c r="K293" s="89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</row>
    <row r="294" spans="2:23" s="14" customFormat="1" ht="17.100000000000001" customHeight="1">
      <c r="B294" s="89"/>
      <c r="C294" s="90"/>
      <c r="D294" s="91"/>
      <c r="E294" s="92"/>
      <c r="F294" s="89"/>
      <c r="G294" s="89"/>
      <c r="H294" s="89"/>
      <c r="I294" s="89"/>
      <c r="J294" s="89"/>
      <c r="K294" s="89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</row>
    <row r="295" spans="2:23" s="14" customFormat="1" ht="17.100000000000001" customHeight="1">
      <c r="B295" s="89"/>
      <c r="C295" s="90"/>
      <c r="D295" s="91"/>
      <c r="E295" s="92"/>
      <c r="F295" s="89"/>
      <c r="G295" s="89"/>
      <c r="H295" s="89"/>
      <c r="I295" s="89"/>
      <c r="J295" s="89"/>
      <c r="K295" s="89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</row>
    <row r="296" spans="2:23" s="14" customFormat="1" ht="17.100000000000001" customHeight="1">
      <c r="B296" s="89"/>
      <c r="C296" s="90"/>
      <c r="D296" s="91"/>
      <c r="E296" s="92"/>
      <c r="F296" s="89"/>
      <c r="G296" s="89"/>
      <c r="H296" s="89"/>
      <c r="I296" s="89"/>
      <c r="J296" s="89"/>
      <c r="K296" s="89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</row>
    <row r="297" spans="2:23" s="14" customFormat="1" ht="17.100000000000001" customHeight="1">
      <c r="B297" s="89"/>
      <c r="C297" s="90"/>
      <c r="D297" s="91"/>
      <c r="E297" s="92"/>
      <c r="F297" s="89"/>
      <c r="G297" s="89"/>
      <c r="H297" s="89"/>
      <c r="I297" s="89"/>
      <c r="J297" s="89"/>
      <c r="K297" s="89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</row>
    <row r="298" spans="2:23" s="14" customFormat="1" ht="17.100000000000001" customHeight="1">
      <c r="B298" s="89"/>
      <c r="C298" s="90"/>
      <c r="D298" s="91"/>
      <c r="E298" s="92"/>
      <c r="F298" s="89"/>
      <c r="G298" s="89"/>
      <c r="H298" s="89"/>
      <c r="I298" s="89"/>
      <c r="J298" s="89"/>
      <c r="K298" s="89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</row>
    <row r="299" spans="2:23" s="14" customFormat="1" ht="17.100000000000001" customHeight="1">
      <c r="B299" s="89"/>
      <c r="C299" s="90"/>
      <c r="D299" s="91"/>
      <c r="E299" s="92"/>
      <c r="F299" s="89"/>
      <c r="G299" s="89"/>
      <c r="H299" s="89"/>
      <c r="I299" s="89"/>
      <c r="J299" s="89"/>
      <c r="K299" s="89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</row>
    <row r="300" spans="2:23" s="14" customFormat="1" ht="17.100000000000001" customHeight="1">
      <c r="B300" s="89"/>
      <c r="C300" s="90"/>
      <c r="D300" s="91"/>
      <c r="E300" s="92"/>
      <c r="F300" s="89"/>
      <c r="G300" s="89"/>
      <c r="H300" s="89"/>
      <c r="I300" s="89"/>
      <c r="J300" s="89"/>
      <c r="K300" s="89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</row>
    <row r="301" spans="2:23" s="14" customFormat="1" ht="17.100000000000001" customHeight="1">
      <c r="B301" s="89"/>
      <c r="C301" s="90"/>
      <c r="D301" s="91"/>
      <c r="E301" s="92"/>
      <c r="F301" s="89"/>
      <c r="G301" s="89"/>
      <c r="H301" s="89"/>
      <c r="I301" s="89"/>
      <c r="J301" s="89"/>
      <c r="K301" s="89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</row>
    <row r="302" spans="2:23" s="14" customFormat="1" ht="17.100000000000001" customHeight="1">
      <c r="B302" s="89"/>
      <c r="C302" s="90"/>
      <c r="D302" s="91"/>
      <c r="E302" s="92"/>
      <c r="F302" s="89"/>
      <c r="G302" s="89"/>
      <c r="H302" s="89"/>
      <c r="I302" s="89"/>
      <c r="J302" s="89"/>
      <c r="K302" s="89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</row>
    <row r="303" spans="2:23" s="14" customFormat="1" ht="17.100000000000001" customHeight="1">
      <c r="B303" s="89"/>
      <c r="C303" s="90"/>
      <c r="D303" s="91"/>
      <c r="E303" s="92"/>
      <c r="F303" s="89"/>
      <c r="G303" s="89"/>
      <c r="H303" s="89"/>
      <c r="I303" s="89"/>
      <c r="J303" s="89"/>
      <c r="K303" s="89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</row>
    <row r="304" spans="2:23" s="14" customFormat="1" ht="17.100000000000001" customHeight="1">
      <c r="B304" s="89"/>
      <c r="C304" s="90"/>
      <c r="D304" s="91"/>
      <c r="E304" s="92"/>
      <c r="F304" s="89"/>
      <c r="G304" s="89"/>
      <c r="H304" s="89"/>
      <c r="I304" s="89"/>
      <c r="J304" s="89"/>
      <c r="K304" s="89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</row>
    <row r="305" spans="2:23" s="14" customFormat="1" ht="17.100000000000001" customHeight="1">
      <c r="B305" s="89"/>
      <c r="C305" s="90"/>
      <c r="D305" s="91"/>
      <c r="E305" s="92"/>
      <c r="F305" s="89"/>
      <c r="G305" s="89"/>
      <c r="H305" s="89"/>
      <c r="I305" s="89"/>
      <c r="J305" s="89"/>
      <c r="K305" s="89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</row>
    <row r="306" spans="2:23" s="14" customFormat="1" ht="17.100000000000001" customHeight="1">
      <c r="B306" s="89"/>
      <c r="C306" s="90"/>
      <c r="D306" s="91"/>
      <c r="E306" s="92"/>
      <c r="F306" s="89"/>
      <c r="G306" s="89"/>
      <c r="H306" s="89"/>
      <c r="I306" s="89"/>
      <c r="J306" s="89"/>
      <c r="K306" s="89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</row>
    <row r="307" spans="2:23" s="14" customFormat="1" ht="17.100000000000001" customHeight="1">
      <c r="B307" s="89"/>
      <c r="C307" s="90"/>
      <c r="D307" s="91"/>
      <c r="E307" s="92"/>
      <c r="F307" s="89"/>
      <c r="G307" s="89"/>
      <c r="H307" s="89"/>
      <c r="I307" s="89"/>
      <c r="J307" s="89"/>
      <c r="K307" s="89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</row>
    <row r="308" spans="2:23" s="14" customFormat="1" ht="17.100000000000001" customHeight="1">
      <c r="B308" s="89"/>
      <c r="C308" s="90"/>
      <c r="D308" s="91"/>
      <c r="E308" s="92"/>
      <c r="F308" s="89"/>
      <c r="G308" s="89"/>
      <c r="H308" s="89"/>
      <c r="I308" s="89"/>
      <c r="J308" s="89"/>
      <c r="K308" s="89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</row>
    <row r="309" spans="2:23" s="14" customFormat="1" ht="17.100000000000001" customHeight="1">
      <c r="B309" s="89"/>
      <c r="C309" s="90"/>
      <c r="D309" s="91"/>
      <c r="E309" s="92"/>
      <c r="F309" s="89"/>
      <c r="G309" s="89"/>
      <c r="H309" s="89"/>
      <c r="I309" s="89"/>
      <c r="J309" s="89"/>
      <c r="K309" s="89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</row>
    <row r="310" spans="2:23" s="14" customFormat="1" ht="17.100000000000001" customHeight="1">
      <c r="B310" s="89"/>
      <c r="C310" s="90"/>
      <c r="D310" s="91"/>
      <c r="E310" s="92"/>
      <c r="F310" s="89"/>
      <c r="G310" s="89"/>
      <c r="H310" s="89"/>
      <c r="I310" s="89"/>
      <c r="J310" s="89"/>
      <c r="K310" s="89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</row>
    <row r="311" spans="2:23" s="14" customFormat="1" ht="17.100000000000001" customHeight="1">
      <c r="B311" s="89"/>
      <c r="C311" s="90"/>
      <c r="D311" s="91"/>
      <c r="E311" s="92"/>
      <c r="F311" s="89"/>
      <c r="G311" s="89"/>
      <c r="H311" s="89"/>
      <c r="I311" s="89"/>
      <c r="J311" s="89"/>
      <c r="K311" s="89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</row>
    <row r="312" spans="2:23" s="14" customFormat="1" ht="17.100000000000001" customHeight="1">
      <c r="B312" s="89"/>
      <c r="C312" s="90"/>
      <c r="D312" s="91"/>
      <c r="E312" s="92"/>
      <c r="F312" s="89"/>
      <c r="G312" s="89"/>
      <c r="H312" s="89"/>
      <c r="I312" s="89"/>
      <c r="J312" s="89"/>
      <c r="K312" s="89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</row>
    <row r="313" spans="2:23" s="14" customFormat="1" ht="17.100000000000001" customHeight="1">
      <c r="B313" s="89"/>
      <c r="C313" s="90"/>
      <c r="D313" s="91"/>
      <c r="E313" s="92"/>
      <c r="F313" s="89"/>
      <c r="G313" s="89"/>
      <c r="H313" s="89"/>
      <c r="I313" s="89"/>
      <c r="J313" s="89"/>
      <c r="K313" s="89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</row>
    <row r="314" spans="2:23" s="14" customFormat="1" ht="17.100000000000001" customHeight="1">
      <c r="B314" s="89"/>
      <c r="C314" s="90"/>
      <c r="D314" s="91"/>
      <c r="E314" s="92"/>
      <c r="F314" s="89"/>
      <c r="G314" s="89"/>
      <c r="H314" s="89"/>
      <c r="I314" s="89"/>
      <c r="J314" s="89"/>
      <c r="K314" s="89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</row>
    <row r="315" spans="2:23" s="14" customFormat="1" ht="17.100000000000001" customHeight="1">
      <c r="B315" s="89"/>
      <c r="C315" s="90"/>
      <c r="D315" s="91"/>
      <c r="E315" s="92"/>
      <c r="F315" s="89"/>
      <c r="G315" s="89"/>
      <c r="H315" s="89"/>
      <c r="I315" s="89"/>
      <c r="J315" s="89"/>
      <c r="K315" s="89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</row>
    <row r="316" spans="2:23" s="14" customFormat="1" ht="17.100000000000001" customHeight="1">
      <c r="B316" s="89"/>
      <c r="C316" s="90"/>
      <c r="D316" s="91"/>
      <c r="E316" s="92"/>
      <c r="F316" s="89"/>
      <c r="G316" s="89"/>
      <c r="H316" s="89"/>
      <c r="I316" s="89"/>
      <c r="J316" s="89"/>
      <c r="K316" s="89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</row>
    <row r="317" spans="2:23" s="14" customFormat="1" ht="17.100000000000001" customHeight="1">
      <c r="B317" s="89"/>
      <c r="C317" s="90"/>
      <c r="D317" s="91"/>
      <c r="E317" s="92"/>
      <c r="F317" s="89"/>
      <c r="G317" s="89"/>
      <c r="H317" s="89"/>
      <c r="I317" s="89"/>
      <c r="J317" s="89"/>
      <c r="K317" s="89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</row>
    <row r="318" spans="2:23" s="14" customFormat="1" ht="17.100000000000001" customHeight="1">
      <c r="B318" s="89"/>
      <c r="C318" s="90"/>
      <c r="D318" s="91"/>
      <c r="E318" s="92"/>
      <c r="F318" s="89"/>
      <c r="G318" s="89"/>
      <c r="H318" s="89"/>
      <c r="I318" s="89"/>
      <c r="J318" s="89"/>
      <c r="K318" s="89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</row>
    <row r="319" spans="2:23" s="14" customFormat="1" ht="17.100000000000001" customHeight="1">
      <c r="B319" s="89"/>
      <c r="C319" s="90"/>
      <c r="D319" s="91"/>
      <c r="E319" s="92"/>
      <c r="F319" s="89"/>
      <c r="G319" s="89"/>
      <c r="H319" s="89"/>
      <c r="I319" s="89"/>
      <c r="J319" s="89"/>
      <c r="K319" s="89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</row>
    <row r="320" spans="2:23" s="14" customFormat="1" ht="17.100000000000001" customHeight="1">
      <c r="B320" s="89"/>
      <c r="C320" s="90"/>
      <c r="D320" s="91"/>
      <c r="E320" s="92"/>
      <c r="F320" s="89"/>
      <c r="G320" s="89"/>
      <c r="H320" s="89"/>
      <c r="I320" s="89"/>
      <c r="J320" s="89"/>
      <c r="K320" s="89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</row>
    <row r="321" spans="2:23" s="14" customFormat="1" ht="17.100000000000001" customHeight="1">
      <c r="B321" s="89"/>
      <c r="C321" s="90"/>
      <c r="D321" s="91"/>
      <c r="E321" s="92"/>
      <c r="F321" s="89"/>
      <c r="G321" s="89"/>
      <c r="H321" s="89"/>
      <c r="I321" s="89"/>
      <c r="J321" s="89"/>
      <c r="K321" s="89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</row>
    <row r="322" spans="2:23" s="14" customFormat="1" ht="17.100000000000001" customHeight="1">
      <c r="B322" s="89"/>
      <c r="C322" s="90"/>
      <c r="D322" s="91"/>
      <c r="E322" s="92"/>
      <c r="F322" s="89"/>
      <c r="G322" s="89"/>
      <c r="H322" s="89"/>
      <c r="I322" s="89"/>
      <c r="J322" s="89"/>
      <c r="K322" s="89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</row>
    <row r="323" spans="2:23" s="14" customFormat="1" ht="17.100000000000001" customHeight="1">
      <c r="B323" s="89"/>
      <c r="C323" s="90"/>
      <c r="D323" s="91"/>
      <c r="E323" s="92"/>
      <c r="F323" s="89"/>
      <c r="G323" s="89"/>
      <c r="H323" s="89"/>
      <c r="I323" s="89"/>
      <c r="J323" s="89"/>
      <c r="K323" s="89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</row>
    <row r="324" spans="2:23" s="14" customFormat="1" ht="17.100000000000001" customHeight="1">
      <c r="B324" s="89"/>
      <c r="C324" s="90"/>
      <c r="D324" s="91"/>
      <c r="E324" s="92"/>
      <c r="F324" s="89"/>
      <c r="G324" s="89"/>
      <c r="H324" s="89"/>
      <c r="I324" s="89"/>
      <c r="J324" s="89"/>
      <c r="K324" s="89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</row>
    <row r="325" spans="2:23" s="14" customFormat="1" ht="17.100000000000001" customHeight="1">
      <c r="B325" s="89"/>
      <c r="C325" s="90"/>
      <c r="D325" s="91"/>
      <c r="E325" s="92"/>
      <c r="F325" s="89"/>
      <c r="G325" s="89"/>
      <c r="H325" s="89"/>
      <c r="I325" s="89"/>
      <c r="J325" s="89"/>
      <c r="K325" s="89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</row>
    <row r="326" spans="2:23" s="14" customFormat="1" ht="17.100000000000001" customHeight="1">
      <c r="B326" s="89"/>
      <c r="C326" s="90"/>
      <c r="D326" s="91"/>
      <c r="E326" s="92"/>
      <c r="F326" s="89"/>
      <c r="G326" s="89"/>
      <c r="H326" s="89"/>
      <c r="I326" s="89"/>
      <c r="J326" s="89"/>
      <c r="K326" s="89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</row>
    <row r="327" spans="2:23" s="14" customFormat="1" ht="17.100000000000001" customHeight="1">
      <c r="B327" s="89"/>
      <c r="C327" s="90"/>
      <c r="D327" s="91"/>
      <c r="E327" s="92"/>
      <c r="F327" s="89"/>
      <c r="G327" s="89"/>
      <c r="H327" s="89"/>
      <c r="I327" s="89"/>
      <c r="J327" s="89"/>
      <c r="K327" s="89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</row>
    <row r="328" spans="2:23" s="14" customFormat="1" ht="17.100000000000001" customHeight="1">
      <c r="B328" s="89"/>
      <c r="C328" s="90"/>
      <c r="D328" s="91"/>
      <c r="E328" s="92"/>
      <c r="F328" s="89"/>
      <c r="G328" s="89"/>
      <c r="H328" s="89"/>
      <c r="I328" s="89"/>
      <c r="J328" s="89"/>
      <c r="K328" s="89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</row>
    <row r="329" spans="2:23" s="14" customFormat="1" ht="17.100000000000001" customHeight="1">
      <c r="B329" s="89"/>
      <c r="C329" s="90"/>
      <c r="D329" s="91"/>
      <c r="E329" s="92"/>
      <c r="F329" s="89"/>
      <c r="G329" s="89"/>
      <c r="H329" s="89"/>
      <c r="I329" s="89"/>
      <c r="J329" s="89"/>
      <c r="K329" s="89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</row>
    <row r="330" spans="2:23" s="14" customFormat="1" ht="17.100000000000001" customHeight="1">
      <c r="B330" s="89"/>
      <c r="C330" s="90"/>
      <c r="D330" s="91"/>
      <c r="E330" s="92"/>
      <c r="F330" s="89"/>
      <c r="G330" s="89"/>
      <c r="H330" s="89"/>
      <c r="I330" s="89"/>
      <c r="J330" s="89"/>
      <c r="K330" s="89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</row>
    <row r="331" spans="2:23" s="14" customFormat="1" ht="17.100000000000001" customHeight="1">
      <c r="B331" s="89"/>
      <c r="C331" s="90"/>
      <c r="D331" s="91"/>
      <c r="E331" s="92"/>
      <c r="F331" s="89"/>
      <c r="G331" s="89"/>
      <c r="H331" s="89"/>
      <c r="I331" s="89"/>
      <c r="J331" s="89"/>
      <c r="K331" s="89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</row>
    <row r="332" spans="2:23" s="14" customFormat="1" ht="17.100000000000001" customHeight="1">
      <c r="B332" s="89"/>
      <c r="C332" s="90"/>
      <c r="D332" s="91"/>
      <c r="E332" s="92"/>
      <c r="F332" s="89"/>
      <c r="G332" s="89"/>
      <c r="H332" s="89"/>
      <c r="I332" s="89"/>
      <c r="J332" s="89"/>
      <c r="K332" s="89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</row>
    <row r="333" spans="2:23" s="14" customFormat="1" ht="17.100000000000001" customHeight="1">
      <c r="B333" s="89"/>
      <c r="C333" s="90"/>
      <c r="D333" s="91"/>
      <c r="E333" s="92"/>
      <c r="F333" s="89"/>
      <c r="G333" s="89"/>
      <c r="H333" s="89"/>
      <c r="I333" s="89"/>
      <c r="J333" s="89"/>
      <c r="K333" s="89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</row>
    <row r="334" spans="2:23" s="14" customFormat="1" ht="17.100000000000001" customHeight="1">
      <c r="B334" s="89"/>
      <c r="C334" s="90"/>
      <c r="D334" s="91"/>
      <c r="E334" s="92"/>
      <c r="F334" s="89"/>
      <c r="G334" s="89"/>
      <c r="H334" s="89"/>
      <c r="I334" s="89"/>
      <c r="J334" s="89"/>
      <c r="K334" s="89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</row>
    <row r="335" spans="2:23" s="14" customFormat="1" ht="17.100000000000001" customHeight="1">
      <c r="B335" s="89"/>
      <c r="C335" s="90"/>
      <c r="D335" s="91"/>
      <c r="E335" s="92"/>
      <c r="F335" s="89"/>
      <c r="G335" s="89"/>
      <c r="H335" s="89"/>
      <c r="I335" s="89"/>
      <c r="J335" s="89"/>
      <c r="K335" s="89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</row>
    <row r="336" spans="2:23" s="14" customFormat="1" ht="17.100000000000001" customHeight="1">
      <c r="B336" s="89"/>
      <c r="C336" s="90"/>
      <c r="D336" s="91"/>
      <c r="E336" s="92"/>
      <c r="F336" s="89"/>
      <c r="G336" s="89"/>
      <c r="H336" s="89"/>
      <c r="I336" s="89"/>
      <c r="J336" s="89"/>
      <c r="K336" s="89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</row>
    <row r="337" spans="2:23" s="14" customFormat="1" ht="17.100000000000001" customHeight="1">
      <c r="B337" s="89"/>
      <c r="C337" s="90"/>
      <c r="D337" s="91"/>
      <c r="E337" s="92"/>
      <c r="F337" s="89"/>
      <c r="G337" s="89"/>
      <c r="H337" s="89"/>
      <c r="I337" s="89"/>
      <c r="J337" s="89"/>
      <c r="K337" s="89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</row>
    <row r="338" spans="2:23" s="14" customFormat="1" ht="17.100000000000001" customHeight="1">
      <c r="B338" s="89"/>
      <c r="C338" s="90"/>
      <c r="D338" s="91"/>
      <c r="E338" s="92"/>
      <c r="F338" s="89"/>
      <c r="G338" s="89"/>
      <c r="H338" s="89"/>
      <c r="I338" s="89"/>
      <c r="J338" s="89"/>
      <c r="K338" s="89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</row>
    <row r="339" spans="2:23" s="14" customFormat="1" ht="17.100000000000001" customHeight="1">
      <c r="B339" s="89"/>
      <c r="C339" s="90"/>
      <c r="D339" s="91"/>
      <c r="E339" s="92"/>
      <c r="F339" s="89"/>
      <c r="G339" s="89"/>
      <c r="H339" s="89"/>
      <c r="I339" s="89"/>
      <c r="J339" s="89"/>
      <c r="K339" s="89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</row>
    <row r="340" spans="2:23" s="14" customFormat="1" ht="17.100000000000001" customHeight="1">
      <c r="B340" s="89"/>
      <c r="C340" s="90"/>
      <c r="D340" s="91"/>
      <c r="E340" s="92"/>
      <c r="F340" s="89"/>
      <c r="G340" s="89"/>
      <c r="H340" s="89"/>
      <c r="I340" s="89"/>
      <c r="J340" s="89"/>
      <c r="K340" s="89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</row>
    <row r="341" spans="2:23" s="14" customFormat="1" ht="17.100000000000001" customHeight="1">
      <c r="B341" s="89"/>
      <c r="C341" s="90"/>
      <c r="D341" s="91"/>
      <c r="E341" s="92"/>
      <c r="F341" s="89"/>
      <c r="G341" s="89"/>
      <c r="H341" s="89"/>
      <c r="I341" s="89"/>
      <c r="J341" s="89"/>
      <c r="K341" s="89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</row>
    <row r="342" spans="2:23" s="14" customFormat="1" ht="17.100000000000001" customHeight="1">
      <c r="B342" s="89"/>
      <c r="C342" s="90"/>
      <c r="D342" s="91"/>
      <c r="E342" s="92"/>
      <c r="F342" s="89"/>
      <c r="G342" s="89"/>
      <c r="H342" s="89"/>
      <c r="I342" s="89"/>
      <c r="J342" s="89"/>
      <c r="K342" s="89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</row>
    <row r="343" spans="2:23" s="14" customFormat="1" ht="17.100000000000001" customHeight="1">
      <c r="B343" s="89"/>
      <c r="C343" s="90"/>
      <c r="D343" s="91"/>
      <c r="E343" s="92"/>
      <c r="F343" s="89"/>
      <c r="G343" s="89"/>
      <c r="H343" s="89"/>
      <c r="I343" s="89"/>
      <c r="J343" s="89"/>
      <c r="K343" s="89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</row>
    <row r="344" spans="2:23" s="14" customFormat="1" ht="17.100000000000001" customHeight="1">
      <c r="B344" s="89"/>
      <c r="C344" s="90"/>
      <c r="D344" s="91"/>
      <c r="E344" s="92"/>
      <c r="F344" s="89"/>
      <c r="G344" s="89"/>
      <c r="H344" s="89"/>
      <c r="I344" s="89"/>
      <c r="J344" s="89"/>
      <c r="K344" s="89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</row>
    <row r="345" spans="2:23" s="14" customFormat="1" ht="17.100000000000001" customHeight="1">
      <c r="B345" s="89"/>
      <c r="C345" s="90"/>
      <c r="D345" s="91"/>
      <c r="E345" s="92"/>
      <c r="F345" s="89"/>
      <c r="G345" s="89"/>
      <c r="H345" s="89"/>
      <c r="I345" s="89"/>
      <c r="J345" s="89"/>
      <c r="K345" s="89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</row>
    <row r="346" spans="2:23" s="14" customFormat="1" ht="17.100000000000001" customHeight="1">
      <c r="B346" s="89"/>
      <c r="C346" s="90"/>
      <c r="D346" s="91"/>
      <c r="E346" s="92"/>
      <c r="F346" s="89"/>
      <c r="G346" s="89"/>
      <c r="H346" s="89"/>
      <c r="I346" s="89"/>
      <c r="J346" s="89"/>
      <c r="K346" s="89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</row>
    <row r="347" spans="2:23" s="14" customFormat="1" ht="17.100000000000001" customHeight="1">
      <c r="B347" s="89"/>
      <c r="C347" s="90"/>
      <c r="D347" s="91"/>
      <c r="E347" s="92"/>
      <c r="F347" s="89"/>
      <c r="G347" s="89"/>
      <c r="H347" s="89"/>
      <c r="I347" s="89"/>
      <c r="J347" s="89"/>
      <c r="K347" s="89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</row>
    <row r="348" spans="2:23" s="14" customFormat="1" ht="17.100000000000001" customHeight="1">
      <c r="B348" s="89"/>
      <c r="C348" s="90"/>
      <c r="D348" s="91"/>
      <c r="E348" s="92"/>
      <c r="F348" s="89"/>
      <c r="G348" s="89"/>
      <c r="H348" s="89"/>
      <c r="I348" s="89"/>
      <c r="J348" s="89"/>
      <c r="K348" s="89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</row>
    <row r="349" spans="2:23" s="14" customFormat="1" ht="17.100000000000001" customHeight="1">
      <c r="B349" s="89"/>
      <c r="C349" s="90"/>
      <c r="D349" s="91"/>
      <c r="E349" s="92"/>
      <c r="F349" s="89"/>
      <c r="G349" s="89"/>
      <c r="H349" s="89"/>
      <c r="I349" s="89"/>
      <c r="J349" s="89"/>
      <c r="K349" s="89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</row>
    <row r="350" spans="2:23" s="14" customFormat="1" ht="17.100000000000001" customHeight="1">
      <c r="B350" s="89"/>
      <c r="C350" s="90"/>
      <c r="D350" s="91"/>
      <c r="E350" s="92"/>
      <c r="F350" s="89"/>
      <c r="G350" s="89"/>
      <c r="H350" s="89"/>
      <c r="I350" s="89"/>
      <c r="J350" s="89"/>
      <c r="K350" s="89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</row>
    <row r="351" spans="2:23" s="14" customFormat="1" ht="17.100000000000001" customHeight="1">
      <c r="B351" s="89"/>
      <c r="C351" s="90"/>
      <c r="D351" s="91"/>
      <c r="E351" s="92"/>
      <c r="F351" s="89"/>
      <c r="G351" s="89"/>
      <c r="H351" s="89"/>
      <c r="I351" s="89"/>
      <c r="J351" s="89"/>
      <c r="K351" s="89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</row>
    <row r="352" spans="2:23" s="14" customFormat="1" ht="17.100000000000001" customHeight="1">
      <c r="B352" s="89"/>
      <c r="C352" s="90"/>
      <c r="D352" s="91"/>
      <c r="E352" s="92"/>
      <c r="F352" s="89"/>
      <c r="G352" s="89"/>
      <c r="H352" s="89"/>
      <c r="I352" s="89"/>
      <c r="J352" s="89"/>
      <c r="K352" s="89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</row>
    <row r="353" spans="2:23" s="14" customFormat="1" ht="17.100000000000001" customHeight="1">
      <c r="B353" s="89"/>
      <c r="C353" s="90"/>
      <c r="D353" s="91"/>
      <c r="E353" s="92"/>
      <c r="F353" s="89"/>
      <c r="G353" s="89"/>
      <c r="H353" s="89"/>
      <c r="I353" s="89"/>
      <c r="J353" s="89"/>
      <c r="K353" s="89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</row>
    <row r="354" spans="2:23" s="14" customFormat="1" ht="17.100000000000001" customHeight="1">
      <c r="B354" s="89"/>
      <c r="C354" s="90"/>
      <c r="D354" s="91"/>
      <c r="E354" s="92"/>
      <c r="F354" s="89"/>
      <c r="G354" s="89"/>
      <c r="H354" s="89"/>
      <c r="I354" s="89"/>
      <c r="J354" s="89"/>
      <c r="K354" s="89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</row>
    <row r="355" spans="2:23" s="14" customFormat="1" ht="17.100000000000001" customHeight="1">
      <c r="B355" s="89"/>
      <c r="C355" s="90"/>
      <c r="D355" s="91"/>
      <c r="E355" s="92"/>
      <c r="F355" s="89"/>
      <c r="G355" s="89"/>
      <c r="H355" s="89"/>
      <c r="I355" s="89"/>
      <c r="J355" s="89"/>
      <c r="K355" s="89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</row>
    <row r="356" spans="2:23" s="14" customFormat="1" ht="17.100000000000001" customHeight="1">
      <c r="B356" s="89"/>
      <c r="C356" s="90"/>
      <c r="D356" s="91"/>
      <c r="E356" s="92"/>
      <c r="F356" s="89"/>
      <c r="G356" s="89"/>
      <c r="H356" s="89"/>
      <c r="I356" s="89"/>
      <c r="J356" s="89"/>
      <c r="K356" s="89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</row>
    <row r="357" spans="2:23" s="14" customFormat="1" ht="17.100000000000001" customHeight="1">
      <c r="B357" s="89"/>
      <c r="C357" s="90"/>
      <c r="D357" s="91"/>
      <c r="E357" s="92"/>
      <c r="F357" s="89"/>
      <c r="G357" s="89"/>
      <c r="H357" s="89"/>
      <c r="I357" s="89"/>
      <c r="J357" s="89"/>
      <c r="K357" s="89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</row>
    <row r="358" spans="2:23" s="14" customFormat="1" ht="17.100000000000001" customHeight="1">
      <c r="B358" s="89"/>
      <c r="C358" s="90"/>
      <c r="D358" s="91"/>
      <c r="E358" s="92"/>
      <c r="F358" s="89"/>
      <c r="G358" s="89"/>
      <c r="H358" s="89"/>
      <c r="I358" s="89"/>
      <c r="J358" s="89"/>
      <c r="K358" s="89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</row>
    <row r="359" spans="2:23" s="14" customFormat="1" ht="17.100000000000001" customHeight="1">
      <c r="B359" s="89"/>
      <c r="C359" s="90"/>
      <c r="D359" s="91"/>
      <c r="E359" s="92"/>
      <c r="F359" s="89"/>
      <c r="G359" s="89"/>
      <c r="H359" s="89"/>
      <c r="I359" s="89"/>
      <c r="J359" s="89"/>
      <c r="K359" s="89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</row>
    <row r="360" spans="2:23" s="14" customFormat="1" ht="17.100000000000001" customHeight="1">
      <c r="B360" s="89"/>
      <c r="C360" s="90"/>
      <c r="D360" s="91"/>
      <c r="E360" s="92"/>
      <c r="F360" s="89"/>
      <c r="G360" s="89"/>
      <c r="H360" s="89"/>
      <c r="I360" s="89"/>
      <c r="J360" s="89"/>
      <c r="K360" s="89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</row>
    <row r="361" spans="2:23" s="14" customFormat="1" ht="17.100000000000001" customHeight="1">
      <c r="B361" s="89"/>
      <c r="C361" s="90"/>
      <c r="D361" s="91"/>
      <c r="E361" s="92"/>
      <c r="F361" s="89"/>
      <c r="G361" s="89"/>
      <c r="H361" s="89"/>
      <c r="I361" s="89"/>
      <c r="J361" s="89"/>
      <c r="K361" s="89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</row>
    <row r="362" spans="2:23" s="14" customFormat="1" ht="17.100000000000001" customHeight="1">
      <c r="B362" s="89"/>
      <c r="C362" s="90"/>
      <c r="D362" s="91"/>
      <c r="E362" s="92"/>
      <c r="F362" s="89"/>
      <c r="G362" s="89"/>
      <c r="H362" s="89"/>
      <c r="I362" s="89"/>
      <c r="J362" s="89"/>
      <c r="K362" s="89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</row>
    <row r="363" spans="2:23" s="14" customFormat="1" ht="17.100000000000001" customHeight="1">
      <c r="B363" s="89"/>
      <c r="C363" s="90"/>
      <c r="D363" s="91"/>
      <c r="E363" s="92"/>
      <c r="F363" s="89"/>
      <c r="G363" s="89"/>
      <c r="H363" s="89"/>
      <c r="I363" s="89"/>
      <c r="J363" s="89"/>
      <c r="K363" s="89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</row>
    <row r="364" spans="2:23" s="14" customFormat="1" ht="17.100000000000001" customHeight="1">
      <c r="B364" s="89"/>
      <c r="C364" s="90"/>
      <c r="D364" s="91"/>
      <c r="E364" s="92"/>
      <c r="F364" s="89"/>
      <c r="G364" s="89"/>
      <c r="H364" s="89"/>
      <c r="I364" s="89"/>
      <c r="J364" s="89"/>
      <c r="K364" s="89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</row>
    <row r="365" spans="2:23" s="14" customFormat="1" ht="17.100000000000001" customHeight="1">
      <c r="B365" s="89"/>
      <c r="C365" s="90"/>
      <c r="D365" s="91"/>
      <c r="E365" s="92"/>
      <c r="F365" s="89"/>
      <c r="G365" s="89"/>
      <c r="H365" s="89"/>
      <c r="I365" s="89"/>
      <c r="J365" s="89"/>
      <c r="K365" s="89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</row>
    <row r="366" spans="2:23" s="14" customFormat="1" ht="17.100000000000001" customHeight="1">
      <c r="B366" s="89"/>
      <c r="C366" s="90"/>
      <c r="D366" s="91"/>
      <c r="E366" s="92"/>
      <c r="F366" s="89"/>
      <c r="G366" s="89"/>
      <c r="H366" s="89"/>
      <c r="I366" s="89"/>
      <c r="J366" s="89"/>
      <c r="K366" s="89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</row>
    <row r="367" spans="2:23" s="14" customFormat="1" ht="17.100000000000001" customHeight="1">
      <c r="B367" s="89"/>
      <c r="C367" s="90"/>
      <c r="D367" s="91"/>
      <c r="E367" s="92"/>
      <c r="F367" s="89"/>
      <c r="G367" s="89"/>
      <c r="H367" s="89"/>
      <c r="I367" s="89"/>
      <c r="J367" s="89"/>
      <c r="K367" s="89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</row>
    <row r="368" spans="2:23" s="14" customFormat="1" ht="17.100000000000001" customHeight="1">
      <c r="B368" s="89"/>
      <c r="C368" s="90"/>
      <c r="D368" s="91"/>
      <c r="E368" s="92"/>
      <c r="F368" s="89"/>
      <c r="G368" s="89"/>
      <c r="H368" s="89"/>
      <c r="I368" s="89"/>
      <c r="J368" s="89"/>
      <c r="K368" s="89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</row>
    <row r="369" spans="2:23" s="14" customFormat="1" ht="17.100000000000001" customHeight="1">
      <c r="B369" s="89"/>
      <c r="C369" s="90"/>
      <c r="D369" s="91"/>
      <c r="E369" s="92"/>
      <c r="F369" s="89"/>
      <c r="G369" s="89"/>
      <c r="H369" s="89"/>
      <c r="I369" s="89"/>
      <c r="J369" s="89"/>
      <c r="K369" s="89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</row>
    <row r="370" spans="2:23" s="14" customFormat="1" ht="17.100000000000001" customHeight="1">
      <c r="B370" s="89"/>
      <c r="C370" s="90"/>
      <c r="D370" s="91"/>
      <c r="E370" s="92"/>
      <c r="F370" s="89"/>
      <c r="G370" s="89"/>
      <c r="H370" s="89"/>
      <c r="I370" s="89"/>
      <c r="J370" s="89"/>
      <c r="K370" s="89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</row>
    <row r="371" spans="2:23" s="14" customFormat="1" ht="17.100000000000001" customHeight="1">
      <c r="B371" s="89"/>
      <c r="C371" s="90"/>
      <c r="D371" s="91"/>
      <c r="E371" s="92"/>
      <c r="F371" s="89"/>
      <c r="G371" s="89"/>
      <c r="H371" s="89"/>
      <c r="I371" s="89"/>
      <c r="J371" s="89"/>
      <c r="K371" s="89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</row>
    <row r="372" spans="2:23" s="14" customFormat="1" ht="17.100000000000001" customHeight="1">
      <c r="B372" s="89"/>
      <c r="C372" s="90"/>
      <c r="D372" s="91"/>
      <c r="E372" s="92"/>
      <c r="F372" s="89"/>
      <c r="G372" s="89"/>
      <c r="H372" s="89"/>
      <c r="I372" s="89"/>
      <c r="J372" s="89"/>
      <c r="K372" s="89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</row>
    <row r="373" spans="2:23" s="14" customFormat="1" ht="17.100000000000001" customHeight="1">
      <c r="B373" s="89"/>
      <c r="C373" s="90"/>
      <c r="D373" s="91"/>
      <c r="E373" s="92"/>
      <c r="F373" s="89"/>
      <c r="G373" s="89"/>
      <c r="H373" s="89"/>
      <c r="I373" s="89"/>
      <c r="J373" s="89"/>
      <c r="K373" s="89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</row>
    <row r="374" spans="2:23" s="14" customFormat="1" ht="17.100000000000001" customHeight="1">
      <c r="B374" s="89"/>
      <c r="C374" s="90"/>
      <c r="D374" s="91"/>
      <c r="E374" s="92"/>
      <c r="F374" s="89"/>
      <c r="G374" s="89"/>
      <c r="H374" s="89"/>
      <c r="I374" s="89"/>
      <c r="J374" s="89"/>
      <c r="K374" s="89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</row>
    <row r="375" spans="2:23" s="14" customFormat="1" ht="17.100000000000001" customHeight="1">
      <c r="B375" s="89"/>
      <c r="C375" s="90"/>
      <c r="D375" s="91"/>
      <c r="E375" s="92"/>
      <c r="F375" s="89"/>
      <c r="G375" s="89"/>
      <c r="H375" s="89"/>
      <c r="I375" s="89"/>
      <c r="J375" s="89"/>
      <c r="K375" s="89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</row>
    <row r="376" spans="2:23" s="14" customFormat="1" ht="17.100000000000001" customHeight="1">
      <c r="B376" s="89"/>
      <c r="C376" s="90"/>
      <c r="D376" s="91"/>
      <c r="E376" s="92"/>
      <c r="F376" s="89"/>
      <c r="G376" s="89"/>
      <c r="H376" s="89"/>
      <c r="I376" s="89"/>
      <c r="J376" s="89"/>
      <c r="K376" s="89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</row>
    <row r="377" spans="2:23" s="14" customFormat="1" ht="17.100000000000001" customHeight="1">
      <c r="B377" s="89"/>
      <c r="C377" s="90"/>
      <c r="D377" s="91"/>
      <c r="E377" s="92"/>
      <c r="F377" s="89"/>
      <c r="G377" s="89"/>
      <c r="H377" s="89"/>
      <c r="I377" s="89"/>
      <c r="J377" s="89"/>
      <c r="K377" s="89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</row>
    <row r="378" spans="2:23" s="14" customFormat="1" ht="17.100000000000001" customHeight="1">
      <c r="B378" s="89"/>
      <c r="C378" s="90"/>
      <c r="D378" s="91"/>
      <c r="E378" s="92"/>
      <c r="F378" s="89"/>
      <c r="G378" s="89"/>
      <c r="H378" s="89"/>
      <c r="I378" s="89"/>
      <c r="J378" s="89"/>
      <c r="K378" s="89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</row>
    <row r="379" spans="2:23" s="14" customFormat="1" ht="17.100000000000001" customHeight="1">
      <c r="B379" s="89"/>
      <c r="C379" s="90"/>
      <c r="D379" s="91"/>
      <c r="E379" s="92"/>
      <c r="F379" s="89"/>
      <c r="G379" s="89"/>
      <c r="H379" s="89"/>
      <c r="I379" s="89"/>
      <c r="J379" s="89"/>
      <c r="K379" s="89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</row>
    <row r="380" spans="2:23" s="14" customFormat="1" ht="17.100000000000001" customHeight="1">
      <c r="B380" s="89"/>
      <c r="C380" s="90"/>
      <c r="D380" s="91"/>
      <c r="E380" s="92"/>
      <c r="F380" s="89"/>
      <c r="G380" s="89"/>
      <c r="H380" s="89"/>
      <c r="I380" s="89"/>
      <c r="J380" s="89"/>
      <c r="K380" s="89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</row>
    <row r="381" spans="2:23" s="14" customFormat="1" ht="17.100000000000001" customHeight="1">
      <c r="B381" s="89"/>
      <c r="C381" s="90"/>
      <c r="D381" s="91"/>
      <c r="E381" s="92"/>
      <c r="F381" s="89"/>
      <c r="G381" s="89"/>
      <c r="H381" s="89"/>
      <c r="I381" s="89"/>
      <c r="J381" s="89"/>
      <c r="K381" s="89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</row>
    <row r="382" spans="2:23" s="14" customFormat="1" ht="17.100000000000001" customHeight="1">
      <c r="B382" s="89"/>
      <c r="C382" s="90"/>
      <c r="D382" s="91"/>
      <c r="E382" s="92"/>
      <c r="F382" s="89"/>
      <c r="G382" s="89"/>
      <c r="H382" s="89"/>
      <c r="I382" s="89"/>
      <c r="J382" s="89"/>
      <c r="K382" s="89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</row>
    <row r="383" spans="2:23" s="14" customFormat="1" ht="17.100000000000001" customHeight="1">
      <c r="B383" s="89"/>
      <c r="C383" s="90"/>
      <c r="D383" s="91"/>
      <c r="E383" s="92"/>
      <c r="F383" s="89"/>
      <c r="G383" s="89"/>
      <c r="H383" s="89"/>
      <c r="I383" s="89"/>
      <c r="J383" s="89"/>
      <c r="K383" s="89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</row>
    <row r="384" spans="2:23" s="14" customFormat="1" ht="17.100000000000001" customHeight="1">
      <c r="B384" s="89"/>
      <c r="C384" s="90"/>
      <c r="D384" s="91"/>
      <c r="E384" s="92"/>
      <c r="F384" s="89"/>
      <c r="G384" s="89"/>
      <c r="H384" s="89"/>
      <c r="I384" s="89"/>
      <c r="J384" s="89"/>
      <c r="K384" s="89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</row>
    <row r="385" spans="2:23" s="14" customFormat="1" ht="17.100000000000001" customHeight="1">
      <c r="B385" s="89"/>
      <c r="C385" s="90"/>
      <c r="D385" s="91"/>
      <c r="E385" s="92"/>
      <c r="F385" s="89"/>
      <c r="G385" s="89"/>
      <c r="H385" s="89"/>
      <c r="I385" s="89"/>
      <c r="J385" s="89"/>
      <c r="K385" s="89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</row>
    <row r="386" spans="2:23" s="14" customFormat="1" ht="17.100000000000001" customHeight="1">
      <c r="B386" s="89"/>
      <c r="C386" s="90"/>
      <c r="D386" s="91"/>
      <c r="E386" s="92"/>
      <c r="F386" s="89"/>
      <c r="G386" s="89"/>
      <c r="H386" s="89"/>
      <c r="I386" s="89"/>
      <c r="J386" s="89"/>
      <c r="K386" s="89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</row>
    <row r="387" spans="2:23" s="14" customFormat="1" ht="17.100000000000001" customHeight="1">
      <c r="B387" s="89"/>
      <c r="C387" s="90"/>
      <c r="D387" s="91"/>
      <c r="E387" s="92"/>
      <c r="F387" s="89"/>
      <c r="G387" s="89"/>
      <c r="H387" s="89"/>
      <c r="I387" s="89"/>
      <c r="J387" s="89"/>
      <c r="K387" s="89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</row>
    <row r="388" spans="2:23" s="14" customFormat="1" ht="17.100000000000001" customHeight="1">
      <c r="B388" s="89"/>
      <c r="C388" s="90"/>
      <c r="D388" s="91"/>
      <c r="E388" s="92"/>
      <c r="F388" s="89"/>
      <c r="G388" s="89"/>
      <c r="H388" s="89"/>
      <c r="I388" s="89"/>
      <c r="J388" s="89"/>
      <c r="K388" s="89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</row>
    <row r="389" spans="2:23" s="14" customFormat="1" ht="17.100000000000001" customHeight="1">
      <c r="B389" s="89"/>
      <c r="C389" s="90"/>
      <c r="D389" s="91"/>
      <c r="E389" s="92"/>
      <c r="F389" s="89"/>
      <c r="G389" s="89"/>
      <c r="H389" s="89"/>
      <c r="I389" s="89"/>
      <c r="J389" s="89"/>
      <c r="K389" s="89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</row>
    <row r="390" spans="2:23" s="14" customFormat="1" ht="17.100000000000001" customHeight="1">
      <c r="B390" s="89"/>
      <c r="C390" s="90"/>
      <c r="D390" s="91"/>
      <c r="E390" s="92"/>
      <c r="F390" s="89"/>
      <c r="G390" s="89"/>
      <c r="H390" s="89"/>
      <c r="I390" s="89"/>
      <c r="J390" s="89"/>
      <c r="K390" s="89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</row>
    <row r="391" spans="2:23" s="14" customFormat="1" ht="17.100000000000001" customHeight="1">
      <c r="B391" s="89"/>
      <c r="C391" s="90"/>
      <c r="D391" s="91"/>
      <c r="E391" s="92"/>
      <c r="F391" s="89"/>
      <c r="G391" s="89"/>
      <c r="H391" s="89"/>
      <c r="I391" s="89"/>
      <c r="J391" s="89"/>
      <c r="K391" s="89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</row>
    <row r="392" spans="2:23" s="14" customFormat="1" ht="17.100000000000001" customHeight="1">
      <c r="B392" s="89"/>
      <c r="C392" s="90"/>
      <c r="D392" s="91"/>
      <c r="E392" s="92"/>
      <c r="F392" s="89"/>
      <c r="G392" s="89"/>
      <c r="H392" s="89"/>
      <c r="I392" s="89"/>
      <c r="J392" s="89"/>
      <c r="K392" s="89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</row>
    <row r="393" spans="2:23" s="14" customFormat="1" ht="17.100000000000001" customHeight="1">
      <c r="B393" s="89"/>
      <c r="C393" s="90"/>
      <c r="D393" s="91"/>
      <c r="E393" s="92"/>
      <c r="F393" s="89"/>
      <c r="G393" s="89"/>
      <c r="H393" s="89"/>
      <c r="I393" s="89"/>
      <c r="J393" s="89"/>
      <c r="K393" s="89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</row>
    <row r="394" spans="2:23" s="14" customFormat="1" ht="17.100000000000001" customHeight="1">
      <c r="B394" s="89"/>
      <c r="C394" s="90"/>
      <c r="D394" s="91"/>
      <c r="E394" s="92"/>
      <c r="F394" s="89"/>
      <c r="G394" s="89"/>
      <c r="H394" s="89"/>
      <c r="I394" s="89"/>
      <c r="J394" s="89"/>
      <c r="K394" s="89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</row>
    <row r="395" spans="2:23" s="14" customFormat="1" ht="17.100000000000001" customHeight="1">
      <c r="B395" s="89"/>
      <c r="C395" s="90"/>
      <c r="D395" s="91"/>
      <c r="E395" s="92"/>
      <c r="F395" s="89"/>
      <c r="G395" s="89"/>
      <c r="H395" s="89"/>
      <c r="I395" s="89"/>
      <c r="J395" s="89"/>
      <c r="K395" s="89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</row>
    <row r="396" spans="2:23" s="14" customFormat="1" ht="17.100000000000001" customHeight="1">
      <c r="B396" s="89"/>
      <c r="C396" s="90"/>
      <c r="D396" s="91"/>
      <c r="E396" s="92"/>
      <c r="F396" s="89"/>
      <c r="G396" s="89"/>
      <c r="H396" s="89"/>
      <c r="I396" s="89"/>
      <c r="J396" s="89"/>
      <c r="K396" s="89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</row>
    <row r="397" spans="2:23" s="14" customFormat="1" ht="17.100000000000001" customHeight="1">
      <c r="B397" s="89"/>
      <c r="C397" s="90"/>
      <c r="D397" s="91"/>
      <c r="E397" s="92"/>
      <c r="F397" s="89"/>
      <c r="G397" s="89"/>
      <c r="H397" s="89"/>
      <c r="I397" s="89"/>
      <c r="J397" s="89"/>
      <c r="K397" s="89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</row>
    <row r="398" spans="2:23" s="14" customFormat="1" ht="17.100000000000001" customHeight="1">
      <c r="B398" s="89"/>
      <c r="C398" s="90"/>
      <c r="D398" s="91"/>
      <c r="E398" s="92"/>
      <c r="F398" s="89"/>
      <c r="G398" s="89"/>
      <c r="H398" s="89"/>
      <c r="I398" s="89"/>
      <c r="J398" s="89"/>
      <c r="K398" s="89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</row>
    <row r="399" spans="2:23" s="14" customFormat="1" ht="17.100000000000001" customHeight="1">
      <c r="B399" s="89"/>
      <c r="C399" s="90"/>
      <c r="D399" s="91"/>
      <c r="E399" s="92"/>
      <c r="F399" s="89"/>
      <c r="G399" s="89"/>
      <c r="H399" s="89"/>
      <c r="I399" s="89"/>
      <c r="J399" s="89"/>
      <c r="K399" s="89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</row>
    <row r="400" spans="2:23" s="14" customFormat="1" ht="17.100000000000001" customHeight="1">
      <c r="B400" s="89"/>
      <c r="C400" s="90"/>
      <c r="D400" s="91"/>
      <c r="E400" s="92"/>
      <c r="F400" s="89"/>
      <c r="G400" s="89"/>
      <c r="H400" s="89"/>
      <c r="I400" s="89"/>
      <c r="J400" s="89"/>
      <c r="K400" s="89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</row>
    <row r="401" spans="2:23" s="14" customFormat="1" ht="17.100000000000001" customHeight="1">
      <c r="B401" s="89"/>
      <c r="C401" s="90"/>
      <c r="D401" s="91"/>
      <c r="E401" s="92"/>
      <c r="F401" s="89"/>
      <c r="G401" s="89"/>
      <c r="H401" s="89"/>
      <c r="I401" s="89"/>
      <c r="J401" s="89"/>
      <c r="K401" s="89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</row>
    <row r="402" spans="2:23" s="14" customFormat="1" ht="17.100000000000001" customHeight="1">
      <c r="B402" s="89"/>
      <c r="C402" s="90"/>
      <c r="D402" s="91"/>
      <c r="E402" s="92"/>
      <c r="F402" s="89"/>
      <c r="G402" s="89"/>
      <c r="H402" s="89"/>
      <c r="I402" s="89"/>
      <c r="J402" s="89"/>
      <c r="K402" s="89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</row>
    <row r="403" spans="2:23" s="14" customFormat="1" ht="17.100000000000001" customHeight="1">
      <c r="B403" s="89"/>
      <c r="C403" s="90"/>
      <c r="D403" s="91"/>
      <c r="E403" s="92"/>
      <c r="F403" s="89"/>
      <c r="G403" s="89"/>
      <c r="H403" s="89"/>
      <c r="I403" s="89"/>
      <c r="J403" s="89"/>
      <c r="K403" s="89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</row>
    <row r="404" spans="2:23" s="14" customFormat="1" ht="17.100000000000001" customHeight="1">
      <c r="B404" s="89"/>
      <c r="C404" s="90"/>
      <c r="D404" s="91"/>
      <c r="E404" s="92"/>
      <c r="F404" s="89"/>
      <c r="G404" s="89"/>
      <c r="H404" s="89"/>
      <c r="I404" s="89"/>
      <c r="J404" s="89"/>
      <c r="K404" s="89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</row>
    <row r="405" spans="2:23" s="14" customFormat="1" ht="17.100000000000001" customHeight="1">
      <c r="B405" s="89"/>
      <c r="C405" s="90"/>
      <c r="D405" s="91"/>
      <c r="E405" s="92"/>
      <c r="F405" s="89"/>
      <c r="G405" s="89"/>
      <c r="H405" s="89"/>
      <c r="I405" s="89"/>
      <c r="J405" s="89"/>
      <c r="K405" s="89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</row>
    <row r="406" spans="2:23" s="14" customFormat="1" ht="17.100000000000001" customHeight="1">
      <c r="B406" s="89"/>
      <c r="C406" s="90"/>
      <c r="D406" s="91"/>
      <c r="E406" s="92"/>
      <c r="F406" s="89"/>
      <c r="G406" s="89"/>
      <c r="H406" s="89"/>
      <c r="I406" s="89"/>
      <c r="J406" s="89"/>
      <c r="K406" s="89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</row>
    <row r="407" spans="2:23" s="14" customFormat="1" ht="17.100000000000001" customHeight="1">
      <c r="B407" s="89"/>
      <c r="C407" s="90"/>
      <c r="D407" s="91"/>
      <c r="E407" s="92"/>
      <c r="F407" s="89"/>
      <c r="G407" s="89"/>
      <c r="H407" s="89"/>
      <c r="I407" s="89"/>
      <c r="J407" s="89"/>
      <c r="K407" s="89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</row>
    <row r="408" spans="2:23" s="14" customFormat="1" ht="17.100000000000001" customHeight="1">
      <c r="B408" s="89"/>
      <c r="C408" s="90"/>
      <c r="D408" s="91"/>
      <c r="E408" s="92"/>
      <c r="F408" s="89"/>
      <c r="G408" s="89"/>
      <c r="H408" s="89"/>
      <c r="I408" s="89"/>
      <c r="J408" s="89"/>
      <c r="K408" s="89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</row>
    <row r="409" spans="2:23" s="14" customFormat="1" ht="17.100000000000001" customHeight="1">
      <c r="B409" s="89"/>
      <c r="C409" s="90"/>
      <c r="D409" s="91"/>
      <c r="E409" s="92"/>
      <c r="F409" s="89"/>
      <c r="G409" s="89"/>
      <c r="H409" s="89"/>
      <c r="I409" s="89"/>
      <c r="J409" s="89"/>
      <c r="K409" s="89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</row>
    <row r="410" spans="2:23" s="14" customFormat="1" ht="17.100000000000001" customHeight="1">
      <c r="B410" s="89"/>
      <c r="C410" s="90"/>
      <c r="D410" s="91"/>
      <c r="E410" s="92"/>
      <c r="F410" s="89"/>
      <c r="G410" s="89"/>
      <c r="H410" s="89"/>
      <c r="I410" s="89"/>
      <c r="J410" s="89"/>
      <c r="K410" s="89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</row>
    <row r="411" spans="2:23" s="14" customFormat="1" ht="17.100000000000001" customHeight="1">
      <c r="B411" s="89"/>
      <c r="C411" s="90"/>
      <c r="D411" s="91"/>
      <c r="E411" s="92"/>
      <c r="F411" s="89"/>
      <c r="G411" s="89"/>
      <c r="H411" s="89"/>
      <c r="I411" s="89"/>
      <c r="J411" s="89"/>
      <c r="K411" s="89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</row>
    <row r="412" spans="2:23" s="14" customFormat="1" ht="17.100000000000001" customHeight="1">
      <c r="B412" s="89"/>
      <c r="C412" s="90"/>
      <c r="D412" s="91"/>
      <c r="E412" s="92"/>
      <c r="F412" s="89"/>
      <c r="G412" s="89"/>
      <c r="H412" s="89"/>
      <c r="I412" s="89"/>
      <c r="J412" s="89"/>
      <c r="K412" s="89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</row>
    <row r="413" spans="2:23" s="14" customFormat="1" ht="17.100000000000001" customHeight="1">
      <c r="B413" s="89"/>
      <c r="C413" s="90"/>
      <c r="D413" s="91"/>
      <c r="E413" s="92"/>
      <c r="F413" s="89"/>
      <c r="G413" s="89"/>
      <c r="H413" s="89"/>
      <c r="I413" s="89"/>
      <c r="J413" s="89"/>
      <c r="K413" s="89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</row>
    <row r="414" spans="2:23" s="14" customFormat="1" ht="17.100000000000001" customHeight="1">
      <c r="B414" s="89"/>
      <c r="C414" s="90"/>
      <c r="D414" s="91"/>
      <c r="E414" s="92"/>
      <c r="F414" s="89"/>
      <c r="G414" s="89"/>
      <c r="H414" s="89"/>
      <c r="I414" s="89"/>
      <c r="J414" s="89"/>
      <c r="K414" s="89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</row>
    <row r="415" spans="2:23" s="14" customFormat="1" ht="17.100000000000001" customHeight="1">
      <c r="B415" s="89"/>
      <c r="C415" s="90"/>
      <c r="D415" s="91"/>
      <c r="E415" s="92"/>
      <c r="F415" s="89"/>
      <c r="G415" s="89"/>
      <c r="H415" s="89"/>
      <c r="I415" s="89"/>
      <c r="J415" s="89"/>
      <c r="K415" s="89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</row>
    <row r="416" spans="2:23" s="14" customFormat="1" ht="17.100000000000001" customHeight="1">
      <c r="B416" s="89"/>
      <c r="C416" s="90"/>
      <c r="D416" s="91"/>
      <c r="E416" s="92"/>
      <c r="F416" s="89"/>
      <c r="G416" s="89"/>
      <c r="H416" s="89"/>
      <c r="I416" s="89"/>
      <c r="J416" s="89"/>
      <c r="K416" s="89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</row>
    <row r="417" spans="2:23" s="14" customFormat="1" ht="17.100000000000001" customHeight="1">
      <c r="B417" s="89"/>
      <c r="C417" s="90"/>
      <c r="D417" s="91"/>
      <c r="E417" s="92"/>
      <c r="F417" s="89"/>
      <c r="G417" s="89"/>
      <c r="H417" s="89"/>
      <c r="I417" s="89"/>
      <c r="J417" s="89"/>
      <c r="K417" s="89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</row>
    <row r="418" spans="2:23" s="14" customFormat="1" ht="17.100000000000001" customHeight="1">
      <c r="B418" s="89"/>
      <c r="C418" s="90"/>
      <c r="D418" s="91"/>
      <c r="E418" s="92"/>
      <c r="F418" s="89"/>
      <c r="G418" s="89"/>
      <c r="H418" s="89"/>
      <c r="I418" s="89"/>
      <c r="J418" s="89"/>
      <c r="K418" s="89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</row>
    <row r="419" spans="2:23" s="14" customFormat="1" ht="17.100000000000001" customHeight="1">
      <c r="B419" s="89"/>
      <c r="C419" s="90"/>
      <c r="D419" s="91"/>
      <c r="E419" s="92"/>
      <c r="F419" s="89"/>
      <c r="G419" s="89"/>
      <c r="H419" s="89"/>
      <c r="I419" s="89"/>
      <c r="J419" s="89"/>
      <c r="K419" s="89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</row>
    <row r="420" spans="2:23" s="14" customFormat="1" ht="17.100000000000001" customHeight="1">
      <c r="B420" s="89"/>
      <c r="C420" s="90"/>
      <c r="D420" s="91"/>
      <c r="E420" s="92"/>
      <c r="F420" s="89"/>
      <c r="G420" s="89"/>
      <c r="H420" s="89"/>
      <c r="I420" s="89"/>
      <c r="J420" s="89"/>
      <c r="K420" s="89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</row>
    <row r="421" spans="2:23" s="14" customFormat="1" ht="17.100000000000001" customHeight="1">
      <c r="B421" s="89"/>
      <c r="C421" s="90"/>
      <c r="D421" s="91"/>
      <c r="E421" s="92"/>
      <c r="F421" s="89"/>
      <c r="G421" s="89"/>
      <c r="H421" s="89"/>
      <c r="I421" s="89"/>
      <c r="J421" s="89"/>
      <c r="K421" s="89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</row>
    <row r="422" spans="2:23" s="14" customFormat="1" ht="17.100000000000001" customHeight="1">
      <c r="B422" s="89"/>
      <c r="C422" s="90"/>
      <c r="D422" s="91"/>
      <c r="E422" s="92"/>
      <c r="F422" s="89"/>
      <c r="G422" s="89"/>
      <c r="H422" s="89"/>
      <c r="I422" s="89"/>
      <c r="J422" s="89"/>
      <c r="K422" s="89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</row>
    <row r="423" spans="2:23" s="14" customFormat="1" ht="17.100000000000001" customHeight="1">
      <c r="B423" s="89"/>
      <c r="C423" s="90"/>
      <c r="D423" s="91"/>
      <c r="E423" s="92"/>
      <c r="F423" s="89"/>
      <c r="G423" s="89"/>
      <c r="H423" s="89"/>
      <c r="I423" s="89"/>
      <c r="J423" s="89"/>
      <c r="K423" s="89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</row>
    <row r="424" spans="2:23" s="14" customFormat="1" ht="17.100000000000001" customHeight="1">
      <c r="B424" s="89"/>
      <c r="C424" s="90"/>
      <c r="D424" s="91"/>
      <c r="E424" s="92"/>
      <c r="F424" s="89"/>
      <c r="G424" s="89"/>
      <c r="H424" s="89"/>
      <c r="I424" s="89"/>
      <c r="J424" s="89"/>
      <c r="K424" s="89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</row>
    <row r="425" spans="2:23" s="14" customFormat="1" ht="17.100000000000001" customHeight="1">
      <c r="B425" s="89"/>
      <c r="C425" s="90"/>
      <c r="D425" s="91"/>
      <c r="E425" s="92"/>
      <c r="F425" s="89"/>
      <c r="G425" s="89"/>
      <c r="H425" s="89"/>
      <c r="I425" s="89"/>
      <c r="J425" s="89"/>
      <c r="K425" s="89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</row>
    <row r="426" spans="2:23" s="14" customFormat="1" ht="17.100000000000001" customHeight="1">
      <c r="B426" s="89"/>
      <c r="C426" s="90"/>
      <c r="D426" s="91"/>
      <c r="E426" s="92"/>
      <c r="F426" s="89"/>
      <c r="G426" s="89"/>
      <c r="H426" s="89"/>
      <c r="I426" s="89"/>
      <c r="J426" s="89"/>
      <c r="K426" s="89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</row>
    <row r="427" spans="2:23" s="14" customFormat="1" ht="17.100000000000001" customHeight="1">
      <c r="B427" s="89"/>
      <c r="C427" s="90"/>
      <c r="D427" s="91"/>
      <c r="E427" s="92"/>
      <c r="F427" s="89"/>
      <c r="G427" s="89"/>
      <c r="H427" s="89"/>
      <c r="I427" s="89"/>
      <c r="J427" s="89"/>
      <c r="K427" s="89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</row>
    <row r="428" spans="2:23" s="14" customFormat="1" ht="17.100000000000001" customHeight="1">
      <c r="B428" s="89"/>
      <c r="C428" s="90"/>
      <c r="D428" s="91"/>
      <c r="E428" s="92"/>
      <c r="F428" s="89"/>
      <c r="G428" s="89"/>
      <c r="H428" s="89"/>
      <c r="I428" s="89"/>
      <c r="J428" s="89"/>
      <c r="K428" s="89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</row>
    <row r="429" spans="2:23" s="14" customFormat="1" ht="17.100000000000001" customHeight="1">
      <c r="B429" s="89"/>
      <c r="C429" s="90"/>
      <c r="D429" s="91"/>
      <c r="E429" s="92"/>
      <c r="F429" s="89"/>
      <c r="G429" s="89"/>
      <c r="H429" s="89"/>
      <c r="I429" s="89"/>
      <c r="J429" s="89"/>
      <c r="K429" s="89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</row>
    <row r="430" spans="2:23" s="14" customFormat="1" ht="17.100000000000001" customHeight="1">
      <c r="B430" s="89"/>
      <c r="C430" s="90"/>
      <c r="D430" s="91"/>
      <c r="E430" s="92"/>
      <c r="F430" s="89"/>
      <c r="G430" s="89"/>
      <c r="H430" s="89"/>
      <c r="I430" s="89"/>
      <c r="J430" s="89"/>
      <c r="K430" s="89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</row>
    <row r="431" spans="2:23" s="14" customFormat="1" ht="17.100000000000001" customHeight="1">
      <c r="B431" s="89"/>
      <c r="C431" s="90"/>
      <c r="D431" s="91"/>
      <c r="E431" s="92"/>
      <c r="F431" s="89"/>
      <c r="G431" s="89"/>
      <c r="H431" s="89"/>
      <c r="I431" s="89"/>
      <c r="J431" s="89"/>
      <c r="K431" s="89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</row>
    <row r="432" spans="2:23" s="14" customFormat="1" ht="17.100000000000001" customHeight="1">
      <c r="B432" s="89"/>
      <c r="C432" s="90"/>
      <c r="D432" s="91"/>
      <c r="E432" s="92"/>
      <c r="F432" s="89"/>
      <c r="G432" s="89"/>
      <c r="H432" s="89"/>
      <c r="I432" s="89"/>
      <c r="J432" s="89"/>
      <c r="K432" s="89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</row>
    <row r="433" spans="2:23" s="14" customFormat="1" ht="17.100000000000001" customHeight="1">
      <c r="B433" s="89"/>
      <c r="C433" s="90"/>
      <c r="D433" s="91"/>
      <c r="E433" s="92"/>
      <c r="F433" s="89"/>
      <c r="G433" s="89"/>
      <c r="H433" s="89"/>
      <c r="I433" s="89"/>
      <c r="J433" s="89"/>
      <c r="K433" s="89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</row>
    <row r="434" spans="2:23" s="14" customFormat="1" ht="17.100000000000001" customHeight="1">
      <c r="B434" s="89"/>
      <c r="C434" s="90"/>
      <c r="D434" s="91"/>
      <c r="E434" s="92"/>
      <c r="F434" s="89"/>
      <c r="G434" s="89"/>
      <c r="H434" s="89"/>
      <c r="I434" s="89"/>
      <c r="J434" s="89"/>
      <c r="K434" s="89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</row>
    <row r="435" spans="2:23" s="14" customFormat="1" ht="17.100000000000001" customHeight="1">
      <c r="B435" s="89"/>
      <c r="C435" s="90"/>
      <c r="D435" s="91"/>
      <c r="E435" s="92"/>
      <c r="F435" s="89"/>
      <c r="G435" s="89"/>
      <c r="H435" s="89"/>
      <c r="I435" s="89"/>
      <c r="J435" s="89"/>
      <c r="K435" s="89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</row>
    <row r="436" spans="2:23" s="14" customFormat="1" ht="17.100000000000001" customHeight="1">
      <c r="B436" s="89"/>
      <c r="C436" s="90"/>
      <c r="D436" s="91"/>
      <c r="E436" s="92"/>
      <c r="F436" s="89"/>
      <c r="G436" s="89"/>
      <c r="H436" s="89"/>
      <c r="I436" s="89"/>
      <c r="J436" s="89"/>
      <c r="K436" s="89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</row>
    <row r="437" spans="2:23" s="14" customFormat="1" ht="17.100000000000001" customHeight="1">
      <c r="B437" s="89"/>
      <c r="C437" s="90"/>
      <c r="D437" s="91"/>
      <c r="E437" s="92"/>
      <c r="F437" s="89"/>
      <c r="G437" s="89"/>
      <c r="H437" s="89"/>
      <c r="I437" s="89"/>
      <c r="J437" s="89"/>
      <c r="K437" s="89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</row>
    <row r="438" spans="2:23" s="14" customFormat="1" ht="17.100000000000001" customHeight="1">
      <c r="B438" s="89"/>
      <c r="C438" s="90"/>
      <c r="D438" s="91"/>
      <c r="E438" s="92"/>
      <c r="F438" s="89"/>
      <c r="G438" s="89"/>
      <c r="H438" s="89"/>
      <c r="I438" s="89"/>
      <c r="J438" s="89"/>
      <c r="K438" s="89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</row>
    <row r="439" spans="2:23" s="14" customFormat="1" ht="17.100000000000001" customHeight="1">
      <c r="B439" s="89"/>
      <c r="C439" s="90"/>
      <c r="D439" s="91"/>
      <c r="E439" s="92"/>
      <c r="F439" s="89"/>
      <c r="G439" s="89"/>
      <c r="H439" s="89"/>
      <c r="I439" s="89"/>
      <c r="J439" s="89"/>
      <c r="K439" s="89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</row>
    <row r="440" spans="2:23" s="14" customFormat="1" ht="17.100000000000001" customHeight="1">
      <c r="B440" s="89"/>
      <c r="C440" s="90"/>
      <c r="D440" s="91"/>
      <c r="E440" s="92"/>
      <c r="F440" s="89"/>
      <c r="G440" s="89"/>
      <c r="H440" s="89"/>
      <c r="I440" s="89"/>
      <c r="J440" s="89"/>
      <c r="K440" s="89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</row>
    <row r="441" spans="2:23" s="14" customFormat="1" ht="17.100000000000001" customHeight="1">
      <c r="B441" s="89"/>
      <c r="C441" s="90"/>
      <c r="D441" s="91"/>
      <c r="E441" s="92"/>
      <c r="F441" s="89"/>
      <c r="G441" s="89"/>
      <c r="H441" s="89"/>
      <c r="I441" s="89"/>
      <c r="J441" s="89"/>
      <c r="K441" s="89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</row>
    <row r="442" spans="2:23" s="14" customFormat="1" ht="17.100000000000001" customHeight="1">
      <c r="B442" s="89"/>
      <c r="C442" s="90"/>
      <c r="D442" s="91"/>
      <c r="E442" s="92"/>
      <c r="F442" s="89"/>
      <c r="G442" s="89"/>
      <c r="H442" s="89"/>
      <c r="I442" s="89"/>
      <c r="J442" s="89"/>
      <c r="K442" s="89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</row>
    <row r="443" spans="2:23" s="14" customFormat="1" ht="17.100000000000001" customHeight="1">
      <c r="B443" s="89"/>
      <c r="C443" s="90"/>
      <c r="D443" s="91"/>
      <c r="E443" s="92"/>
      <c r="F443" s="89"/>
      <c r="G443" s="89"/>
      <c r="H443" s="89"/>
      <c r="I443" s="89"/>
      <c r="J443" s="89"/>
      <c r="K443" s="89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</row>
    <row r="444" spans="2:23" s="14" customFormat="1" ht="17.100000000000001" customHeight="1">
      <c r="B444" s="89"/>
      <c r="C444" s="90"/>
      <c r="D444" s="91"/>
      <c r="E444" s="92"/>
      <c r="F444" s="89"/>
      <c r="G444" s="89"/>
      <c r="H444" s="89"/>
      <c r="I444" s="89"/>
      <c r="J444" s="89"/>
      <c r="K444" s="89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</row>
    <row r="445" spans="2:23" s="14" customFormat="1" ht="17.100000000000001" customHeight="1">
      <c r="B445" s="89"/>
      <c r="C445" s="90"/>
      <c r="D445" s="91"/>
      <c r="E445" s="92"/>
      <c r="F445" s="89"/>
      <c r="G445" s="89"/>
      <c r="H445" s="89"/>
      <c r="I445" s="89"/>
      <c r="J445" s="89"/>
      <c r="K445" s="89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</row>
    <row r="446" spans="2:23" s="14" customFormat="1" ht="17.100000000000001" customHeight="1">
      <c r="B446" s="89"/>
      <c r="C446" s="90"/>
      <c r="D446" s="91"/>
      <c r="E446" s="92"/>
      <c r="F446" s="89"/>
      <c r="G446" s="89"/>
      <c r="H446" s="89"/>
      <c r="I446" s="89"/>
      <c r="J446" s="89"/>
      <c r="K446" s="89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</row>
    <row r="447" spans="2:23" s="14" customFormat="1" ht="17.100000000000001" customHeight="1">
      <c r="B447" s="89"/>
      <c r="C447" s="90"/>
      <c r="D447" s="91"/>
      <c r="E447" s="92"/>
      <c r="F447" s="89"/>
      <c r="G447" s="89"/>
      <c r="H447" s="89"/>
      <c r="I447" s="89"/>
      <c r="J447" s="89"/>
      <c r="K447" s="89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</row>
    <row r="448" spans="2:23" s="14" customFormat="1" ht="17.100000000000001" customHeight="1">
      <c r="B448" s="89"/>
      <c r="C448" s="90"/>
      <c r="D448" s="91"/>
      <c r="E448" s="92"/>
      <c r="F448" s="89"/>
      <c r="G448" s="89"/>
      <c r="H448" s="89"/>
      <c r="I448" s="89"/>
      <c r="J448" s="89"/>
      <c r="K448" s="89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</row>
    <row r="449" spans="2:23" s="14" customFormat="1" ht="17.100000000000001" customHeight="1">
      <c r="B449" s="89"/>
      <c r="C449" s="90"/>
      <c r="D449" s="91"/>
      <c r="E449" s="92"/>
      <c r="F449" s="89"/>
      <c r="G449" s="89"/>
      <c r="H449" s="89"/>
      <c r="I449" s="89"/>
      <c r="J449" s="89"/>
      <c r="K449" s="89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</row>
    <row r="450" spans="2:23" s="14" customFormat="1" ht="17.100000000000001" customHeight="1">
      <c r="B450" s="89"/>
      <c r="C450" s="90"/>
      <c r="D450" s="91"/>
      <c r="E450" s="92"/>
      <c r="F450" s="89"/>
      <c r="G450" s="89"/>
      <c r="H450" s="89"/>
      <c r="I450" s="89"/>
      <c r="J450" s="89"/>
      <c r="K450" s="89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</row>
    <row r="451" spans="2:23" s="14" customFormat="1" ht="17.100000000000001" customHeight="1">
      <c r="B451" s="89"/>
      <c r="C451" s="90"/>
      <c r="D451" s="91"/>
      <c r="E451" s="92"/>
      <c r="F451" s="89"/>
      <c r="G451" s="89"/>
      <c r="H451" s="89"/>
      <c r="I451" s="89"/>
      <c r="J451" s="89"/>
      <c r="K451" s="89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</row>
    <row r="452" spans="2:23" s="14" customFormat="1" ht="17.100000000000001" customHeight="1">
      <c r="B452" s="89"/>
      <c r="C452" s="90"/>
      <c r="D452" s="91"/>
      <c r="E452" s="92"/>
      <c r="F452" s="89"/>
      <c r="G452" s="89"/>
      <c r="H452" s="89"/>
      <c r="I452" s="89"/>
      <c r="J452" s="89"/>
      <c r="K452" s="89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</row>
    <row r="453" spans="2:23" s="14" customFormat="1" ht="17.100000000000001" customHeight="1">
      <c r="B453" s="89"/>
      <c r="C453" s="90"/>
      <c r="D453" s="91"/>
      <c r="E453" s="92"/>
      <c r="F453" s="89"/>
      <c r="G453" s="89"/>
      <c r="H453" s="89"/>
      <c r="I453" s="89"/>
      <c r="J453" s="89"/>
      <c r="K453" s="89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</row>
    <row r="454" spans="2:23" s="14" customFormat="1" ht="17.100000000000001" customHeight="1">
      <c r="B454" s="89"/>
      <c r="C454" s="90"/>
      <c r="D454" s="91"/>
      <c r="E454" s="92"/>
      <c r="F454" s="89"/>
      <c r="G454" s="89"/>
      <c r="H454" s="89"/>
      <c r="I454" s="89"/>
      <c r="J454" s="89"/>
      <c r="K454" s="89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</row>
    <row r="455" spans="2:23" s="14" customFormat="1" ht="17.100000000000001" customHeight="1">
      <c r="B455" s="89"/>
      <c r="C455" s="90"/>
      <c r="D455" s="91"/>
      <c r="E455" s="92"/>
      <c r="F455" s="89"/>
      <c r="G455" s="89"/>
      <c r="H455" s="89"/>
      <c r="I455" s="89"/>
      <c r="J455" s="89"/>
      <c r="K455" s="89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</row>
    <row r="456" spans="2:23" s="14" customFormat="1" ht="17.100000000000001" customHeight="1">
      <c r="B456" s="89"/>
      <c r="C456" s="90"/>
      <c r="D456" s="91"/>
      <c r="E456" s="92"/>
      <c r="F456" s="89"/>
      <c r="G456" s="89"/>
      <c r="H456" s="89"/>
      <c r="I456" s="89"/>
      <c r="J456" s="89"/>
      <c r="K456" s="89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</row>
    <row r="457" spans="2:23" s="14" customFormat="1" ht="17.100000000000001" customHeight="1">
      <c r="B457" s="89"/>
      <c r="C457" s="90"/>
      <c r="D457" s="91"/>
      <c r="E457" s="92"/>
      <c r="F457" s="89"/>
      <c r="G457" s="89"/>
      <c r="H457" s="89"/>
      <c r="I457" s="89"/>
      <c r="J457" s="89"/>
      <c r="K457" s="89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</row>
    <row r="458" spans="2:23" s="14" customFormat="1" ht="17.100000000000001" customHeight="1">
      <c r="B458" s="89"/>
      <c r="C458" s="90"/>
      <c r="D458" s="91"/>
      <c r="E458" s="92"/>
      <c r="F458" s="89"/>
      <c r="G458" s="89"/>
      <c r="H458" s="89"/>
      <c r="I458" s="89"/>
      <c r="J458" s="89"/>
      <c r="K458" s="89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</row>
    <row r="459" spans="2:23" s="14" customFormat="1" ht="17.100000000000001" customHeight="1">
      <c r="B459" s="89"/>
      <c r="C459" s="90"/>
      <c r="D459" s="91"/>
      <c r="E459" s="92"/>
      <c r="F459" s="89"/>
      <c r="G459" s="89"/>
      <c r="H459" s="89"/>
      <c r="I459" s="89"/>
      <c r="J459" s="89"/>
      <c r="K459" s="89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</row>
    <row r="460" spans="2:23" s="14" customFormat="1" ht="17.100000000000001" customHeight="1">
      <c r="B460" s="89"/>
      <c r="C460" s="90"/>
      <c r="D460" s="91"/>
      <c r="E460" s="92"/>
      <c r="F460" s="89"/>
      <c r="G460" s="89"/>
      <c r="H460" s="89"/>
      <c r="I460" s="89"/>
      <c r="J460" s="89"/>
      <c r="K460" s="89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</row>
    <row r="461" spans="2:23" s="14" customFormat="1" ht="17.100000000000001" customHeight="1">
      <c r="B461" s="89"/>
      <c r="C461" s="90"/>
      <c r="D461" s="91"/>
      <c r="E461" s="92"/>
      <c r="F461" s="89"/>
      <c r="G461" s="89"/>
      <c r="H461" s="89"/>
      <c r="I461" s="89"/>
      <c r="J461" s="89"/>
      <c r="K461" s="89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</row>
    <row r="462" spans="2:23" s="14" customFormat="1" ht="17.100000000000001" customHeight="1">
      <c r="B462" s="89"/>
      <c r="C462" s="90"/>
      <c r="D462" s="91"/>
      <c r="E462" s="92"/>
      <c r="F462" s="89"/>
      <c r="G462" s="89"/>
      <c r="H462" s="89"/>
      <c r="I462" s="89"/>
      <c r="J462" s="89"/>
      <c r="K462" s="89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</row>
    <row r="463" spans="2:23" s="14" customFormat="1" ht="17.100000000000001" customHeight="1">
      <c r="B463" s="89"/>
      <c r="C463" s="90"/>
      <c r="D463" s="91"/>
      <c r="E463" s="92"/>
      <c r="F463" s="89"/>
      <c r="G463" s="89"/>
      <c r="H463" s="89"/>
      <c r="I463" s="89"/>
      <c r="J463" s="89"/>
      <c r="K463" s="89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</row>
    <row r="464" spans="2:23" s="14" customFormat="1" ht="17.100000000000001" customHeight="1">
      <c r="B464" s="89"/>
      <c r="C464" s="90"/>
      <c r="D464" s="91"/>
      <c r="E464" s="92"/>
      <c r="F464" s="89"/>
      <c r="G464" s="89"/>
      <c r="H464" s="89"/>
      <c r="I464" s="89"/>
      <c r="J464" s="89"/>
      <c r="K464" s="89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</row>
    <row r="465" spans="2:23" s="14" customFormat="1" ht="17.100000000000001" customHeight="1">
      <c r="B465" s="89"/>
      <c r="C465" s="90"/>
      <c r="D465" s="91"/>
      <c r="E465" s="92"/>
      <c r="F465" s="89"/>
      <c r="G465" s="89"/>
      <c r="H465" s="89"/>
      <c r="I465" s="89"/>
      <c r="J465" s="89"/>
      <c r="K465" s="89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</row>
    <row r="466" spans="2:23" s="14" customFormat="1" ht="17.100000000000001" customHeight="1">
      <c r="B466" s="89"/>
      <c r="C466" s="90"/>
      <c r="D466" s="91"/>
      <c r="E466" s="92"/>
      <c r="F466" s="89"/>
      <c r="G466" s="89"/>
      <c r="H466" s="89"/>
      <c r="I466" s="89"/>
      <c r="J466" s="89"/>
      <c r="K466" s="89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</row>
    <row r="467" spans="2:23" s="14" customFormat="1" ht="17.100000000000001" customHeight="1">
      <c r="B467" s="89"/>
      <c r="C467" s="90"/>
      <c r="D467" s="91"/>
      <c r="E467" s="92"/>
      <c r="F467" s="89"/>
      <c r="G467" s="89"/>
      <c r="H467" s="89"/>
      <c r="I467" s="89"/>
      <c r="J467" s="89"/>
      <c r="K467" s="89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</row>
    <row r="468" spans="2:23" s="14" customFormat="1" ht="17.100000000000001" customHeight="1">
      <c r="B468" s="89"/>
      <c r="C468" s="90"/>
      <c r="D468" s="91"/>
      <c r="E468" s="92"/>
      <c r="F468" s="89"/>
      <c r="G468" s="89"/>
      <c r="H468" s="89"/>
      <c r="I468" s="89"/>
      <c r="J468" s="89"/>
      <c r="K468" s="89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</row>
    <row r="469" spans="2:23" s="14" customFormat="1" ht="17.100000000000001" customHeight="1">
      <c r="B469" s="89"/>
      <c r="C469" s="90"/>
      <c r="D469" s="91"/>
      <c r="E469" s="92"/>
      <c r="F469" s="89"/>
      <c r="G469" s="89"/>
      <c r="H469" s="89"/>
      <c r="I469" s="89"/>
      <c r="J469" s="89"/>
      <c r="K469" s="89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</row>
    <row r="470" spans="2:23" s="14" customFormat="1" ht="17.100000000000001" customHeight="1">
      <c r="B470" s="89"/>
      <c r="C470" s="90"/>
      <c r="D470" s="91"/>
      <c r="E470" s="92"/>
      <c r="F470" s="89"/>
      <c r="G470" s="89"/>
      <c r="H470" s="89"/>
      <c r="I470" s="89"/>
      <c r="J470" s="89"/>
      <c r="K470" s="89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</row>
    <row r="471" spans="2:23" s="14" customFormat="1" ht="17.100000000000001" customHeight="1">
      <c r="B471" s="89"/>
      <c r="C471" s="90"/>
      <c r="D471" s="91"/>
      <c r="E471" s="92"/>
      <c r="F471" s="89"/>
      <c r="G471" s="89"/>
      <c r="H471" s="89"/>
      <c r="I471" s="89"/>
      <c r="J471" s="89"/>
      <c r="K471" s="89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</row>
    <row r="472" spans="2:23" s="14" customFormat="1" ht="17.100000000000001" customHeight="1">
      <c r="B472" s="89"/>
      <c r="C472" s="90"/>
      <c r="D472" s="91"/>
      <c r="E472" s="92"/>
      <c r="F472" s="89"/>
      <c r="G472" s="89"/>
      <c r="H472" s="89"/>
      <c r="I472" s="89"/>
      <c r="J472" s="89"/>
      <c r="K472" s="89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</row>
    <row r="473" spans="2:23" s="14" customFormat="1" ht="17.100000000000001" customHeight="1">
      <c r="B473" s="89"/>
      <c r="C473" s="90"/>
      <c r="D473" s="91"/>
      <c r="E473" s="92"/>
      <c r="F473" s="89"/>
      <c r="G473" s="89"/>
      <c r="H473" s="89"/>
      <c r="I473" s="89"/>
      <c r="J473" s="89"/>
      <c r="K473" s="89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</row>
    <row r="474" spans="2:23" s="14" customFormat="1" ht="17.100000000000001" customHeight="1">
      <c r="B474" s="89"/>
      <c r="C474" s="90"/>
      <c r="D474" s="91"/>
      <c r="E474" s="92"/>
      <c r="F474" s="89"/>
      <c r="G474" s="89"/>
      <c r="H474" s="89"/>
      <c r="I474" s="89"/>
      <c r="J474" s="89"/>
      <c r="K474" s="89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</row>
    <row r="475" spans="2:23" s="14" customFormat="1" ht="17.100000000000001" customHeight="1">
      <c r="B475" s="89"/>
      <c r="C475" s="90"/>
      <c r="D475" s="91"/>
      <c r="E475" s="92"/>
      <c r="F475" s="89"/>
      <c r="G475" s="89"/>
      <c r="H475" s="89"/>
      <c r="I475" s="89"/>
      <c r="J475" s="89"/>
      <c r="K475" s="89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</row>
    <row r="476" spans="2:23" s="14" customFormat="1" ht="17.100000000000001" customHeight="1">
      <c r="B476" s="89"/>
      <c r="C476" s="90"/>
      <c r="D476" s="91"/>
      <c r="E476" s="92"/>
      <c r="F476" s="89"/>
      <c r="G476" s="89"/>
      <c r="H476" s="89"/>
      <c r="I476" s="89"/>
      <c r="J476" s="89"/>
      <c r="K476" s="89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</row>
    <row r="477" spans="2:23" s="14" customFormat="1" ht="17.100000000000001" customHeight="1">
      <c r="B477" s="89"/>
      <c r="C477" s="90"/>
      <c r="D477" s="91"/>
      <c r="E477" s="92"/>
      <c r="F477" s="89"/>
      <c r="G477" s="89"/>
      <c r="H477" s="89"/>
      <c r="I477" s="89"/>
      <c r="J477" s="89"/>
      <c r="K477" s="89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</row>
    <row r="478" spans="2:23" s="14" customFormat="1" ht="17.100000000000001" customHeight="1">
      <c r="B478" s="89"/>
      <c r="C478" s="90"/>
      <c r="D478" s="91"/>
      <c r="E478" s="92"/>
      <c r="F478" s="89"/>
      <c r="G478" s="89"/>
      <c r="H478" s="89"/>
      <c r="I478" s="89"/>
      <c r="J478" s="89"/>
      <c r="K478" s="89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</row>
    <row r="479" spans="2:23" s="14" customFormat="1" ht="17.100000000000001" customHeight="1">
      <c r="B479" s="89"/>
      <c r="C479" s="90"/>
      <c r="D479" s="91"/>
      <c r="E479" s="92"/>
      <c r="F479" s="89"/>
      <c r="G479" s="89"/>
      <c r="H479" s="89"/>
      <c r="I479" s="89"/>
      <c r="J479" s="89"/>
      <c r="K479" s="89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</row>
    <row r="480" spans="2:23" s="14" customFormat="1" ht="17.100000000000001" customHeight="1">
      <c r="B480" s="89"/>
      <c r="C480" s="90"/>
      <c r="D480" s="91"/>
      <c r="E480" s="92"/>
      <c r="F480" s="89"/>
      <c r="G480" s="89"/>
      <c r="H480" s="89"/>
      <c r="I480" s="89"/>
      <c r="J480" s="89"/>
      <c r="K480" s="89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</row>
    <row r="481" spans="2:23" s="14" customFormat="1" ht="17.100000000000001" customHeight="1">
      <c r="B481" s="89"/>
      <c r="C481" s="90"/>
      <c r="D481" s="91"/>
      <c r="E481" s="92"/>
      <c r="F481" s="89"/>
      <c r="G481" s="89"/>
      <c r="H481" s="89"/>
      <c r="I481" s="89"/>
      <c r="J481" s="89"/>
      <c r="K481" s="89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</row>
    <row r="482" spans="2:23" s="14" customFormat="1" ht="17.100000000000001" customHeight="1">
      <c r="B482" s="89"/>
      <c r="C482" s="90"/>
      <c r="D482" s="91"/>
      <c r="E482" s="92"/>
      <c r="F482" s="89"/>
      <c r="G482" s="89"/>
      <c r="H482" s="89"/>
      <c r="I482" s="89"/>
      <c r="J482" s="89"/>
      <c r="K482" s="89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</row>
    <row r="483" spans="2:23" s="14" customFormat="1" ht="17.100000000000001" customHeight="1">
      <c r="B483" s="89"/>
      <c r="C483" s="90"/>
      <c r="D483" s="91"/>
      <c r="E483" s="92"/>
      <c r="F483" s="89"/>
      <c r="G483" s="89"/>
      <c r="H483" s="89"/>
      <c r="I483" s="89"/>
      <c r="J483" s="89"/>
      <c r="K483" s="89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</row>
    <row r="484" spans="2:23" s="14" customFormat="1" ht="17.100000000000001" customHeight="1">
      <c r="B484" s="89"/>
      <c r="C484" s="90"/>
      <c r="D484" s="91"/>
      <c r="E484" s="92"/>
      <c r="F484" s="89"/>
      <c r="G484" s="89"/>
      <c r="H484" s="89"/>
      <c r="I484" s="89"/>
      <c r="J484" s="89"/>
      <c r="K484" s="89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</row>
    <row r="485" spans="2:23" s="14" customFormat="1" ht="17.100000000000001" customHeight="1">
      <c r="B485" s="89"/>
      <c r="C485" s="90"/>
      <c r="D485" s="91"/>
      <c r="E485" s="92"/>
      <c r="F485" s="89"/>
      <c r="G485" s="89"/>
      <c r="H485" s="89"/>
      <c r="I485" s="89"/>
      <c r="J485" s="89"/>
      <c r="K485" s="89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</row>
    <row r="486" spans="2:23" s="14" customFormat="1" ht="17.100000000000001" customHeight="1">
      <c r="B486" s="89"/>
      <c r="C486" s="90"/>
      <c r="D486" s="91"/>
      <c r="E486" s="92"/>
      <c r="F486" s="89"/>
      <c r="G486" s="89"/>
      <c r="H486" s="89"/>
      <c r="I486" s="89"/>
      <c r="J486" s="89"/>
      <c r="K486" s="89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</row>
    <row r="487" spans="2:23" s="14" customFormat="1" ht="17.100000000000001" customHeight="1">
      <c r="B487" s="89"/>
      <c r="C487" s="90"/>
      <c r="D487" s="91"/>
      <c r="E487" s="92"/>
      <c r="F487" s="89"/>
      <c r="G487" s="89"/>
      <c r="H487" s="89"/>
      <c r="I487" s="89"/>
      <c r="J487" s="89"/>
      <c r="K487" s="89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</row>
    <row r="488" spans="2:23" s="14" customFormat="1" ht="17.100000000000001" customHeight="1">
      <c r="B488" s="89"/>
      <c r="C488" s="90"/>
      <c r="D488" s="91"/>
      <c r="E488" s="92"/>
      <c r="F488" s="89"/>
      <c r="G488" s="89"/>
      <c r="H488" s="89"/>
      <c r="I488" s="89"/>
      <c r="J488" s="89"/>
      <c r="K488" s="89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</row>
    <row r="489" spans="2:23" s="14" customFormat="1" ht="17.100000000000001" customHeight="1">
      <c r="B489" s="89"/>
      <c r="C489" s="90"/>
      <c r="D489" s="91"/>
      <c r="E489" s="92"/>
      <c r="F489" s="89"/>
      <c r="G489" s="89"/>
      <c r="H489" s="89"/>
      <c r="I489" s="89"/>
      <c r="J489" s="89"/>
      <c r="K489" s="89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</row>
    <row r="490" spans="2:23" s="14" customFormat="1" ht="17.100000000000001" customHeight="1">
      <c r="B490" s="89"/>
      <c r="C490" s="90"/>
      <c r="D490" s="91"/>
      <c r="E490" s="92"/>
      <c r="F490" s="89"/>
      <c r="G490" s="89"/>
      <c r="H490" s="89"/>
      <c r="I490" s="89"/>
      <c r="J490" s="89"/>
      <c r="K490" s="89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</row>
    <row r="491" spans="2:23" s="14" customFormat="1" ht="17.100000000000001" customHeight="1">
      <c r="B491" s="89"/>
      <c r="C491" s="90"/>
      <c r="D491" s="91"/>
      <c r="E491" s="92"/>
      <c r="F491" s="89"/>
      <c r="G491" s="89"/>
      <c r="H491" s="89"/>
      <c r="I491" s="89"/>
      <c r="J491" s="89"/>
      <c r="K491" s="89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</row>
    <row r="492" spans="2:23" s="14" customFormat="1" ht="17.100000000000001" customHeight="1">
      <c r="B492" s="89"/>
      <c r="C492" s="90"/>
      <c r="D492" s="91"/>
      <c r="E492" s="92"/>
      <c r="F492" s="89"/>
      <c r="G492" s="89"/>
      <c r="H492" s="89"/>
      <c r="I492" s="89"/>
      <c r="J492" s="89"/>
      <c r="K492" s="89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</row>
    <row r="493" spans="2:23" s="14" customFormat="1" ht="17.100000000000001" customHeight="1">
      <c r="B493" s="89"/>
      <c r="C493" s="90"/>
      <c r="D493" s="91"/>
      <c r="E493" s="92"/>
      <c r="F493" s="89"/>
      <c r="G493" s="89"/>
      <c r="H493" s="89"/>
      <c r="I493" s="89"/>
      <c r="J493" s="89"/>
      <c r="K493" s="89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</row>
    <row r="494" spans="2:23" s="14" customFormat="1" ht="17.100000000000001" customHeight="1">
      <c r="B494" s="89"/>
      <c r="C494" s="90"/>
      <c r="D494" s="91"/>
      <c r="E494" s="92"/>
      <c r="F494" s="89"/>
      <c r="G494" s="89"/>
      <c r="H494" s="89"/>
      <c r="I494" s="89"/>
      <c r="J494" s="89"/>
      <c r="K494" s="89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</row>
    <row r="495" spans="2:23" s="14" customFormat="1" ht="17.100000000000001" customHeight="1">
      <c r="B495" s="89"/>
      <c r="C495" s="90"/>
      <c r="D495" s="91"/>
      <c r="E495" s="92"/>
      <c r="F495" s="89"/>
      <c r="G495" s="89"/>
      <c r="H495" s="89"/>
      <c r="I495" s="89"/>
      <c r="J495" s="89"/>
      <c r="K495" s="89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</row>
    <row r="496" spans="2:23" s="14" customFormat="1" ht="17.100000000000001" customHeight="1">
      <c r="B496" s="89"/>
      <c r="C496" s="90"/>
      <c r="D496" s="91"/>
      <c r="E496" s="92"/>
      <c r="F496" s="89"/>
      <c r="G496" s="89"/>
      <c r="H496" s="89"/>
      <c r="I496" s="89"/>
      <c r="J496" s="89"/>
      <c r="K496" s="89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</row>
    <row r="497" spans="2:23" s="14" customFormat="1" ht="17.100000000000001" customHeight="1">
      <c r="B497" s="89"/>
      <c r="C497" s="90"/>
      <c r="D497" s="91"/>
      <c r="E497" s="92"/>
      <c r="F497" s="89"/>
      <c r="G497" s="89"/>
      <c r="H497" s="89"/>
      <c r="I497" s="89"/>
      <c r="J497" s="89"/>
      <c r="K497" s="89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</row>
    <row r="498" spans="2:23" s="14" customFormat="1" ht="17.100000000000001" customHeight="1">
      <c r="B498" s="89"/>
      <c r="C498" s="90"/>
      <c r="D498" s="91"/>
      <c r="E498" s="92"/>
      <c r="F498" s="89"/>
      <c r="G498" s="89"/>
      <c r="H498" s="89"/>
      <c r="I498" s="89"/>
      <c r="J498" s="89"/>
      <c r="K498" s="89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</row>
    <row r="499" spans="2:23" s="14" customFormat="1" ht="17.100000000000001" customHeight="1">
      <c r="B499" s="89"/>
      <c r="C499" s="90"/>
      <c r="D499" s="91"/>
      <c r="E499" s="92"/>
      <c r="F499" s="89"/>
      <c r="G499" s="89"/>
      <c r="H499" s="89"/>
      <c r="I499" s="89"/>
      <c r="J499" s="89"/>
      <c r="K499" s="89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</row>
    <row r="500" spans="2:23" s="14" customFormat="1" ht="17.100000000000001" customHeight="1">
      <c r="B500" s="89"/>
      <c r="C500" s="90"/>
      <c r="D500" s="91"/>
      <c r="E500" s="92"/>
      <c r="F500" s="89"/>
      <c r="G500" s="89"/>
      <c r="H500" s="89"/>
      <c r="I500" s="89"/>
      <c r="J500" s="89"/>
      <c r="K500" s="89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</row>
    <row r="501" spans="2:23" s="14" customFormat="1" ht="17.100000000000001" customHeight="1">
      <c r="B501" s="89"/>
      <c r="C501" s="90"/>
      <c r="D501" s="91"/>
      <c r="E501" s="92"/>
      <c r="F501" s="89"/>
      <c r="G501" s="89"/>
      <c r="H501" s="89"/>
      <c r="I501" s="89"/>
      <c r="J501" s="89"/>
      <c r="K501" s="89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</row>
    <row r="502" spans="2:23" s="14" customFormat="1" ht="17.100000000000001" customHeight="1">
      <c r="B502" s="89"/>
      <c r="C502" s="90"/>
      <c r="D502" s="91"/>
      <c r="E502" s="92"/>
      <c r="F502" s="89"/>
      <c r="G502" s="89"/>
      <c r="H502" s="89"/>
      <c r="I502" s="89"/>
      <c r="J502" s="89"/>
      <c r="K502" s="89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</row>
    <row r="503" spans="2:23" s="14" customFormat="1" ht="17.100000000000001" customHeight="1">
      <c r="B503" s="89"/>
      <c r="C503" s="90"/>
      <c r="D503" s="91"/>
      <c r="E503" s="92"/>
      <c r="F503" s="89"/>
      <c r="G503" s="89"/>
      <c r="H503" s="89"/>
      <c r="I503" s="89"/>
      <c r="J503" s="89"/>
      <c r="K503" s="89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</row>
    <row r="504" spans="2:23" s="14" customFormat="1" ht="17.100000000000001" customHeight="1">
      <c r="B504" s="89"/>
      <c r="C504" s="90"/>
      <c r="D504" s="91"/>
      <c r="E504" s="92"/>
      <c r="F504" s="89"/>
      <c r="G504" s="89"/>
      <c r="H504" s="89"/>
      <c r="I504" s="89"/>
      <c r="J504" s="89"/>
      <c r="K504" s="89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</row>
    <row r="505" spans="2:23" s="14" customFormat="1" ht="17.100000000000001" customHeight="1">
      <c r="B505" s="89"/>
      <c r="C505" s="90"/>
      <c r="D505" s="91"/>
      <c r="E505" s="92"/>
      <c r="F505" s="89"/>
      <c r="G505" s="89"/>
      <c r="H505" s="89"/>
      <c r="I505" s="89"/>
      <c r="J505" s="89"/>
      <c r="K505" s="89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</row>
    <row r="506" spans="2:23" s="14" customFormat="1" ht="17.100000000000001" customHeight="1">
      <c r="B506" s="89"/>
      <c r="C506" s="90"/>
      <c r="D506" s="91"/>
      <c r="E506" s="92"/>
      <c r="F506" s="89"/>
      <c r="G506" s="89"/>
      <c r="H506" s="89"/>
      <c r="I506" s="89"/>
      <c r="J506" s="89"/>
      <c r="K506" s="89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</row>
    <row r="507" spans="2:23" s="14" customFormat="1" ht="17.100000000000001" customHeight="1">
      <c r="B507" s="89"/>
      <c r="C507" s="90"/>
      <c r="D507" s="91"/>
      <c r="E507" s="92"/>
      <c r="F507" s="89"/>
      <c r="G507" s="89"/>
      <c r="H507" s="89"/>
      <c r="I507" s="89"/>
      <c r="J507" s="89"/>
      <c r="K507" s="89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</row>
    <row r="508" spans="2:23" s="14" customFormat="1" ht="17.100000000000001" customHeight="1">
      <c r="B508" s="89"/>
      <c r="C508" s="90"/>
      <c r="D508" s="91"/>
      <c r="E508" s="92"/>
      <c r="F508" s="89"/>
      <c r="G508" s="89"/>
      <c r="H508" s="89"/>
      <c r="I508" s="89"/>
      <c r="J508" s="89"/>
      <c r="K508" s="89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</row>
    <row r="509" spans="2:23" s="14" customFormat="1" ht="17.100000000000001" customHeight="1">
      <c r="B509" s="89"/>
      <c r="C509" s="90"/>
      <c r="D509" s="91"/>
      <c r="E509" s="92"/>
      <c r="F509" s="89"/>
      <c r="G509" s="89"/>
      <c r="H509" s="89"/>
      <c r="I509" s="89"/>
      <c r="J509" s="89"/>
      <c r="K509" s="89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</row>
    <row r="510" spans="2:23" s="14" customFormat="1" ht="17.100000000000001" customHeight="1">
      <c r="B510" s="89"/>
      <c r="C510" s="90"/>
      <c r="D510" s="91"/>
      <c r="E510" s="92"/>
      <c r="F510" s="89"/>
      <c r="G510" s="89"/>
      <c r="H510" s="89"/>
      <c r="I510" s="89"/>
      <c r="J510" s="89"/>
      <c r="K510" s="89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</row>
    <row r="511" spans="2:23" s="14" customFormat="1" ht="17.100000000000001" customHeight="1">
      <c r="B511" s="89"/>
      <c r="C511" s="90"/>
      <c r="D511" s="91"/>
      <c r="E511" s="92"/>
      <c r="F511" s="89"/>
      <c r="G511" s="89"/>
      <c r="H511" s="89"/>
      <c r="I511" s="89"/>
      <c r="J511" s="89"/>
      <c r="K511" s="89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</row>
    <row r="512" spans="2:23" s="14" customFormat="1" ht="17.100000000000001" customHeight="1">
      <c r="B512" s="89"/>
      <c r="C512" s="90"/>
      <c r="D512" s="91"/>
      <c r="E512" s="92"/>
      <c r="F512" s="89"/>
      <c r="G512" s="89"/>
      <c r="H512" s="89"/>
      <c r="I512" s="89"/>
      <c r="J512" s="89"/>
      <c r="K512" s="89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</row>
    <row r="513" spans="2:23" s="14" customFormat="1" ht="17.100000000000001" customHeight="1">
      <c r="B513" s="89"/>
      <c r="C513" s="90"/>
      <c r="D513" s="91"/>
      <c r="E513" s="92"/>
      <c r="F513" s="89"/>
      <c r="G513" s="89"/>
      <c r="H513" s="89"/>
      <c r="I513" s="89"/>
      <c r="J513" s="89"/>
      <c r="K513" s="89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</row>
    <row r="514" spans="2:23" s="14" customFormat="1" ht="17.100000000000001" customHeight="1">
      <c r="B514" s="89"/>
      <c r="C514" s="90"/>
      <c r="D514" s="91"/>
      <c r="E514" s="92"/>
      <c r="F514" s="89"/>
      <c r="G514" s="89"/>
      <c r="H514" s="89"/>
      <c r="I514" s="89"/>
      <c r="J514" s="89"/>
      <c r="K514" s="89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</row>
    <row r="515" spans="2:23" s="14" customFormat="1" ht="17.100000000000001" customHeight="1">
      <c r="B515" s="89"/>
      <c r="C515" s="90"/>
      <c r="D515" s="91"/>
      <c r="E515" s="92"/>
      <c r="F515" s="89"/>
      <c r="G515" s="89"/>
      <c r="H515" s="89"/>
      <c r="I515" s="89"/>
      <c r="J515" s="89"/>
      <c r="K515" s="89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</row>
    <row r="516" spans="2:23" s="14" customFormat="1" ht="17.100000000000001" customHeight="1">
      <c r="B516" s="89"/>
      <c r="C516" s="90"/>
      <c r="D516" s="91"/>
      <c r="E516" s="92"/>
      <c r="F516" s="89"/>
      <c r="G516" s="89"/>
      <c r="H516" s="89"/>
      <c r="I516" s="89"/>
      <c r="J516" s="89"/>
      <c r="K516" s="89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</row>
    <row r="517" spans="2:23" s="14" customFormat="1" ht="17.100000000000001" customHeight="1">
      <c r="B517" s="89"/>
      <c r="C517" s="90"/>
      <c r="D517" s="91"/>
      <c r="E517" s="92"/>
      <c r="F517" s="89"/>
      <c r="G517" s="89"/>
      <c r="H517" s="89"/>
      <c r="I517" s="89"/>
      <c r="J517" s="89"/>
      <c r="K517" s="89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</row>
    <row r="518" spans="2:23" s="14" customFormat="1" ht="17.100000000000001" customHeight="1">
      <c r="B518" s="89"/>
      <c r="C518" s="90"/>
      <c r="D518" s="91"/>
      <c r="E518" s="92"/>
      <c r="F518" s="89"/>
      <c r="G518" s="89"/>
      <c r="H518" s="89"/>
      <c r="I518" s="89"/>
      <c r="J518" s="89"/>
      <c r="K518" s="89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</row>
    <row r="519" spans="2:23" s="14" customFormat="1" ht="17.100000000000001" customHeight="1">
      <c r="B519" s="89"/>
      <c r="C519" s="90"/>
      <c r="D519" s="91"/>
      <c r="E519" s="92"/>
      <c r="F519" s="89"/>
      <c r="G519" s="89"/>
      <c r="H519" s="89"/>
      <c r="I519" s="89"/>
      <c r="J519" s="89"/>
      <c r="K519" s="89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</row>
    <row r="520" spans="2:23" s="14" customFormat="1" ht="17.100000000000001" customHeight="1">
      <c r="B520" s="89"/>
      <c r="C520" s="90"/>
      <c r="D520" s="91"/>
      <c r="E520" s="92"/>
      <c r="F520" s="89"/>
      <c r="G520" s="89"/>
      <c r="H520" s="89"/>
      <c r="I520" s="89"/>
      <c r="J520" s="89"/>
      <c r="K520" s="89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</row>
    <row r="521" spans="2:23" s="14" customFormat="1" ht="17.100000000000001" customHeight="1">
      <c r="B521" s="89"/>
      <c r="C521" s="90"/>
      <c r="D521" s="91"/>
      <c r="E521" s="92"/>
      <c r="F521" s="89"/>
      <c r="G521" s="89"/>
      <c r="H521" s="89"/>
      <c r="I521" s="89"/>
      <c r="J521" s="89"/>
      <c r="K521" s="89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</row>
    <row r="522" spans="2:23" s="14" customFormat="1" ht="17.100000000000001" customHeight="1">
      <c r="B522" s="89"/>
      <c r="C522" s="90"/>
      <c r="D522" s="91"/>
      <c r="E522" s="92"/>
      <c r="F522" s="89"/>
      <c r="G522" s="89"/>
      <c r="H522" s="89"/>
      <c r="I522" s="89"/>
      <c r="J522" s="89"/>
      <c r="K522" s="89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</row>
    <row r="523" spans="2:23" s="14" customFormat="1" ht="17.100000000000001" customHeight="1">
      <c r="B523" s="89"/>
      <c r="C523" s="90"/>
      <c r="D523" s="91"/>
      <c r="E523" s="92"/>
      <c r="F523" s="89"/>
      <c r="G523" s="89"/>
      <c r="H523" s="89"/>
      <c r="I523" s="89"/>
      <c r="J523" s="89"/>
      <c r="K523" s="89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</row>
    <row r="524" spans="2:23" s="14" customFormat="1" ht="17.100000000000001" customHeight="1">
      <c r="B524" s="89"/>
      <c r="C524" s="90"/>
      <c r="D524" s="91"/>
      <c r="E524" s="92"/>
      <c r="F524" s="89"/>
      <c r="G524" s="89"/>
      <c r="H524" s="89"/>
      <c r="I524" s="89"/>
      <c r="J524" s="89"/>
      <c r="K524" s="89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</row>
    <row r="525" spans="2:23" s="14" customFormat="1" ht="17.100000000000001" customHeight="1">
      <c r="B525" s="89"/>
      <c r="C525" s="90"/>
      <c r="D525" s="91"/>
      <c r="E525" s="92"/>
      <c r="F525" s="89"/>
      <c r="G525" s="89"/>
      <c r="H525" s="89"/>
      <c r="I525" s="89"/>
      <c r="J525" s="89"/>
      <c r="K525" s="89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</row>
    <row r="526" spans="2:23" s="14" customFormat="1" ht="17.100000000000001" customHeight="1">
      <c r="B526" s="89"/>
      <c r="C526" s="90"/>
      <c r="D526" s="91"/>
      <c r="E526" s="92"/>
      <c r="F526" s="89"/>
      <c r="G526" s="89"/>
      <c r="H526" s="89"/>
      <c r="I526" s="89"/>
      <c r="J526" s="89"/>
      <c r="K526" s="89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</row>
    <row r="527" spans="2:23" s="14" customFormat="1" ht="17.100000000000001" customHeight="1">
      <c r="B527" s="89"/>
      <c r="C527" s="90"/>
      <c r="D527" s="91"/>
      <c r="E527" s="92"/>
      <c r="F527" s="89"/>
      <c r="G527" s="89"/>
      <c r="H527" s="89"/>
      <c r="I527" s="89"/>
      <c r="J527" s="89"/>
      <c r="K527" s="89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</row>
    <row r="528" spans="2:23" s="14" customFormat="1" ht="17.100000000000001" customHeight="1">
      <c r="B528" s="89"/>
      <c r="C528" s="90"/>
      <c r="D528" s="91"/>
      <c r="E528" s="92"/>
      <c r="F528" s="89"/>
      <c r="G528" s="89"/>
      <c r="H528" s="89"/>
      <c r="I528" s="89"/>
      <c r="J528" s="89"/>
      <c r="K528" s="89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</row>
    <row r="529" spans="2:23" s="14" customFormat="1" ht="17.100000000000001" customHeight="1">
      <c r="B529" s="89"/>
      <c r="C529" s="90"/>
      <c r="D529" s="91"/>
      <c r="E529" s="92"/>
      <c r="F529" s="89"/>
      <c r="G529" s="89"/>
      <c r="H529" s="89"/>
      <c r="I529" s="89"/>
      <c r="J529" s="89"/>
      <c r="K529" s="89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</row>
    <row r="530" spans="2:23" s="14" customFormat="1" ht="17.100000000000001" customHeight="1">
      <c r="B530" s="89"/>
      <c r="C530" s="90"/>
      <c r="D530" s="91"/>
      <c r="E530" s="92"/>
      <c r="F530" s="89"/>
      <c r="G530" s="89"/>
      <c r="H530" s="89"/>
      <c r="I530" s="89"/>
      <c r="J530" s="89"/>
      <c r="K530" s="89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</row>
    <row r="531" spans="2:23" s="14" customFormat="1" ht="17.100000000000001" customHeight="1">
      <c r="B531" s="89"/>
      <c r="C531" s="90"/>
      <c r="D531" s="91"/>
      <c r="E531" s="92"/>
      <c r="F531" s="89"/>
      <c r="G531" s="89"/>
      <c r="H531" s="89"/>
      <c r="I531" s="89"/>
      <c r="J531" s="89"/>
      <c r="K531" s="89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</row>
    <row r="532" spans="2:23" s="14" customFormat="1" ht="17.100000000000001" customHeight="1">
      <c r="B532" s="89"/>
      <c r="C532" s="90"/>
      <c r="D532" s="91"/>
      <c r="E532" s="92"/>
      <c r="F532" s="89"/>
      <c r="G532" s="89"/>
      <c r="H532" s="89"/>
      <c r="I532" s="89"/>
      <c r="J532" s="89"/>
      <c r="K532" s="89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</row>
    <row r="533" spans="2:23" s="14" customFormat="1" ht="17.100000000000001" customHeight="1">
      <c r="B533" s="89"/>
      <c r="C533" s="90"/>
      <c r="D533" s="91"/>
      <c r="E533" s="92"/>
      <c r="F533" s="89"/>
      <c r="G533" s="89"/>
      <c r="H533" s="89"/>
      <c r="I533" s="89"/>
      <c r="J533" s="89"/>
      <c r="K533" s="89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</row>
    <row r="534" spans="2:23" s="14" customFormat="1" ht="17.100000000000001" customHeight="1">
      <c r="B534" s="89"/>
      <c r="C534" s="90"/>
      <c r="D534" s="91"/>
      <c r="E534" s="92"/>
      <c r="F534" s="89"/>
      <c r="G534" s="89"/>
      <c r="H534" s="89"/>
      <c r="I534" s="89"/>
      <c r="J534" s="89"/>
      <c r="K534" s="89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</row>
    <row r="535" spans="2:23" s="14" customFormat="1" ht="17.100000000000001" customHeight="1">
      <c r="B535" s="89"/>
      <c r="C535" s="90"/>
      <c r="D535" s="91"/>
      <c r="E535" s="92"/>
      <c r="F535" s="89"/>
      <c r="G535" s="89"/>
      <c r="H535" s="89"/>
      <c r="I535" s="89"/>
      <c r="J535" s="89"/>
      <c r="K535" s="89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</row>
    <row r="536" spans="2:23" s="14" customFormat="1" ht="17.100000000000001" customHeight="1">
      <c r="B536" s="89"/>
      <c r="C536" s="90"/>
      <c r="D536" s="91"/>
      <c r="E536" s="92"/>
      <c r="F536" s="89"/>
      <c r="G536" s="89"/>
      <c r="H536" s="89"/>
      <c r="I536" s="89"/>
      <c r="J536" s="89"/>
      <c r="K536" s="89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</row>
    <row r="537" spans="2:23" s="14" customFormat="1" ht="17.100000000000001" customHeight="1">
      <c r="B537" s="89"/>
      <c r="C537" s="90"/>
      <c r="D537" s="91"/>
      <c r="E537" s="92"/>
      <c r="F537" s="89"/>
      <c r="G537" s="89"/>
      <c r="H537" s="89"/>
      <c r="I537" s="89"/>
      <c r="J537" s="89"/>
      <c r="K537" s="89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</row>
    <row r="538" spans="2:23" s="14" customFormat="1" ht="17.100000000000001" customHeight="1">
      <c r="B538" s="89"/>
      <c r="C538" s="90"/>
      <c r="D538" s="91"/>
      <c r="E538" s="92"/>
      <c r="F538" s="89"/>
      <c r="G538" s="89"/>
      <c r="H538" s="89"/>
      <c r="I538" s="89"/>
      <c r="J538" s="89"/>
      <c r="K538" s="89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</row>
    <row r="539" spans="2:23" s="14" customFormat="1" ht="17.100000000000001" customHeight="1">
      <c r="B539" s="89"/>
      <c r="C539" s="90"/>
      <c r="D539" s="91"/>
      <c r="E539" s="92"/>
      <c r="F539" s="89"/>
      <c r="G539" s="89"/>
      <c r="H539" s="89"/>
      <c r="I539" s="89"/>
      <c r="J539" s="89"/>
      <c r="K539" s="89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</row>
    <row r="540" spans="2:23" s="14" customFormat="1" ht="17.100000000000001" customHeight="1">
      <c r="B540" s="89"/>
      <c r="C540" s="90"/>
      <c r="D540" s="91"/>
      <c r="E540" s="92"/>
      <c r="F540" s="89"/>
      <c r="G540" s="89"/>
      <c r="H540" s="89"/>
      <c r="I540" s="89"/>
      <c r="J540" s="89"/>
      <c r="K540" s="89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</row>
    <row r="541" spans="2:23" s="14" customFormat="1" ht="17.100000000000001" customHeight="1">
      <c r="B541" s="89"/>
      <c r="C541" s="90"/>
      <c r="D541" s="91"/>
      <c r="E541" s="92"/>
      <c r="F541" s="89"/>
      <c r="G541" s="89"/>
      <c r="H541" s="89"/>
      <c r="I541" s="89"/>
      <c r="J541" s="89"/>
      <c r="K541" s="89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</row>
    <row r="542" spans="2:23" s="14" customFormat="1" ht="17.100000000000001" customHeight="1">
      <c r="B542" s="89"/>
      <c r="C542" s="90"/>
      <c r="D542" s="91"/>
      <c r="E542" s="92"/>
      <c r="F542" s="89"/>
      <c r="G542" s="89"/>
      <c r="H542" s="89"/>
      <c r="I542" s="89"/>
      <c r="J542" s="89"/>
      <c r="K542" s="89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</row>
    <row r="543" spans="2:23" s="14" customFormat="1" ht="17.100000000000001" customHeight="1">
      <c r="B543" s="89"/>
      <c r="C543" s="90"/>
      <c r="D543" s="91"/>
      <c r="E543" s="92"/>
      <c r="F543" s="89"/>
      <c r="G543" s="89"/>
      <c r="H543" s="89"/>
      <c r="I543" s="89"/>
      <c r="J543" s="89"/>
      <c r="K543" s="89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</row>
    <row r="544" spans="2:23" s="14" customFormat="1" ht="17.100000000000001" customHeight="1">
      <c r="B544" s="89"/>
      <c r="C544" s="90"/>
      <c r="D544" s="91"/>
      <c r="E544" s="92"/>
      <c r="F544" s="89"/>
      <c r="G544" s="89"/>
      <c r="H544" s="89"/>
      <c r="I544" s="89"/>
      <c r="J544" s="89"/>
      <c r="K544" s="89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</row>
    <row r="545" spans="2:23" s="14" customFormat="1" ht="17.100000000000001" customHeight="1">
      <c r="B545" s="89"/>
      <c r="C545" s="90"/>
      <c r="D545" s="91"/>
      <c r="E545" s="92"/>
      <c r="F545" s="89"/>
      <c r="G545" s="89"/>
      <c r="H545" s="89"/>
      <c r="I545" s="89"/>
      <c r="J545" s="89"/>
      <c r="K545" s="89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</row>
    <row r="546" spans="2:23" s="14" customFormat="1" ht="17.100000000000001" customHeight="1">
      <c r="B546" s="89"/>
      <c r="C546" s="90"/>
      <c r="D546" s="91"/>
      <c r="E546" s="92"/>
      <c r="F546" s="89"/>
      <c r="G546" s="89"/>
      <c r="H546" s="89"/>
      <c r="I546" s="89"/>
      <c r="J546" s="89"/>
      <c r="K546" s="89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</row>
    <row r="547" spans="2:23" s="14" customFormat="1" ht="17.100000000000001" customHeight="1">
      <c r="B547" s="89"/>
      <c r="C547" s="90"/>
      <c r="D547" s="91"/>
      <c r="E547" s="92"/>
      <c r="F547" s="89"/>
      <c r="G547" s="89"/>
      <c r="H547" s="89"/>
      <c r="I547" s="89"/>
      <c r="J547" s="89"/>
      <c r="K547" s="89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</row>
    <row r="548" spans="2:23" s="14" customFormat="1" ht="17.100000000000001" customHeight="1">
      <c r="B548" s="89"/>
      <c r="C548" s="90"/>
      <c r="D548" s="91"/>
      <c r="E548" s="92"/>
      <c r="F548" s="89"/>
      <c r="G548" s="89"/>
      <c r="H548" s="89"/>
      <c r="I548" s="89"/>
      <c r="J548" s="89"/>
      <c r="K548" s="89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</row>
    <row r="549" spans="2:23" s="14" customFormat="1" ht="17.100000000000001" customHeight="1">
      <c r="B549" s="89"/>
      <c r="C549" s="90"/>
      <c r="D549" s="91"/>
      <c r="E549" s="92"/>
      <c r="F549" s="89"/>
      <c r="G549" s="89"/>
      <c r="H549" s="89"/>
      <c r="I549" s="89"/>
      <c r="J549" s="89"/>
      <c r="K549" s="89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</row>
    <row r="550" spans="2:23" s="14" customFormat="1" ht="17.100000000000001" customHeight="1">
      <c r="B550" s="89"/>
      <c r="C550" s="90"/>
      <c r="D550" s="91"/>
      <c r="E550" s="92"/>
      <c r="F550" s="89"/>
      <c r="G550" s="89"/>
      <c r="H550" s="89"/>
      <c r="I550" s="89"/>
      <c r="J550" s="89"/>
      <c r="K550" s="89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</row>
    <row r="551" spans="2:23" s="14" customFormat="1" ht="17.100000000000001" customHeight="1">
      <c r="B551" s="89"/>
      <c r="C551" s="90"/>
      <c r="D551" s="91"/>
      <c r="E551" s="92"/>
      <c r="F551" s="89"/>
      <c r="G551" s="89"/>
      <c r="H551" s="89"/>
      <c r="I551" s="89"/>
      <c r="J551" s="89"/>
      <c r="K551" s="89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</row>
    <row r="552" spans="2:23" s="14" customFormat="1" ht="17.100000000000001" customHeight="1">
      <c r="B552" s="89"/>
      <c r="C552" s="90"/>
      <c r="D552" s="91"/>
      <c r="E552" s="92"/>
      <c r="F552" s="89"/>
      <c r="G552" s="89"/>
      <c r="H552" s="89"/>
      <c r="I552" s="89"/>
      <c r="J552" s="89"/>
      <c r="K552" s="89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</row>
    <row r="553" spans="2:23" s="14" customFormat="1" ht="17.100000000000001" customHeight="1">
      <c r="B553" s="89"/>
      <c r="C553" s="90"/>
      <c r="D553" s="91"/>
      <c r="E553" s="92"/>
      <c r="F553" s="89"/>
      <c r="G553" s="89"/>
      <c r="H553" s="89"/>
      <c r="I553" s="89"/>
      <c r="J553" s="89"/>
      <c r="K553" s="89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</row>
    <row r="554" spans="2:23" s="14" customFormat="1" ht="17.100000000000001" customHeight="1">
      <c r="B554" s="89"/>
      <c r="C554" s="90"/>
      <c r="D554" s="91"/>
      <c r="E554" s="92"/>
      <c r="F554" s="89"/>
      <c r="G554" s="89"/>
      <c r="H554" s="89"/>
      <c r="I554" s="89"/>
      <c r="J554" s="89"/>
      <c r="K554" s="89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</row>
    <row r="555" spans="2:23" s="14" customFormat="1" ht="17.100000000000001" customHeight="1">
      <c r="B555" s="89"/>
      <c r="C555" s="90"/>
      <c r="D555" s="91"/>
      <c r="E555" s="92"/>
      <c r="F555" s="89"/>
      <c r="G555" s="89"/>
      <c r="H555" s="89"/>
      <c r="I555" s="89"/>
      <c r="J555" s="89"/>
      <c r="K555" s="89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</row>
    <row r="556" spans="2:23" s="14" customFormat="1" ht="17.100000000000001" customHeight="1">
      <c r="B556" s="89"/>
      <c r="C556" s="90"/>
      <c r="D556" s="91"/>
      <c r="E556" s="92"/>
      <c r="F556" s="89"/>
      <c r="G556" s="89"/>
      <c r="H556" s="89"/>
      <c r="I556" s="89"/>
      <c r="J556" s="89"/>
      <c r="K556" s="89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</row>
    <row r="557" spans="2:23" s="14" customFormat="1" ht="17.100000000000001" customHeight="1">
      <c r="B557" s="89"/>
      <c r="C557" s="90"/>
      <c r="D557" s="91"/>
      <c r="E557" s="92"/>
      <c r="F557" s="89"/>
      <c r="G557" s="89"/>
      <c r="H557" s="89"/>
      <c r="I557" s="89"/>
      <c r="J557" s="89"/>
      <c r="K557" s="89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</row>
    <row r="558" spans="2:23" s="14" customFormat="1" ht="17.100000000000001" customHeight="1">
      <c r="B558" s="89"/>
      <c r="C558" s="90"/>
      <c r="D558" s="91"/>
      <c r="E558" s="92"/>
      <c r="F558" s="89"/>
      <c r="G558" s="89"/>
      <c r="H558" s="89"/>
      <c r="I558" s="89"/>
      <c r="J558" s="89"/>
      <c r="K558" s="89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</row>
    <row r="559" spans="2:23" s="14" customFormat="1" ht="17.100000000000001" customHeight="1">
      <c r="B559" s="89"/>
      <c r="C559" s="90"/>
      <c r="D559" s="91"/>
      <c r="E559" s="92"/>
      <c r="F559" s="89"/>
      <c r="G559" s="89"/>
      <c r="H559" s="89"/>
      <c r="I559" s="89"/>
      <c r="J559" s="89"/>
      <c r="K559" s="89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</row>
    <row r="560" spans="2:23" s="14" customFormat="1" ht="17.100000000000001" customHeight="1">
      <c r="B560" s="89"/>
      <c r="C560" s="90"/>
      <c r="D560" s="91"/>
      <c r="E560" s="92"/>
      <c r="F560" s="89"/>
      <c r="G560" s="89"/>
      <c r="H560" s="89"/>
      <c r="I560" s="89"/>
      <c r="J560" s="89"/>
      <c r="K560" s="89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</row>
    <row r="561" spans="2:23" s="14" customFormat="1" ht="17.100000000000001" customHeight="1">
      <c r="B561" s="89"/>
      <c r="C561" s="90"/>
      <c r="D561" s="91"/>
      <c r="E561" s="92"/>
      <c r="F561" s="89"/>
      <c r="G561" s="89"/>
      <c r="H561" s="89"/>
      <c r="I561" s="89"/>
      <c r="J561" s="89"/>
      <c r="K561" s="89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</row>
    <row r="562" spans="2:23" s="14" customFormat="1" ht="17.100000000000001" customHeight="1">
      <c r="B562" s="89"/>
      <c r="C562" s="90"/>
      <c r="D562" s="91"/>
      <c r="E562" s="92"/>
      <c r="F562" s="89"/>
      <c r="G562" s="89"/>
      <c r="H562" s="89"/>
      <c r="I562" s="89"/>
      <c r="J562" s="89"/>
      <c r="K562" s="89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</row>
    <row r="563" spans="2:23" s="14" customFormat="1" ht="17.100000000000001" customHeight="1">
      <c r="B563" s="89"/>
      <c r="C563" s="90"/>
      <c r="D563" s="91"/>
      <c r="E563" s="92"/>
      <c r="F563" s="89"/>
      <c r="G563" s="89"/>
      <c r="H563" s="89"/>
      <c r="I563" s="89"/>
      <c r="J563" s="89"/>
      <c r="K563" s="89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</row>
    <row r="564" spans="2:23" s="14" customFormat="1" ht="17.100000000000001" customHeight="1">
      <c r="B564" s="89"/>
      <c r="C564" s="90"/>
      <c r="D564" s="91"/>
      <c r="E564" s="92"/>
      <c r="F564" s="89"/>
      <c r="G564" s="89"/>
      <c r="H564" s="89"/>
      <c r="I564" s="89"/>
      <c r="J564" s="89"/>
      <c r="K564" s="89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</row>
    <row r="565" spans="2:23" s="14" customFormat="1" ht="17.100000000000001" customHeight="1">
      <c r="B565" s="89"/>
      <c r="C565" s="90"/>
      <c r="D565" s="91"/>
      <c r="E565" s="92"/>
      <c r="F565" s="89"/>
      <c r="G565" s="89"/>
      <c r="H565" s="89"/>
      <c r="I565" s="89"/>
      <c r="J565" s="89"/>
      <c r="K565" s="89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</row>
    <row r="566" spans="2:23" s="14" customFormat="1" ht="17.100000000000001" customHeight="1">
      <c r="B566" s="89"/>
      <c r="C566" s="90"/>
      <c r="D566" s="91"/>
      <c r="E566" s="92"/>
      <c r="F566" s="89"/>
      <c r="G566" s="89"/>
      <c r="H566" s="89"/>
      <c r="I566" s="89"/>
      <c r="J566" s="89"/>
      <c r="K566" s="89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</row>
    <row r="567" spans="2:23" s="14" customFormat="1" ht="17.100000000000001" customHeight="1">
      <c r="B567" s="89"/>
      <c r="C567" s="90"/>
      <c r="D567" s="91"/>
      <c r="E567" s="92"/>
      <c r="F567" s="89"/>
      <c r="G567" s="89"/>
      <c r="H567" s="89"/>
      <c r="I567" s="89"/>
      <c r="J567" s="89"/>
      <c r="K567" s="89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</row>
    <row r="568" spans="2:23" s="14" customFormat="1" ht="17.100000000000001" customHeight="1">
      <c r="B568" s="89"/>
      <c r="C568" s="90"/>
      <c r="D568" s="91"/>
      <c r="E568" s="92"/>
      <c r="F568" s="89"/>
      <c r="G568" s="89"/>
      <c r="H568" s="89"/>
      <c r="I568" s="89"/>
      <c r="J568" s="89"/>
      <c r="K568" s="89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</row>
    <row r="569" spans="2:23" s="14" customFormat="1" ht="17.100000000000001" customHeight="1">
      <c r="B569" s="89"/>
      <c r="C569" s="90"/>
      <c r="D569" s="91"/>
      <c r="E569" s="92"/>
      <c r="F569" s="89"/>
      <c r="G569" s="89"/>
      <c r="H569" s="89"/>
      <c r="I569" s="89"/>
      <c r="J569" s="89"/>
      <c r="K569" s="89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</row>
    <row r="570" spans="2:23" s="14" customFormat="1" ht="17.100000000000001" customHeight="1">
      <c r="B570" s="89"/>
      <c r="C570" s="90"/>
      <c r="D570" s="91"/>
      <c r="E570" s="92"/>
      <c r="F570" s="89"/>
      <c r="G570" s="89"/>
      <c r="H570" s="89"/>
      <c r="I570" s="89"/>
      <c r="J570" s="89"/>
      <c r="K570" s="89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</row>
    <row r="571" spans="2:23" s="14" customFormat="1" ht="17.100000000000001" customHeight="1">
      <c r="B571" s="89"/>
      <c r="C571" s="90"/>
      <c r="D571" s="91"/>
      <c r="E571" s="92"/>
      <c r="F571" s="89"/>
      <c r="G571" s="89"/>
      <c r="H571" s="89"/>
      <c r="I571" s="89"/>
      <c r="J571" s="89"/>
      <c r="K571" s="89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</row>
    <row r="572" spans="2:23" s="14" customFormat="1" ht="17.100000000000001" customHeight="1">
      <c r="B572" s="89"/>
      <c r="C572" s="90"/>
      <c r="D572" s="91"/>
      <c r="E572" s="92"/>
      <c r="F572" s="89"/>
      <c r="G572" s="89"/>
      <c r="H572" s="89"/>
      <c r="I572" s="89"/>
      <c r="J572" s="89"/>
      <c r="K572" s="89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</row>
    <row r="573" spans="2:23" s="14" customFormat="1" ht="17.100000000000001" customHeight="1">
      <c r="B573" s="89"/>
      <c r="C573" s="90"/>
      <c r="D573" s="91"/>
      <c r="E573" s="92"/>
      <c r="F573" s="89"/>
      <c r="G573" s="89"/>
      <c r="H573" s="89"/>
      <c r="I573" s="89"/>
      <c r="J573" s="89"/>
      <c r="K573" s="89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</row>
    <row r="574" spans="2:23" s="14" customFormat="1" ht="17.100000000000001" customHeight="1">
      <c r="B574" s="89"/>
      <c r="C574" s="90"/>
      <c r="D574" s="91"/>
      <c r="E574" s="92"/>
      <c r="F574" s="89"/>
      <c r="G574" s="89"/>
      <c r="H574" s="89"/>
      <c r="I574" s="89"/>
      <c r="J574" s="89"/>
      <c r="K574" s="89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</row>
    <row r="575" spans="2:23" s="14" customFormat="1" ht="17.100000000000001" customHeight="1">
      <c r="B575" s="89"/>
      <c r="C575" s="90"/>
      <c r="D575" s="91"/>
      <c r="E575" s="92"/>
      <c r="F575" s="89"/>
      <c r="G575" s="89"/>
      <c r="H575" s="89"/>
      <c r="I575" s="89"/>
      <c r="J575" s="89"/>
      <c r="K575" s="89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</row>
    <row r="576" spans="2:23" s="14" customFormat="1" ht="17.100000000000001" customHeight="1">
      <c r="B576" s="89"/>
      <c r="C576" s="90"/>
      <c r="D576" s="91"/>
      <c r="E576" s="92"/>
      <c r="F576" s="89"/>
      <c r="G576" s="89"/>
      <c r="H576" s="89"/>
      <c r="I576" s="89"/>
      <c r="J576" s="89"/>
      <c r="K576" s="89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</row>
    <row r="577" spans="2:23" s="14" customFormat="1" ht="17.100000000000001" customHeight="1">
      <c r="B577" s="89"/>
      <c r="C577" s="90"/>
      <c r="D577" s="91"/>
      <c r="E577" s="92"/>
      <c r="F577" s="89"/>
      <c r="G577" s="89"/>
      <c r="H577" s="89"/>
      <c r="I577" s="89"/>
      <c r="J577" s="89"/>
      <c r="K577" s="89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</row>
    <row r="578" spans="2:23" s="14" customFormat="1" ht="17.100000000000001" customHeight="1">
      <c r="B578" s="89"/>
      <c r="C578" s="90"/>
      <c r="D578" s="91"/>
      <c r="E578" s="92"/>
      <c r="F578" s="89"/>
      <c r="G578" s="89"/>
      <c r="H578" s="89"/>
      <c r="I578" s="89"/>
      <c r="J578" s="89"/>
      <c r="K578" s="89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</row>
    <row r="579" spans="2:23" s="14" customFormat="1" ht="17.100000000000001" customHeight="1">
      <c r="B579" s="89"/>
      <c r="C579" s="90"/>
      <c r="D579" s="91"/>
      <c r="E579" s="92"/>
      <c r="F579" s="89"/>
      <c r="G579" s="89"/>
      <c r="H579" s="89"/>
      <c r="I579" s="89"/>
      <c r="J579" s="89"/>
      <c r="K579" s="89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</row>
    <row r="580" spans="2:23" s="14" customFormat="1" ht="17.100000000000001" customHeight="1">
      <c r="B580" s="89"/>
      <c r="C580" s="90"/>
      <c r="D580" s="91"/>
      <c r="E580" s="92"/>
      <c r="F580" s="89"/>
      <c r="G580" s="89"/>
      <c r="H580" s="89"/>
      <c r="I580" s="89"/>
      <c r="J580" s="89"/>
      <c r="K580" s="89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</row>
    <row r="581" spans="2:23" s="14" customFormat="1" ht="17.100000000000001" customHeight="1">
      <c r="B581" s="89"/>
      <c r="C581" s="90"/>
      <c r="D581" s="91"/>
      <c r="E581" s="92"/>
      <c r="F581" s="89"/>
      <c r="G581" s="89"/>
      <c r="H581" s="89"/>
      <c r="I581" s="89"/>
      <c r="J581" s="89"/>
      <c r="K581" s="89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</row>
    <row r="582" spans="2:23" s="14" customFormat="1" ht="17.100000000000001" customHeight="1">
      <c r="B582" s="89"/>
      <c r="C582" s="90"/>
      <c r="D582" s="91"/>
      <c r="E582" s="92"/>
      <c r="F582" s="89"/>
      <c r="G582" s="89"/>
      <c r="H582" s="89"/>
      <c r="I582" s="89"/>
      <c r="J582" s="89"/>
      <c r="K582" s="89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</row>
    <row r="583" spans="2:23" s="14" customFormat="1" ht="17.100000000000001" customHeight="1">
      <c r="B583" s="89"/>
      <c r="C583" s="90"/>
      <c r="D583" s="91"/>
      <c r="E583" s="92"/>
      <c r="F583" s="89"/>
      <c r="G583" s="89"/>
      <c r="H583" s="89"/>
      <c r="I583" s="89"/>
      <c r="J583" s="89"/>
      <c r="K583" s="89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</row>
    <row r="584" spans="2:23" s="14" customFormat="1" ht="17.100000000000001" customHeight="1">
      <c r="B584" s="89"/>
      <c r="C584" s="90"/>
      <c r="D584" s="91"/>
      <c r="E584" s="92"/>
      <c r="F584" s="89"/>
      <c r="G584" s="89"/>
      <c r="H584" s="89"/>
      <c r="I584" s="89"/>
      <c r="J584" s="89"/>
      <c r="K584" s="89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</row>
    <row r="585" spans="2:23" s="14" customFormat="1" ht="17.100000000000001" customHeight="1">
      <c r="B585" s="89"/>
      <c r="C585" s="90"/>
      <c r="D585" s="91"/>
      <c r="E585" s="92"/>
      <c r="F585" s="89"/>
      <c r="G585" s="89"/>
      <c r="H585" s="89"/>
      <c r="I585" s="89"/>
      <c r="J585" s="89"/>
      <c r="K585" s="89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</row>
    <row r="586" spans="2:23" s="14" customFormat="1" ht="17.100000000000001" customHeight="1">
      <c r="B586" s="89"/>
      <c r="C586" s="90"/>
      <c r="D586" s="91"/>
      <c r="E586" s="92"/>
      <c r="F586" s="89"/>
      <c r="G586" s="89"/>
      <c r="H586" s="89"/>
      <c r="I586" s="89"/>
      <c r="J586" s="89"/>
      <c r="K586" s="89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</row>
    <row r="587" spans="2:23" s="14" customFormat="1" ht="17.100000000000001" customHeight="1">
      <c r="B587" s="89"/>
      <c r="C587" s="90"/>
      <c r="D587" s="91"/>
      <c r="E587" s="92"/>
      <c r="F587" s="89"/>
      <c r="G587" s="89"/>
      <c r="H587" s="89"/>
      <c r="I587" s="89"/>
      <c r="J587" s="89"/>
      <c r="K587" s="89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</row>
    <row r="588" spans="2:23" s="14" customFormat="1" ht="17.100000000000001" customHeight="1">
      <c r="B588" s="89"/>
      <c r="C588" s="90"/>
      <c r="D588" s="91"/>
      <c r="E588" s="92"/>
      <c r="F588" s="89"/>
      <c r="G588" s="89"/>
      <c r="H588" s="89"/>
      <c r="I588" s="89"/>
      <c r="J588" s="89"/>
      <c r="K588" s="89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</row>
    <row r="589" spans="2:23" s="14" customFormat="1" ht="17.100000000000001" customHeight="1">
      <c r="B589" s="89"/>
      <c r="C589" s="90"/>
      <c r="D589" s="91"/>
      <c r="E589" s="92"/>
      <c r="F589" s="89"/>
      <c r="G589" s="89"/>
      <c r="H589" s="89"/>
      <c r="I589" s="89"/>
      <c r="J589" s="89"/>
      <c r="K589" s="89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</row>
    <row r="590" spans="2:23" s="14" customFormat="1" ht="17.100000000000001" customHeight="1">
      <c r="B590" s="89"/>
      <c r="C590" s="90"/>
      <c r="D590" s="91"/>
      <c r="E590" s="92"/>
      <c r="F590" s="89"/>
      <c r="G590" s="89"/>
      <c r="H590" s="89"/>
      <c r="I590" s="89"/>
      <c r="J590" s="89"/>
      <c r="K590" s="89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</row>
    <row r="591" spans="2:23" s="14" customFormat="1" ht="17.100000000000001" customHeight="1">
      <c r="B591" s="89"/>
      <c r="C591" s="90"/>
      <c r="D591" s="91"/>
      <c r="E591" s="92"/>
      <c r="F591" s="89"/>
      <c r="G591" s="89"/>
      <c r="H591" s="89"/>
      <c r="I591" s="89"/>
      <c r="J591" s="89"/>
      <c r="K591" s="89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</row>
    <row r="592" spans="2:23" s="14" customFormat="1" ht="17.100000000000001" customHeight="1">
      <c r="B592" s="89"/>
      <c r="C592" s="90"/>
      <c r="D592" s="91"/>
      <c r="E592" s="92"/>
      <c r="F592" s="89"/>
      <c r="G592" s="89"/>
      <c r="H592" s="89"/>
      <c r="I592" s="89"/>
      <c r="J592" s="89"/>
      <c r="K592" s="89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</row>
    <row r="593" spans="2:23" s="14" customFormat="1" ht="17.100000000000001" customHeight="1">
      <c r="B593" s="89"/>
      <c r="C593" s="90"/>
      <c r="D593" s="91"/>
      <c r="E593" s="92"/>
      <c r="F593" s="89"/>
      <c r="G593" s="89"/>
      <c r="H593" s="89"/>
      <c r="I593" s="89"/>
      <c r="J593" s="89"/>
      <c r="K593" s="89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</row>
    <row r="594" spans="2:23" s="14" customFormat="1" ht="17.100000000000001" customHeight="1">
      <c r="B594" s="89"/>
      <c r="C594" s="90"/>
      <c r="D594" s="91"/>
      <c r="E594" s="92"/>
      <c r="F594" s="89"/>
      <c r="G594" s="89"/>
      <c r="H594" s="89"/>
      <c r="I594" s="89"/>
      <c r="J594" s="89"/>
      <c r="K594" s="89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</row>
    <row r="595" spans="2:23" s="14" customFormat="1" ht="17.100000000000001" customHeight="1">
      <c r="B595" s="89"/>
      <c r="C595" s="90"/>
      <c r="D595" s="91"/>
      <c r="E595" s="92"/>
      <c r="F595" s="89"/>
      <c r="G595" s="89"/>
      <c r="H595" s="89"/>
      <c r="I595" s="89"/>
      <c r="J595" s="89"/>
      <c r="K595" s="89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</row>
    <row r="596" spans="2:23" s="14" customFormat="1" ht="17.100000000000001" customHeight="1">
      <c r="B596" s="89"/>
      <c r="C596" s="90"/>
      <c r="D596" s="91"/>
      <c r="E596" s="92"/>
      <c r="F596" s="89"/>
      <c r="G596" s="89"/>
      <c r="H596" s="89"/>
      <c r="I596" s="89"/>
      <c r="J596" s="89"/>
      <c r="K596" s="89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</row>
    <row r="597" spans="2:23" s="14" customFormat="1" ht="17.100000000000001" customHeight="1">
      <c r="B597" s="89"/>
      <c r="C597" s="90"/>
      <c r="D597" s="91"/>
      <c r="E597" s="92"/>
      <c r="F597" s="89"/>
      <c r="G597" s="89"/>
      <c r="H597" s="89"/>
      <c r="I597" s="89"/>
      <c r="J597" s="89"/>
      <c r="K597" s="89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</row>
    <row r="598" spans="2:23" s="14" customFormat="1" ht="17.100000000000001" customHeight="1">
      <c r="B598" s="89"/>
      <c r="C598" s="90"/>
      <c r="D598" s="91"/>
      <c r="E598" s="92"/>
      <c r="F598" s="89"/>
      <c r="G598" s="89"/>
      <c r="H598" s="89"/>
      <c r="I598" s="89"/>
      <c r="J598" s="89"/>
      <c r="K598" s="89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</row>
    <row r="599" spans="2:23" s="14" customFormat="1" ht="17.100000000000001" customHeight="1">
      <c r="B599" s="89"/>
      <c r="C599" s="90"/>
      <c r="D599" s="91"/>
      <c r="E599" s="92"/>
      <c r="F599" s="89"/>
      <c r="G599" s="89"/>
      <c r="H599" s="89"/>
      <c r="I599" s="89"/>
      <c r="J599" s="89"/>
      <c r="K599" s="89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</row>
    <row r="600" spans="2:23" s="14" customFormat="1" ht="17.100000000000001" customHeight="1">
      <c r="B600" s="89"/>
      <c r="C600" s="90"/>
      <c r="D600" s="91"/>
      <c r="E600" s="92"/>
      <c r="F600" s="89"/>
      <c r="G600" s="89"/>
      <c r="H600" s="89"/>
      <c r="I600" s="89"/>
      <c r="J600" s="89"/>
      <c r="K600" s="89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</row>
    <row r="601" spans="2:23" s="14" customFormat="1" ht="17.100000000000001" customHeight="1">
      <c r="B601" s="89"/>
      <c r="C601" s="90"/>
      <c r="D601" s="91"/>
      <c r="E601" s="92"/>
      <c r="F601" s="89"/>
      <c r="G601" s="89"/>
      <c r="H601" s="89"/>
      <c r="I601" s="89"/>
      <c r="J601" s="89"/>
      <c r="K601" s="89"/>
      <c r="L601" s="93"/>
      <c r="M601" s="93"/>
      <c r="N601" s="93"/>
      <c r="O601" s="93"/>
      <c r="P601" s="93"/>
      <c r="Q601" s="93"/>
      <c r="R601" s="93"/>
      <c r="S601" s="93"/>
      <c r="T601" s="93"/>
      <c r="U601" s="93"/>
      <c r="V601" s="93"/>
      <c r="W601" s="93"/>
    </row>
    <row r="602" spans="2:23" s="14" customFormat="1" ht="17.100000000000001" customHeight="1">
      <c r="B602" s="89"/>
      <c r="C602" s="90"/>
      <c r="D602" s="91"/>
      <c r="E602" s="92"/>
      <c r="F602" s="89"/>
      <c r="G602" s="89"/>
      <c r="H602" s="89"/>
      <c r="I602" s="89"/>
      <c r="J602" s="89"/>
      <c r="K602" s="89"/>
      <c r="L602" s="93"/>
      <c r="M602" s="93"/>
      <c r="N602" s="93"/>
      <c r="O602" s="93"/>
      <c r="P602" s="93"/>
      <c r="Q602" s="93"/>
      <c r="R602" s="93"/>
      <c r="S602" s="93"/>
      <c r="T602" s="93"/>
      <c r="U602" s="93"/>
      <c r="V602" s="93"/>
      <c r="W602" s="93"/>
    </row>
    <row r="603" spans="2:23" s="14" customFormat="1" ht="17.100000000000001" customHeight="1">
      <c r="B603" s="89"/>
      <c r="C603" s="90"/>
      <c r="D603" s="91"/>
      <c r="E603" s="92"/>
      <c r="F603" s="89"/>
      <c r="G603" s="89"/>
      <c r="H603" s="89"/>
      <c r="I603" s="89"/>
      <c r="J603" s="89"/>
      <c r="K603" s="89"/>
      <c r="L603" s="93"/>
      <c r="M603" s="93"/>
      <c r="N603" s="93"/>
      <c r="O603" s="93"/>
      <c r="P603" s="93"/>
      <c r="Q603" s="93"/>
      <c r="R603" s="93"/>
      <c r="S603" s="93"/>
      <c r="T603" s="93"/>
      <c r="U603" s="93"/>
      <c r="V603" s="93"/>
      <c r="W603" s="93"/>
    </row>
    <row r="604" spans="2:23" s="14" customFormat="1" ht="17.100000000000001" customHeight="1">
      <c r="B604" s="89"/>
      <c r="C604" s="90"/>
      <c r="D604" s="91"/>
      <c r="E604" s="92"/>
      <c r="F604" s="89"/>
      <c r="G604" s="89"/>
      <c r="H604" s="89"/>
      <c r="I604" s="89"/>
      <c r="J604" s="89"/>
      <c r="K604" s="89"/>
      <c r="L604" s="93"/>
      <c r="M604" s="93"/>
      <c r="N604" s="93"/>
      <c r="O604" s="93"/>
      <c r="P604" s="93"/>
      <c r="Q604" s="93"/>
      <c r="R604" s="93"/>
      <c r="S604" s="93"/>
      <c r="T604" s="93"/>
      <c r="U604" s="93"/>
      <c r="V604" s="93"/>
      <c r="W604" s="93"/>
    </row>
    <row r="605" spans="2:23" s="14" customFormat="1" ht="17.100000000000001" customHeight="1">
      <c r="B605" s="89"/>
      <c r="C605" s="90"/>
      <c r="D605" s="91"/>
      <c r="E605" s="92"/>
      <c r="F605" s="89"/>
      <c r="G605" s="89"/>
      <c r="H605" s="89"/>
      <c r="I605" s="89"/>
      <c r="J605" s="89"/>
      <c r="K605" s="89"/>
      <c r="L605" s="93"/>
      <c r="M605" s="93"/>
      <c r="N605" s="93"/>
      <c r="O605" s="93"/>
      <c r="P605" s="93"/>
      <c r="Q605" s="93"/>
      <c r="R605" s="93"/>
      <c r="S605" s="93"/>
      <c r="T605" s="93"/>
      <c r="U605" s="93"/>
      <c r="V605" s="93"/>
      <c r="W605" s="93"/>
    </row>
    <row r="606" spans="2:23" s="14" customFormat="1" ht="17.100000000000001" customHeight="1">
      <c r="B606" s="89"/>
      <c r="C606" s="90"/>
      <c r="D606" s="91"/>
      <c r="E606" s="92"/>
      <c r="F606" s="89"/>
      <c r="G606" s="89"/>
      <c r="H606" s="89"/>
      <c r="I606" s="89"/>
      <c r="J606" s="89"/>
      <c r="K606" s="89"/>
      <c r="L606" s="93"/>
      <c r="M606" s="93"/>
      <c r="N606" s="93"/>
      <c r="O606" s="93"/>
      <c r="P606" s="93"/>
      <c r="Q606" s="93"/>
      <c r="R606" s="93"/>
      <c r="S606" s="93"/>
      <c r="T606" s="93"/>
      <c r="U606" s="93"/>
      <c r="V606" s="93"/>
      <c r="W606" s="93"/>
    </row>
    <row r="607" spans="2:23" s="14" customFormat="1" ht="17.100000000000001" customHeight="1">
      <c r="B607" s="89"/>
      <c r="C607" s="90"/>
      <c r="D607" s="91"/>
      <c r="E607" s="92"/>
      <c r="F607" s="89"/>
      <c r="G607" s="89"/>
      <c r="H607" s="89"/>
      <c r="I607" s="89"/>
      <c r="J607" s="89"/>
      <c r="K607" s="89"/>
      <c r="L607" s="93"/>
      <c r="M607" s="93"/>
      <c r="N607" s="93"/>
      <c r="O607" s="93"/>
      <c r="P607" s="93"/>
      <c r="Q607" s="93"/>
      <c r="R607" s="93"/>
      <c r="S607" s="93"/>
      <c r="T607" s="93"/>
      <c r="U607" s="93"/>
      <c r="V607" s="93"/>
      <c r="W607" s="93"/>
    </row>
    <row r="608" spans="2:23" s="14" customFormat="1" ht="17.100000000000001" customHeight="1">
      <c r="B608" s="89"/>
      <c r="C608" s="90"/>
      <c r="D608" s="91"/>
      <c r="E608" s="92"/>
      <c r="F608" s="89"/>
      <c r="G608" s="89"/>
      <c r="H608" s="89"/>
      <c r="I608" s="89"/>
      <c r="J608" s="89"/>
      <c r="K608" s="89"/>
      <c r="L608" s="93"/>
      <c r="M608" s="93"/>
      <c r="N608" s="93"/>
      <c r="O608" s="93"/>
      <c r="P608" s="93"/>
      <c r="Q608" s="93"/>
      <c r="R608" s="93"/>
      <c r="S608" s="93"/>
      <c r="T608" s="93"/>
      <c r="U608" s="93"/>
      <c r="V608" s="93"/>
      <c r="W608" s="93"/>
    </row>
    <row r="609" spans="2:23" s="14" customFormat="1" ht="17.100000000000001" customHeight="1">
      <c r="B609" s="89"/>
      <c r="C609" s="90"/>
      <c r="D609" s="91"/>
      <c r="E609" s="92"/>
      <c r="F609" s="89"/>
      <c r="G609" s="89"/>
      <c r="H609" s="89"/>
      <c r="I609" s="89"/>
      <c r="J609" s="89"/>
      <c r="K609" s="89"/>
      <c r="L609" s="93"/>
      <c r="M609" s="93"/>
      <c r="N609" s="93"/>
      <c r="O609" s="93"/>
      <c r="P609" s="93"/>
      <c r="Q609" s="93"/>
      <c r="R609" s="93"/>
      <c r="S609" s="93"/>
      <c r="T609" s="93"/>
      <c r="U609" s="93"/>
      <c r="V609" s="93"/>
      <c r="W609" s="93"/>
    </row>
    <row r="610" spans="2:23" s="14" customFormat="1" ht="17.100000000000001" customHeight="1">
      <c r="B610" s="89"/>
      <c r="C610" s="90"/>
      <c r="D610" s="91"/>
      <c r="E610" s="92"/>
      <c r="F610" s="89"/>
      <c r="G610" s="89"/>
      <c r="H610" s="89"/>
      <c r="I610" s="89"/>
      <c r="J610" s="89"/>
      <c r="K610" s="89"/>
      <c r="L610" s="93"/>
      <c r="M610" s="93"/>
      <c r="N610" s="93"/>
      <c r="O610" s="93"/>
      <c r="P610" s="93"/>
      <c r="Q610" s="93"/>
      <c r="R610" s="93"/>
      <c r="S610" s="93"/>
      <c r="T610" s="93"/>
      <c r="U610" s="93"/>
      <c r="V610" s="93"/>
      <c r="W610" s="93"/>
    </row>
    <row r="611" spans="2:23" s="14" customFormat="1" ht="17.100000000000001" customHeight="1">
      <c r="B611" s="89"/>
      <c r="C611" s="90"/>
      <c r="D611" s="91"/>
      <c r="E611" s="92"/>
      <c r="F611" s="89"/>
      <c r="G611" s="89"/>
      <c r="H611" s="89"/>
      <c r="I611" s="89"/>
      <c r="J611" s="89"/>
      <c r="K611" s="89"/>
      <c r="L611" s="93"/>
      <c r="M611" s="93"/>
      <c r="N611" s="93"/>
      <c r="O611" s="93"/>
      <c r="P611" s="93"/>
      <c r="Q611" s="93"/>
      <c r="R611" s="93"/>
      <c r="S611" s="93"/>
      <c r="T611" s="93"/>
      <c r="U611" s="93"/>
      <c r="V611" s="93"/>
      <c r="W611" s="93"/>
    </row>
    <row r="612" spans="2:23" s="14" customFormat="1" ht="17.100000000000001" customHeight="1">
      <c r="B612" s="89"/>
      <c r="C612" s="90"/>
      <c r="D612" s="91"/>
      <c r="E612" s="92"/>
      <c r="F612" s="89"/>
      <c r="G612" s="89"/>
      <c r="H612" s="89"/>
      <c r="I612" s="89"/>
      <c r="J612" s="89"/>
      <c r="K612" s="89"/>
      <c r="L612" s="93"/>
      <c r="M612" s="93"/>
      <c r="N612" s="93"/>
      <c r="O612" s="93"/>
      <c r="P612" s="93"/>
      <c r="Q612" s="93"/>
      <c r="R612" s="93"/>
      <c r="S612" s="93"/>
      <c r="T612" s="93"/>
      <c r="U612" s="93"/>
      <c r="V612" s="93"/>
      <c r="W612" s="93"/>
    </row>
    <row r="613" spans="2:23" s="14" customFormat="1" ht="17.100000000000001" customHeight="1">
      <c r="B613" s="89"/>
      <c r="C613" s="90"/>
      <c r="D613" s="91"/>
      <c r="E613" s="92"/>
      <c r="F613" s="89"/>
      <c r="G613" s="89"/>
      <c r="H613" s="89"/>
      <c r="I613" s="89"/>
      <c r="J613" s="89"/>
      <c r="K613" s="89"/>
      <c r="L613" s="93"/>
      <c r="M613" s="93"/>
      <c r="N613" s="93"/>
      <c r="O613" s="93"/>
      <c r="P613" s="93"/>
      <c r="Q613" s="93"/>
      <c r="R613" s="93"/>
      <c r="S613" s="93"/>
      <c r="T613" s="93"/>
      <c r="U613" s="93"/>
      <c r="V613" s="93"/>
      <c r="W613" s="93"/>
    </row>
    <row r="614" spans="2:23" s="14" customFormat="1" ht="17.100000000000001" customHeight="1">
      <c r="B614" s="89"/>
      <c r="C614" s="90"/>
      <c r="D614" s="91"/>
      <c r="E614" s="92"/>
      <c r="F614" s="89"/>
      <c r="G614" s="89"/>
      <c r="H614" s="89"/>
      <c r="I614" s="89"/>
      <c r="J614" s="89"/>
      <c r="K614" s="89"/>
      <c r="L614" s="93"/>
      <c r="M614" s="93"/>
      <c r="N614" s="93"/>
      <c r="O614" s="93"/>
      <c r="P614" s="93"/>
      <c r="Q614" s="93"/>
      <c r="R614" s="93"/>
      <c r="S614" s="93"/>
      <c r="T614" s="93"/>
      <c r="U614" s="93"/>
      <c r="V614" s="93"/>
      <c r="W614" s="93"/>
    </row>
    <row r="615" spans="2:23" s="14" customFormat="1" ht="17.100000000000001" customHeight="1">
      <c r="B615" s="89"/>
      <c r="C615" s="90"/>
      <c r="D615" s="91"/>
      <c r="E615" s="92"/>
      <c r="F615" s="89"/>
      <c r="G615" s="89"/>
      <c r="H615" s="89"/>
      <c r="I615" s="89"/>
      <c r="J615" s="89"/>
      <c r="K615" s="89"/>
      <c r="L615" s="93"/>
      <c r="M615" s="93"/>
      <c r="N615" s="93"/>
      <c r="O615" s="93"/>
      <c r="P615" s="93"/>
      <c r="Q615" s="93"/>
      <c r="R615" s="93"/>
      <c r="S615" s="93"/>
      <c r="T615" s="93"/>
      <c r="U615" s="93"/>
      <c r="V615" s="93"/>
      <c r="W615" s="93"/>
    </row>
    <row r="616" spans="2:23" s="14" customFormat="1" ht="17.100000000000001" customHeight="1">
      <c r="B616" s="89"/>
      <c r="C616" s="90"/>
      <c r="D616" s="91"/>
      <c r="E616" s="92"/>
      <c r="F616" s="89"/>
      <c r="G616" s="89"/>
      <c r="H616" s="89"/>
      <c r="I616" s="89"/>
      <c r="J616" s="89"/>
      <c r="K616" s="89"/>
      <c r="L616" s="93"/>
      <c r="M616" s="93"/>
      <c r="N616" s="93"/>
      <c r="O616" s="93"/>
      <c r="P616" s="93"/>
      <c r="Q616" s="93"/>
      <c r="R616" s="93"/>
      <c r="S616" s="93"/>
      <c r="T616" s="93"/>
      <c r="U616" s="93"/>
      <c r="V616" s="93"/>
      <c r="W616" s="93"/>
    </row>
    <row r="617" spans="2:23" s="14" customFormat="1" ht="17.100000000000001" customHeight="1">
      <c r="B617" s="89"/>
      <c r="C617" s="90"/>
      <c r="D617" s="91"/>
      <c r="E617" s="92"/>
      <c r="F617" s="89"/>
      <c r="G617" s="89"/>
      <c r="H617" s="89"/>
      <c r="I617" s="89"/>
      <c r="J617" s="89"/>
      <c r="K617" s="89"/>
      <c r="L617" s="93"/>
      <c r="M617" s="93"/>
      <c r="N617" s="93"/>
      <c r="O617" s="93"/>
      <c r="P617" s="93"/>
      <c r="Q617" s="93"/>
      <c r="R617" s="93"/>
      <c r="S617" s="93"/>
      <c r="T617" s="93"/>
      <c r="U617" s="93"/>
      <c r="V617" s="93"/>
      <c r="W617" s="93"/>
    </row>
    <row r="618" spans="2:23" s="14" customFormat="1" ht="17.100000000000001" customHeight="1">
      <c r="B618" s="89"/>
      <c r="C618" s="90"/>
      <c r="D618" s="91"/>
      <c r="E618" s="92"/>
      <c r="F618" s="89"/>
      <c r="G618" s="89"/>
      <c r="H618" s="89"/>
      <c r="I618" s="89"/>
      <c r="J618" s="89"/>
      <c r="K618" s="89"/>
      <c r="L618" s="93"/>
      <c r="M618" s="93"/>
      <c r="N618" s="93"/>
      <c r="O618" s="93"/>
      <c r="P618" s="93"/>
      <c r="Q618" s="93"/>
      <c r="R618" s="93"/>
      <c r="S618" s="93"/>
      <c r="T618" s="93"/>
      <c r="U618" s="93"/>
      <c r="V618" s="93"/>
      <c r="W618" s="93"/>
    </row>
    <row r="619" spans="2:23" s="14" customFormat="1" ht="17.100000000000001" customHeight="1">
      <c r="B619" s="89"/>
      <c r="C619" s="90"/>
      <c r="D619" s="91"/>
      <c r="E619" s="92"/>
      <c r="F619" s="89"/>
      <c r="G619" s="89"/>
      <c r="H619" s="89"/>
      <c r="I619" s="89"/>
      <c r="J619" s="89"/>
      <c r="K619" s="89"/>
      <c r="L619" s="93"/>
      <c r="M619" s="93"/>
      <c r="N619" s="93"/>
      <c r="O619" s="93"/>
      <c r="P619" s="93"/>
      <c r="Q619" s="93"/>
      <c r="R619" s="93"/>
      <c r="S619" s="93"/>
      <c r="T619" s="93"/>
      <c r="U619" s="93"/>
      <c r="V619" s="93"/>
      <c r="W619" s="93"/>
    </row>
    <row r="620" spans="2:23" s="14" customFormat="1" ht="17.100000000000001" customHeight="1">
      <c r="B620" s="89"/>
      <c r="C620" s="90"/>
      <c r="D620" s="91"/>
      <c r="E620" s="92"/>
      <c r="F620" s="89"/>
      <c r="G620" s="89"/>
      <c r="H620" s="89"/>
      <c r="I620" s="89"/>
      <c r="J620" s="89"/>
      <c r="K620" s="89"/>
      <c r="L620" s="93"/>
      <c r="M620" s="93"/>
      <c r="N620" s="93"/>
      <c r="O620" s="93"/>
      <c r="P620" s="93"/>
      <c r="Q620" s="93"/>
      <c r="R620" s="93"/>
      <c r="S620" s="93"/>
      <c r="T620" s="93"/>
      <c r="U620" s="93"/>
      <c r="V620" s="93"/>
      <c r="W620" s="93"/>
    </row>
    <row r="621" spans="2:23" s="14" customFormat="1" ht="17.100000000000001" customHeight="1">
      <c r="B621" s="89"/>
      <c r="C621" s="90"/>
      <c r="D621" s="91"/>
      <c r="E621" s="92"/>
      <c r="F621" s="89"/>
      <c r="G621" s="89"/>
      <c r="H621" s="89"/>
      <c r="I621" s="89"/>
      <c r="J621" s="89"/>
      <c r="K621" s="89"/>
      <c r="L621" s="93"/>
      <c r="M621" s="93"/>
      <c r="N621" s="93"/>
      <c r="O621" s="93"/>
      <c r="P621" s="93"/>
      <c r="Q621" s="93"/>
      <c r="R621" s="93"/>
      <c r="S621" s="93"/>
      <c r="T621" s="93"/>
      <c r="U621" s="93"/>
      <c r="V621" s="93"/>
      <c r="W621" s="93"/>
    </row>
    <row r="622" spans="2:23" s="14" customFormat="1" ht="17.100000000000001" customHeight="1">
      <c r="B622" s="89"/>
      <c r="C622" s="90"/>
      <c r="D622" s="91"/>
      <c r="E622" s="92"/>
      <c r="F622" s="89"/>
      <c r="G622" s="89"/>
      <c r="H622" s="89"/>
      <c r="I622" s="89"/>
      <c r="J622" s="89"/>
      <c r="K622" s="89"/>
      <c r="L622" s="93"/>
      <c r="M622" s="93"/>
      <c r="N622" s="93"/>
      <c r="O622" s="93"/>
      <c r="P622" s="93"/>
      <c r="Q622" s="93"/>
      <c r="R622" s="93"/>
      <c r="S622" s="93"/>
      <c r="T622" s="93"/>
      <c r="U622" s="93"/>
      <c r="V622" s="93"/>
      <c r="W622" s="93"/>
    </row>
    <row r="623" spans="2:23" s="14" customFormat="1" ht="17.100000000000001" customHeight="1">
      <c r="B623" s="89"/>
      <c r="C623" s="90"/>
      <c r="D623" s="91"/>
      <c r="E623" s="92"/>
      <c r="F623" s="89"/>
      <c r="G623" s="89"/>
      <c r="H623" s="89"/>
      <c r="I623" s="89"/>
      <c r="J623" s="89"/>
      <c r="K623" s="89"/>
      <c r="L623" s="93"/>
      <c r="M623" s="93"/>
      <c r="N623" s="93"/>
      <c r="O623" s="93"/>
      <c r="P623" s="93"/>
      <c r="Q623" s="93"/>
      <c r="R623" s="93"/>
      <c r="S623" s="93"/>
      <c r="T623" s="93"/>
      <c r="U623" s="93"/>
      <c r="V623" s="93"/>
      <c r="W623" s="93"/>
    </row>
    <row r="624" spans="2:23" s="14" customFormat="1" ht="17.100000000000001" customHeight="1">
      <c r="B624" s="89"/>
      <c r="C624" s="90"/>
      <c r="D624" s="91"/>
      <c r="E624" s="92"/>
      <c r="F624" s="89"/>
      <c r="G624" s="89"/>
      <c r="H624" s="89"/>
      <c r="I624" s="89"/>
      <c r="J624" s="89"/>
      <c r="K624" s="89"/>
      <c r="L624" s="93"/>
      <c r="M624" s="93"/>
      <c r="N624" s="93"/>
      <c r="O624" s="93"/>
      <c r="P624" s="93"/>
      <c r="Q624" s="93"/>
      <c r="R624" s="93"/>
      <c r="S624" s="93"/>
      <c r="T624" s="93"/>
      <c r="U624" s="93"/>
      <c r="V624" s="93"/>
      <c r="W624" s="93"/>
    </row>
    <row r="625" spans="2:23" s="14" customFormat="1" ht="17.100000000000001" customHeight="1">
      <c r="B625" s="89"/>
      <c r="C625" s="90"/>
      <c r="D625" s="91"/>
      <c r="E625" s="92"/>
      <c r="F625" s="89"/>
      <c r="G625" s="89"/>
      <c r="H625" s="89"/>
      <c r="I625" s="89"/>
      <c r="J625" s="89"/>
      <c r="K625" s="89"/>
      <c r="L625" s="93"/>
      <c r="M625" s="93"/>
      <c r="N625" s="93"/>
      <c r="O625" s="93"/>
      <c r="P625" s="93"/>
      <c r="Q625" s="93"/>
      <c r="R625" s="93"/>
      <c r="S625" s="93"/>
      <c r="T625" s="93"/>
      <c r="U625" s="93"/>
      <c r="V625" s="93"/>
      <c r="W625" s="93"/>
    </row>
    <row r="626" spans="2:23" s="14" customFormat="1" ht="17.100000000000001" customHeight="1">
      <c r="B626" s="89"/>
      <c r="C626" s="90"/>
      <c r="D626" s="91"/>
      <c r="E626" s="92"/>
      <c r="F626" s="89"/>
      <c r="G626" s="89"/>
      <c r="H626" s="89"/>
      <c r="I626" s="89"/>
      <c r="J626" s="89"/>
      <c r="K626" s="89"/>
      <c r="L626" s="93"/>
      <c r="M626" s="93"/>
      <c r="N626" s="93"/>
      <c r="O626" s="93"/>
      <c r="P626" s="93"/>
      <c r="Q626" s="93"/>
      <c r="R626" s="93"/>
      <c r="S626" s="93"/>
      <c r="T626" s="93"/>
      <c r="U626" s="93"/>
      <c r="V626" s="93"/>
      <c r="W626" s="93"/>
    </row>
    <row r="627" spans="2:23" s="14" customFormat="1" ht="17.100000000000001" customHeight="1">
      <c r="B627" s="89"/>
      <c r="C627" s="90"/>
      <c r="D627" s="91"/>
      <c r="E627" s="92"/>
      <c r="F627" s="89"/>
      <c r="G627" s="89"/>
      <c r="H627" s="89"/>
      <c r="I627" s="89"/>
      <c r="J627" s="89"/>
      <c r="K627" s="89"/>
      <c r="L627" s="93"/>
      <c r="M627" s="93"/>
      <c r="N627" s="93"/>
      <c r="O627" s="93"/>
      <c r="P627" s="93"/>
      <c r="Q627" s="93"/>
      <c r="R627" s="93"/>
      <c r="S627" s="93"/>
      <c r="T627" s="93"/>
      <c r="U627" s="93"/>
      <c r="V627" s="93"/>
      <c r="W627" s="93"/>
    </row>
    <row r="628" spans="2:23" s="14" customFormat="1" ht="17.100000000000001" customHeight="1">
      <c r="B628" s="89"/>
      <c r="C628" s="90"/>
      <c r="D628" s="91"/>
      <c r="E628" s="92"/>
      <c r="F628" s="89"/>
      <c r="G628" s="89"/>
      <c r="H628" s="89"/>
      <c r="I628" s="89"/>
      <c r="J628" s="89"/>
      <c r="K628" s="89"/>
      <c r="L628" s="93"/>
      <c r="M628" s="93"/>
      <c r="N628" s="93"/>
      <c r="O628" s="93"/>
      <c r="P628" s="93"/>
      <c r="Q628" s="93"/>
      <c r="R628" s="93"/>
      <c r="S628" s="93"/>
      <c r="T628" s="93"/>
      <c r="U628" s="93"/>
      <c r="V628" s="93"/>
      <c r="W628" s="93"/>
    </row>
    <row r="629" spans="2:23" s="14" customFormat="1" ht="17.100000000000001" customHeight="1">
      <c r="B629" s="89"/>
      <c r="C629" s="90"/>
      <c r="D629" s="91"/>
      <c r="E629" s="92"/>
      <c r="F629" s="89"/>
      <c r="G629" s="89"/>
      <c r="H629" s="89"/>
      <c r="I629" s="89"/>
      <c r="J629" s="89"/>
      <c r="K629" s="89"/>
      <c r="L629" s="93"/>
      <c r="M629" s="93"/>
      <c r="N629" s="93"/>
      <c r="O629" s="93"/>
      <c r="P629" s="93"/>
      <c r="Q629" s="93"/>
      <c r="R629" s="93"/>
      <c r="S629" s="93"/>
      <c r="T629" s="93"/>
      <c r="U629" s="93"/>
      <c r="V629" s="93"/>
      <c r="W629" s="93"/>
    </row>
    <row r="630" spans="2:23" s="14" customFormat="1" ht="17.100000000000001" customHeight="1">
      <c r="B630" s="89"/>
      <c r="C630" s="90"/>
      <c r="D630" s="91"/>
      <c r="E630" s="92"/>
      <c r="F630" s="89"/>
      <c r="G630" s="89"/>
      <c r="H630" s="89"/>
      <c r="I630" s="89"/>
      <c r="J630" s="89"/>
      <c r="K630" s="89"/>
      <c r="L630" s="93"/>
      <c r="M630" s="93"/>
      <c r="N630" s="93"/>
      <c r="O630" s="93"/>
      <c r="P630" s="93"/>
      <c r="Q630" s="93"/>
      <c r="R630" s="93"/>
      <c r="S630" s="93"/>
      <c r="T630" s="93"/>
      <c r="U630" s="93"/>
      <c r="V630" s="93"/>
      <c r="W630" s="93"/>
    </row>
    <row r="631" spans="2:23" s="14" customFormat="1" ht="17.100000000000001" customHeight="1">
      <c r="B631" s="89"/>
      <c r="C631" s="90"/>
      <c r="D631" s="91"/>
      <c r="E631" s="92"/>
      <c r="F631" s="89"/>
      <c r="G631" s="89"/>
      <c r="H631" s="89"/>
      <c r="I631" s="89"/>
      <c r="J631" s="89"/>
      <c r="K631" s="89"/>
      <c r="L631" s="93"/>
      <c r="M631" s="93"/>
      <c r="N631" s="93"/>
      <c r="O631" s="93"/>
      <c r="P631" s="93"/>
      <c r="Q631" s="93"/>
      <c r="R631" s="93"/>
      <c r="S631" s="93"/>
      <c r="T631" s="93"/>
      <c r="U631" s="93"/>
      <c r="V631" s="93"/>
      <c r="W631" s="93"/>
    </row>
    <row r="632" spans="2:23" s="14" customFormat="1" ht="17.100000000000001" customHeight="1">
      <c r="B632" s="89"/>
      <c r="C632" s="90"/>
      <c r="D632" s="91"/>
      <c r="E632" s="92"/>
      <c r="F632" s="89"/>
      <c r="G632" s="89"/>
      <c r="H632" s="89"/>
      <c r="I632" s="89"/>
      <c r="J632" s="89"/>
      <c r="K632" s="89"/>
      <c r="L632" s="93"/>
      <c r="M632" s="93"/>
      <c r="N632" s="93"/>
      <c r="O632" s="93"/>
      <c r="P632" s="93"/>
      <c r="Q632" s="93"/>
      <c r="R632" s="93"/>
      <c r="S632" s="93"/>
      <c r="T632" s="93"/>
      <c r="U632" s="93"/>
      <c r="V632" s="93"/>
      <c r="W632" s="93"/>
    </row>
    <row r="633" spans="2:23" s="14" customFormat="1" ht="17.100000000000001" customHeight="1">
      <c r="B633" s="89"/>
      <c r="C633" s="90"/>
      <c r="D633" s="91"/>
      <c r="E633" s="92"/>
      <c r="F633" s="89"/>
      <c r="G633" s="89"/>
      <c r="H633" s="89"/>
      <c r="I633" s="89"/>
      <c r="J633" s="89"/>
      <c r="K633" s="89"/>
      <c r="L633" s="93"/>
      <c r="M633" s="93"/>
      <c r="N633" s="93"/>
      <c r="O633" s="93"/>
      <c r="P633" s="93"/>
      <c r="Q633" s="93"/>
      <c r="R633" s="93"/>
      <c r="S633" s="93"/>
      <c r="T633" s="93"/>
      <c r="U633" s="93"/>
      <c r="V633" s="93"/>
      <c r="W633" s="93"/>
    </row>
    <row r="634" spans="2:23" s="14" customFormat="1" ht="17.100000000000001" customHeight="1">
      <c r="B634" s="89"/>
      <c r="C634" s="90"/>
      <c r="D634" s="91"/>
      <c r="E634" s="92"/>
      <c r="F634" s="89"/>
      <c r="G634" s="89"/>
      <c r="H634" s="89"/>
      <c r="I634" s="89"/>
      <c r="J634" s="89"/>
      <c r="K634" s="89"/>
      <c r="L634" s="93"/>
      <c r="M634" s="93"/>
      <c r="N634" s="93"/>
      <c r="O634" s="93"/>
      <c r="P634" s="93"/>
      <c r="Q634" s="93"/>
      <c r="R634" s="93"/>
      <c r="S634" s="93"/>
      <c r="T634" s="93"/>
      <c r="U634" s="93"/>
      <c r="V634" s="93"/>
      <c r="W634" s="93"/>
    </row>
    <row r="635" spans="2:23" s="14" customFormat="1" ht="17.100000000000001" customHeight="1">
      <c r="B635" s="89"/>
      <c r="C635" s="90"/>
      <c r="D635" s="91"/>
      <c r="E635" s="92"/>
      <c r="F635" s="89"/>
      <c r="G635" s="89"/>
      <c r="H635" s="89"/>
      <c r="I635" s="89"/>
      <c r="J635" s="89"/>
      <c r="K635" s="89"/>
      <c r="L635" s="93"/>
      <c r="M635" s="93"/>
      <c r="N635" s="93"/>
      <c r="O635" s="93"/>
      <c r="P635" s="93"/>
      <c r="Q635" s="93"/>
      <c r="R635" s="93"/>
      <c r="S635" s="93"/>
      <c r="T635" s="93"/>
      <c r="U635" s="93"/>
      <c r="V635" s="93"/>
      <c r="W635" s="93"/>
    </row>
    <row r="636" spans="2:23" s="14" customFormat="1" ht="17.100000000000001" customHeight="1">
      <c r="B636" s="89"/>
      <c r="C636" s="90"/>
      <c r="D636" s="91"/>
      <c r="E636" s="92"/>
      <c r="F636" s="89"/>
      <c r="G636" s="89"/>
      <c r="H636" s="89"/>
      <c r="I636" s="89"/>
      <c r="J636" s="89"/>
      <c r="K636" s="89"/>
      <c r="L636" s="93"/>
      <c r="M636" s="93"/>
      <c r="N636" s="93"/>
      <c r="O636" s="93"/>
      <c r="P636" s="93"/>
      <c r="Q636" s="93"/>
      <c r="R636" s="93"/>
      <c r="S636" s="93"/>
      <c r="T636" s="93"/>
      <c r="U636" s="93"/>
      <c r="V636" s="93"/>
      <c r="W636" s="93"/>
    </row>
    <row r="637" spans="2:23" s="14" customFormat="1" ht="17.100000000000001" customHeight="1">
      <c r="B637" s="89"/>
      <c r="C637" s="90"/>
      <c r="D637" s="91"/>
      <c r="E637" s="92"/>
      <c r="F637" s="89"/>
      <c r="G637" s="89"/>
      <c r="H637" s="89"/>
      <c r="I637" s="89"/>
      <c r="J637" s="89"/>
      <c r="K637" s="89"/>
      <c r="L637" s="93"/>
      <c r="M637" s="93"/>
      <c r="N637" s="93"/>
      <c r="O637" s="93"/>
      <c r="P637" s="93"/>
      <c r="Q637" s="93"/>
      <c r="R637" s="93"/>
      <c r="S637" s="93"/>
      <c r="T637" s="93"/>
      <c r="U637" s="93"/>
      <c r="V637" s="93"/>
      <c r="W637" s="93"/>
    </row>
    <row r="638" spans="2:23" s="14" customFormat="1" ht="17.100000000000001" customHeight="1">
      <c r="B638" s="89"/>
      <c r="C638" s="90"/>
      <c r="D638" s="91"/>
      <c r="E638" s="92"/>
      <c r="F638" s="89"/>
      <c r="G638" s="89"/>
      <c r="H638" s="89"/>
      <c r="I638" s="89"/>
      <c r="J638" s="89"/>
      <c r="K638" s="89"/>
      <c r="L638" s="93"/>
      <c r="M638" s="93"/>
      <c r="N638" s="93"/>
      <c r="O638" s="93"/>
      <c r="P638" s="93"/>
      <c r="Q638" s="93"/>
      <c r="R638" s="93"/>
      <c r="S638" s="93"/>
      <c r="T638" s="93"/>
      <c r="U638" s="93"/>
      <c r="V638" s="93"/>
      <c r="W638" s="93"/>
    </row>
    <row r="639" spans="2:23" s="14" customFormat="1" ht="17.100000000000001" customHeight="1">
      <c r="B639" s="89"/>
      <c r="C639" s="90"/>
      <c r="D639" s="91"/>
      <c r="E639" s="92"/>
      <c r="F639" s="89"/>
      <c r="G639" s="89"/>
      <c r="H639" s="89"/>
      <c r="I639" s="89"/>
      <c r="J639" s="89"/>
      <c r="K639" s="89"/>
      <c r="L639" s="93"/>
      <c r="M639" s="93"/>
      <c r="N639" s="93"/>
      <c r="O639" s="93"/>
      <c r="P639" s="93"/>
      <c r="Q639" s="93"/>
      <c r="R639" s="93"/>
      <c r="S639" s="93"/>
      <c r="T639" s="93"/>
      <c r="U639" s="93"/>
      <c r="V639" s="93"/>
      <c r="W639" s="93"/>
    </row>
    <row r="640" spans="2:23" s="14" customFormat="1" ht="17.100000000000001" customHeight="1">
      <c r="B640" s="89"/>
      <c r="C640" s="90"/>
      <c r="D640" s="91"/>
      <c r="E640" s="92"/>
      <c r="F640" s="89"/>
      <c r="G640" s="89"/>
      <c r="H640" s="89"/>
      <c r="I640" s="89"/>
      <c r="J640" s="89"/>
      <c r="K640" s="89"/>
      <c r="L640" s="93"/>
      <c r="M640" s="93"/>
      <c r="N640" s="93"/>
      <c r="O640" s="93"/>
      <c r="P640" s="93"/>
      <c r="Q640" s="93"/>
      <c r="R640" s="93"/>
      <c r="S640" s="93"/>
      <c r="T640" s="93"/>
      <c r="U640" s="93"/>
      <c r="V640" s="93"/>
      <c r="W640" s="93"/>
    </row>
    <row r="641" spans="2:23" s="14" customFormat="1" ht="17.100000000000001" customHeight="1">
      <c r="B641" s="89"/>
      <c r="C641" s="90"/>
      <c r="D641" s="91"/>
      <c r="E641" s="92"/>
      <c r="F641" s="89"/>
      <c r="G641" s="89"/>
      <c r="H641" s="89"/>
      <c r="I641" s="89"/>
      <c r="J641" s="89"/>
      <c r="K641" s="89"/>
      <c r="L641" s="93"/>
      <c r="M641" s="93"/>
      <c r="N641" s="93"/>
      <c r="O641" s="93"/>
      <c r="P641" s="93"/>
      <c r="Q641" s="93"/>
      <c r="R641" s="93"/>
      <c r="S641" s="93"/>
      <c r="T641" s="93"/>
      <c r="U641" s="93"/>
      <c r="V641" s="93"/>
      <c r="W641" s="93"/>
    </row>
    <row r="642" spans="2:23" s="14" customFormat="1" ht="17.100000000000001" customHeight="1">
      <c r="B642" s="89"/>
      <c r="C642" s="90"/>
      <c r="D642" s="91"/>
      <c r="E642" s="92"/>
      <c r="F642" s="89"/>
      <c r="G642" s="89"/>
      <c r="H642" s="89"/>
      <c r="I642" s="89"/>
      <c r="J642" s="89"/>
      <c r="K642" s="89"/>
      <c r="L642" s="93"/>
      <c r="M642" s="93"/>
      <c r="N642" s="93"/>
      <c r="O642" s="93"/>
      <c r="P642" s="93"/>
      <c r="Q642" s="93"/>
      <c r="R642" s="93"/>
      <c r="S642" s="93"/>
      <c r="T642" s="93"/>
      <c r="U642" s="93"/>
      <c r="V642" s="93"/>
      <c r="W642" s="93"/>
    </row>
    <row r="643" spans="2:23" s="14" customFormat="1" ht="17.100000000000001" customHeight="1">
      <c r="B643" s="89"/>
      <c r="C643" s="90"/>
      <c r="D643" s="91"/>
      <c r="E643" s="92"/>
      <c r="F643" s="89"/>
      <c r="G643" s="89"/>
      <c r="H643" s="89"/>
      <c r="I643" s="89"/>
      <c r="J643" s="89"/>
      <c r="K643" s="89"/>
      <c r="L643" s="93"/>
      <c r="M643" s="93"/>
      <c r="N643" s="93"/>
      <c r="O643" s="93"/>
      <c r="P643" s="93"/>
      <c r="Q643" s="93"/>
      <c r="R643" s="93"/>
      <c r="S643" s="93"/>
      <c r="T643" s="93"/>
      <c r="U643" s="93"/>
      <c r="V643" s="93"/>
      <c r="W643" s="93"/>
    </row>
    <row r="644" spans="2:23" s="14" customFormat="1" ht="17.100000000000001" customHeight="1">
      <c r="B644" s="89"/>
      <c r="C644" s="90"/>
      <c r="D644" s="91"/>
      <c r="E644" s="92"/>
      <c r="F644" s="89"/>
      <c r="G644" s="89"/>
      <c r="H644" s="89"/>
      <c r="I644" s="89"/>
      <c r="J644" s="89"/>
      <c r="K644" s="89"/>
      <c r="L644" s="93"/>
      <c r="M644" s="93"/>
      <c r="N644" s="93"/>
      <c r="O644" s="93"/>
      <c r="P644" s="93"/>
      <c r="Q644" s="93"/>
      <c r="R644" s="93"/>
      <c r="S644" s="93"/>
      <c r="T644" s="93"/>
      <c r="U644" s="93"/>
      <c r="V644" s="93"/>
      <c r="W644" s="93"/>
    </row>
    <row r="645" spans="2:23" s="14" customFormat="1" ht="17.100000000000001" customHeight="1">
      <c r="B645" s="89"/>
      <c r="C645" s="90"/>
      <c r="D645" s="91"/>
      <c r="E645" s="92"/>
      <c r="F645" s="89"/>
      <c r="G645" s="89"/>
      <c r="H645" s="89"/>
      <c r="I645" s="89"/>
      <c r="J645" s="89"/>
      <c r="K645" s="89"/>
      <c r="L645" s="93"/>
      <c r="M645" s="93"/>
      <c r="N645" s="93"/>
      <c r="O645" s="93"/>
      <c r="P645" s="93"/>
      <c r="Q645" s="93"/>
      <c r="R645" s="93"/>
      <c r="S645" s="93"/>
      <c r="T645" s="93"/>
      <c r="U645" s="93"/>
      <c r="V645" s="93"/>
      <c r="W645" s="93"/>
    </row>
    <row r="646" spans="2:23" s="14" customFormat="1" ht="17.100000000000001" customHeight="1">
      <c r="B646" s="89"/>
      <c r="C646" s="90"/>
      <c r="D646" s="91"/>
      <c r="E646" s="92"/>
      <c r="F646" s="89"/>
      <c r="G646" s="89"/>
      <c r="H646" s="89"/>
      <c r="I646" s="89"/>
      <c r="J646" s="89"/>
      <c r="K646" s="89"/>
      <c r="L646" s="93"/>
      <c r="M646" s="93"/>
      <c r="N646" s="93"/>
      <c r="O646" s="93"/>
      <c r="P646" s="93"/>
      <c r="Q646" s="93"/>
      <c r="R646" s="93"/>
      <c r="S646" s="93"/>
      <c r="T646" s="93"/>
      <c r="U646" s="93"/>
      <c r="V646" s="93"/>
      <c r="W646" s="93"/>
    </row>
    <row r="647" spans="2:23" s="14" customFormat="1" ht="17.100000000000001" customHeight="1">
      <c r="B647" s="89"/>
      <c r="C647" s="90"/>
      <c r="D647" s="91"/>
      <c r="E647" s="92"/>
      <c r="F647" s="89"/>
      <c r="G647" s="89"/>
      <c r="H647" s="89"/>
      <c r="I647" s="89"/>
      <c r="J647" s="89"/>
      <c r="K647" s="89"/>
      <c r="L647" s="93"/>
      <c r="M647" s="93"/>
      <c r="N647" s="93"/>
      <c r="O647" s="93"/>
      <c r="P647" s="93"/>
      <c r="Q647" s="93"/>
      <c r="R647" s="93"/>
      <c r="S647" s="93"/>
      <c r="T647" s="93"/>
      <c r="U647" s="93"/>
      <c r="V647" s="93"/>
      <c r="W647" s="93"/>
    </row>
    <row r="648" spans="2:23" s="14" customFormat="1" ht="17.100000000000001" customHeight="1">
      <c r="B648" s="89"/>
      <c r="C648" s="90"/>
      <c r="D648" s="91"/>
      <c r="E648" s="92"/>
      <c r="F648" s="89"/>
      <c r="G648" s="89"/>
      <c r="H648" s="89"/>
      <c r="I648" s="89"/>
      <c r="J648" s="89"/>
      <c r="K648" s="89"/>
      <c r="L648" s="93"/>
      <c r="M648" s="93"/>
      <c r="N648" s="93"/>
      <c r="O648" s="93"/>
      <c r="P648" s="93"/>
      <c r="Q648" s="93"/>
      <c r="R648" s="93"/>
      <c r="S648" s="93"/>
      <c r="T648" s="93"/>
      <c r="U648" s="93"/>
      <c r="V648" s="93"/>
      <c r="W648" s="93"/>
    </row>
    <row r="649" spans="2:23" s="14" customFormat="1" ht="17.100000000000001" customHeight="1">
      <c r="B649" s="89"/>
      <c r="C649" s="90"/>
      <c r="D649" s="91"/>
      <c r="E649" s="92"/>
      <c r="F649" s="89"/>
      <c r="G649" s="89"/>
      <c r="H649" s="89"/>
      <c r="I649" s="89"/>
      <c r="J649" s="89"/>
      <c r="K649" s="89"/>
      <c r="L649" s="93"/>
      <c r="M649" s="93"/>
      <c r="N649" s="93"/>
      <c r="O649" s="93"/>
      <c r="P649" s="93"/>
      <c r="Q649" s="93"/>
      <c r="R649" s="93"/>
      <c r="S649" s="93"/>
      <c r="T649" s="93"/>
      <c r="U649" s="93"/>
      <c r="V649" s="93"/>
      <c r="W649" s="93"/>
    </row>
    <row r="650" spans="2:23" s="14" customFormat="1" ht="17.100000000000001" customHeight="1">
      <c r="B650" s="89"/>
      <c r="C650" s="90"/>
      <c r="D650" s="91"/>
      <c r="E650" s="92"/>
      <c r="F650" s="89"/>
      <c r="G650" s="89"/>
      <c r="H650" s="89"/>
      <c r="I650" s="89"/>
      <c r="J650" s="89"/>
      <c r="K650" s="89"/>
      <c r="L650" s="93"/>
      <c r="M650" s="93"/>
      <c r="N650" s="93"/>
      <c r="O650" s="93"/>
      <c r="P650" s="93"/>
      <c r="Q650" s="93"/>
      <c r="R650" s="93"/>
      <c r="S650" s="93"/>
      <c r="T650" s="93"/>
      <c r="U650" s="93"/>
      <c r="V650" s="93"/>
      <c r="W650" s="93"/>
    </row>
    <row r="651" spans="2:23" s="14" customFormat="1" ht="17.100000000000001" customHeight="1">
      <c r="B651" s="89"/>
      <c r="C651" s="90"/>
      <c r="D651" s="91"/>
      <c r="E651" s="92"/>
      <c r="F651" s="89"/>
      <c r="G651" s="89"/>
      <c r="H651" s="89"/>
      <c r="I651" s="89"/>
      <c r="J651" s="89"/>
      <c r="K651" s="89"/>
      <c r="L651" s="93"/>
      <c r="M651" s="93"/>
      <c r="N651" s="93"/>
      <c r="O651" s="93"/>
      <c r="P651" s="93"/>
      <c r="Q651" s="93"/>
      <c r="R651" s="93"/>
      <c r="S651" s="93"/>
      <c r="T651" s="93"/>
      <c r="U651" s="93"/>
      <c r="V651" s="93"/>
      <c r="W651" s="93"/>
    </row>
    <row r="652" spans="2:23" s="14" customFormat="1" ht="17.100000000000001" customHeight="1">
      <c r="B652" s="89"/>
      <c r="C652" s="90"/>
      <c r="D652" s="91"/>
      <c r="E652" s="92"/>
      <c r="F652" s="89"/>
      <c r="G652" s="89"/>
      <c r="H652" s="89"/>
      <c r="I652" s="89"/>
      <c r="J652" s="89"/>
      <c r="K652" s="89"/>
      <c r="L652" s="93"/>
      <c r="M652" s="93"/>
      <c r="N652" s="93"/>
      <c r="O652" s="93"/>
      <c r="P652" s="93"/>
      <c r="Q652" s="93"/>
      <c r="R652" s="93"/>
      <c r="S652" s="93"/>
      <c r="T652" s="93"/>
      <c r="U652" s="93"/>
      <c r="V652" s="93"/>
      <c r="W652" s="93"/>
    </row>
    <row r="653" spans="2:23" s="14" customFormat="1" ht="17.100000000000001" customHeight="1">
      <c r="B653" s="89"/>
      <c r="C653" s="90"/>
      <c r="D653" s="91"/>
      <c r="E653" s="92"/>
      <c r="F653" s="89"/>
      <c r="G653" s="89"/>
      <c r="H653" s="89"/>
      <c r="I653" s="89"/>
      <c r="J653" s="89"/>
      <c r="K653" s="89"/>
      <c r="L653" s="93"/>
      <c r="M653" s="93"/>
      <c r="N653" s="93"/>
      <c r="O653" s="93"/>
      <c r="P653" s="93"/>
      <c r="Q653" s="93"/>
      <c r="R653" s="93"/>
      <c r="S653" s="93"/>
      <c r="T653" s="93"/>
      <c r="U653" s="93"/>
      <c r="V653" s="93"/>
      <c r="W653" s="93"/>
    </row>
    <row r="654" spans="2:23" s="14" customFormat="1" ht="17.100000000000001" customHeight="1">
      <c r="B654" s="89"/>
      <c r="C654" s="90"/>
      <c r="D654" s="91"/>
      <c r="E654" s="92"/>
      <c r="F654" s="89"/>
      <c r="G654" s="89"/>
      <c r="H654" s="89"/>
      <c r="I654" s="89"/>
      <c r="J654" s="89"/>
      <c r="K654" s="89"/>
      <c r="L654" s="93"/>
      <c r="M654" s="93"/>
      <c r="N654" s="93"/>
      <c r="O654" s="93"/>
      <c r="P654" s="93"/>
      <c r="Q654" s="93"/>
      <c r="R654" s="93"/>
      <c r="S654" s="93"/>
      <c r="T654" s="93"/>
      <c r="U654" s="93"/>
      <c r="V654" s="93"/>
      <c r="W654" s="93"/>
    </row>
    <row r="655" spans="2:23" s="14" customFormat="1" ht="17.100000000000001" customHeight="1">
      <c r="B655" s="89"/>
      <c r="C655" s="90"/>
      <c r="D655" s="91"/>
      <c r="E655" s="92"/>
      <c r="F655" s="89"/>
      <c r="G655" s="89"/>
      <c r="H655" s="89"/>
      <c r="I655" s="89"/>
      <c r="J655" s="89"/>
      <c r="K655" s="89"/>
      <c r="L655" s="93"/>
      <c r="M655" s="93"/>
      <c r="N655" s="93"/>
      <c r="O655" s="93"/>
      <c r="P655" s="93"/>
      <c r="Q655" s="93"/>
      <c r="R655" s="93"/>
      <c r="S655" s="93"/>
      <c r="T655" s="93"/>
      <c r="U655" s="93"/>
      <c r="V655" s="93"/>
      <c r="W655" s="93"/>
    </row>
    <row r="656" spans="2:23" s="14" customFormat="1" ht="17.100000000000001" customHeight="1">
      <c r="B656" s="89"/>
      <c r="C656" s="90"/>
      <c r="D656" s="91"/>
      <c r="E656" s="92"/>
      <c r="F656" s="89"/>
      <c r="G656" s="89"/>
      <c r="H656" s="89"/>
      <c r="I656" s="89"/>
      <c r="J656" s="89"/>
      <c r="K656" s="89"/>
      <c r="L656" s="93"/>
      <c r="M656" s="93"/>
      <c r="N656" s="93"/>
      <c r="O656" s="93"/>
      <c r="P656" s="93"/>
      <c r="Q656" s="93"/>
      <c r="R656" s="93"/>
      <c r="S656" s="93"/>
      <c r="T656" s="93"/>
      <c r="U656" s="93"/>
      <c r="V656" s="93"/>
      <c r="W656" s="93"/>
    </row>
    <row r="657" spans="2:23" s="14" customFormat="1" ht="17.100000000000001" customHeight="1">
      <c r="B657" s="89"/>
      <c r="C657" s="90"/>
      <c r="D657" s="91"/>
      <c r="E657" s="92"/>
      <c r="F657" s="89"/>
      <c r="G657" s="89"/>
      <c r="H657" s="89"/>
      <c r="I657" s="89"/>
      <c r="J657" s="89"/>
      <c r="K657" s="89"/>
      <c r="L657" s="93"/>
      <c r="M657" s="93"/>
      <c r="N657" s="93"/>
      <c r="O657" s="93"/>
      <c r="P657" s="93"/>
      <c r="Q657" s="93"/>
      <c r="R657" s="93"/>
      <c r="S657" s="93"/>
      <c r="T657" s="93"/>
      <c r="U657" s="93"/>
      <c r="V657" s="93"/>
      <c r="W657" s="93"/>
    </row>
    <row r="658" spans="2:23" s="14" customFormat="1" ht="17.100000000000001" customHeight="1">
      <c r="B658" s="89"/>
      <c r="C658" s="90"/>
      <c r="D658" s="91"/>
      <c r="E658" s="92"/>
      <c r="F658" s="89"/>
      <c r="G658" s="89"/>
      <c r="H658" s="89"/>
      <c r="I658" s="89"/>
      <c r="J658" s="89"/>
      <c r="K658" s="89"/>
      <c r="L658" s="93"/>
      <c r="M658" s="93"/>
      <c r="N658" s="93"/>
      <c r="O658" s="93"/>
      <c r="P658" s="93"/>
      <c r="Q658" s="93"/>
      <c r="R658" s="93"/>
      <c r="S658" s="93"/>
      <c r="T658" s="93"/>
      <c r="U658" s="93"/>
      <c r="V658" s="93"/>
      <c r="W658" s="93"/>
    </row>
    <row r="659" spans="2:23" s="14" customFormat="1" ht="17.100000000000001" customHeight="1">
      <c r="B659" s="89"/>
      <c r="C659" s="90"/>
      <c r="D659" s="91"/>
      <c r="E659" s="92"/>
      <c r="F659" s="89"/>
      <c r="G659" s="89"/>
      <c r="H659" s="89"/>
      <c r="I659" s="89"/>
      <c r="J659" s="89"/>
      <c r="K659" s="89"/>
      <c r="L659" s="93"/>
      <c r="M659" s="93"/>
      <c r="N659" s="93"/>
      <c r="O659" s="93"/>
      <c r="P659" s="93"/>
      <c r="Q659" s="93"/>
      <c r="R659" s="93"/>
      <c r="S659" s="93"/>
      <c r="T659" s="93"/>
      <c r="U659" s="93"/>
      <c r="V659" s="93"/>
      <c r="W659" s="93"/>
    </row>
    <row r="660" spans="2:23" s="14" customFormat="1" ht="17.100000000000001" customHeight="1">
      <c r="B660" s="89"/>
      <c r="C660" s="90"/>
      <c r="D660" s="91"/>
      <c r="E660" s="92"/>
      <c r="F660" s="89"/>
      <c r="G660" s="89"/>
      <c r="H660" s="89"/>
      <c r="I660" s="89"/>
      <c r="J660" s="89"/>
      <c r="K660" s="89"/>
      <c r="L660" s="93"/>
      <c r="M660" s="93"/>
      <c r="N660" s="93"/>
      <c r="O660" s="93"/>
      <c r="P660" s="93"/>
      <c r="Q660" s="93"/>
      <c r="R660" s="93"/>
      <c r="S660" s="93"/>
      <c r="T660" s="93"/>
      <c r="U660" s="93"/>
      <c r="V660" s="93"/>
      <c r="W660" s="93"/>
    </row>
    <row r="661" spans="2:23" s="14" customFormat="1" ht="17.100000000000001" customHeight="1">
      <c r="B661" s="89"/>
      <c r="C661" s="90"/>
      <c r="D661" s="91"/>
      <c r="E661" s="92"/>
      <c r="F661" s="89"/>
      <c r="G661" s="89"/>
      <c r="H661" s="89"/>
      <c r="I661" s="89"/>
      <c r="J661" s="89"/>
      <c r="K661" s="89"/>
      <c r="L661" s="93"/>
      <c r="M661" s="93"/>
      <c r="N661" s="93"/>
      <c r="O661" s="93"/>
      <c r="P661" s="93"/>
      <c r="Q661" s="93"/>
      <c r="R661" s="93"/>
      <c r="S661" s="93"/>
      <c r="T661" s="93"/>
      <c r="U661" s="93"/>
      <c r="V661" s="93"/>
      <c r="W661" s="93"/>
    </row>
    <row r="662" spans="2:23" s="14" customFormat="1" ht="17.100000000000001" customHeight="1">
      <c r="B662" s="89"/>
      <c r="C662" s="90"/>
      <c r="D662" s="91"/>
      <c r="E662" s="92"/>
      <c r="F662" s="89"/>
      <c r="G662" s="89"/>
      <c r="H662" s="89"/>
      <c r="I662" s="89"/>
      <c r="J662" s="89"/>
      <c r="K662" s="89"/>
      <c r="L662" s="93"/>
      <c r="M662" s="93"/>
      <c r="N662" s="93"/>
      <c r="O662" s="93"/>
      <c r="P662" s="93"/>
      <c r="Q662" s="93"/>
      <c r="R662" s="93"/>
      <c r="S662" s="93"/>
      <c r="T662" s="93"/>
      <c r="U662" s="93"/>
      <c r="V662" s="93"/>
      <c r="W662" s="93"/>
    </row>
    <row r="663" spans="2:23" s="14" customFormat="1" ht="17.100000000000001" customHeight="1">
      <c r="B663" s="89"/>
      <c r="C663" s="90"/>
      <c r="D663" s="91"/>
      <c r="E663" s="92"/>
      <c r="F663" s="89"/>
      <c r="G663" s="89"/>
      <c r="H663" s="89"/>
      <c r="I663" s="89"/>
      <c r="J663" s="89"/>
      <c r="K663" s="89"/>
      <c r="L663" s="93"/>
      <c r="M663" s="93"/>
      <c r="N663" s="93"/>
      <c r="O663" s="93"/>
      <c r="P663" s="93"/>
      <c r="Q663" s="93"/>
      <c r="R663" s="93"/>
      <c r="S663" s="93"/>
      <c r="T663" s="93"/>
      <c r="U663" s="93"/>
      <c r="V663" s="93"/>
      <c r="W663" s="93"/>
    </row>
    <row r="664" spans="2:23" s="14" customFormat="1" ht="17.100000000000001" customHeight="1">
      <c r="B664" s="89"/>
      <c r="C664" s="90"/>
      <c r="D664" s="91"/>
      <c r="E664" s="92"/>
      <c r="F664" s="89"/>
      <c r="G664" s="89"/>
      <c r="H664" s="89"/>
      <c r="I664" s="89"/>
      <c r="J664" s="89"/>
      <c r="K664" s="89"/>
      <c r="L664" s="93"/>
      <c r="M664" s="93"/>
      <c r="N664" s="93"/>
      <c r="O664" s="93"/>
      <c r="P664" s="93"/>
      <c r="Q664" s="93"/>
      <c r="R664" s="93"/>
      <c r="S664" s="93"/>
      <c r="T664" s="93"/>
      <c r="U664" s="93"/>
      <c r="V664" s="93"/>
      <c r="W664" s="93"/>
    </row>
    <row r="665" spans="2:23" s="14" customFormat="1" ht="17.100000000000001" customHeight="1">
      <c r="B665" s="89"/>
      <c r="C665" s="90"/>
      <c r="D665" s="91"/>
      <c r="E665" s="92"/>
      <c r="F665" s="89"/>
      <c r="G665" s="89"/>
      <c r="H665" s="89"/>
      <c r="I665" s="89"/>
      <c r="J665" s="89"/>
      <c r="K665" s="89"/>
      <c r="L665" s="93"/>
      <c r="M665" s="93"/>
      <c r="N665" s="93"/>
      <c r="O665" s="93"/>
      <c r="P665" s="93"/>
      <c r="Q665" s="93"/>
      <c r="R665" s="93"/>
      <c r="S665" s="93"/>
      <c r="T665" s="93"/>
      <c r="U665" s="93"/>
      <c r="V665" s="93"/>
      <c r="W665" s="93"/>
    </row>
    <row r="666" spans="2:23" s="14" customFormat="1" ht="17.100000000000001" customHeight="1">
      <c r="B666" s="89"/>
      <c r="C666" s="90"/>
      <c r="D666" s="91"/>
      <c r="E666" s="92"/>
      <c r="F666" s="89"/>
      <c r="G666" s="89"/>
      <c r="H666" s="89"/>
      <c r="I666" s="89"/>
      <c r="J666" s="89"/>
      <c r="K666" s="89"/>
      <c r="L666" s="93"/>
      <c r="M666" s="93"/>
      <c r="N666" s="93"/>
      <c r="O666" s="93"/>
      <c r="P666" s="93"/>
      <c r="Q666" s="93"/>
      <c r="R666" s="93"/>
      <c r="S666" s="93"/>
      <c r="T666" s="93"/>
      <c r="U666" s="93"/>
      <c r="V666" s="93"/>
      <c r="W666" s="93"/>
    </row>
    <row r="667" spans="2:23" s="14" customFormat="1" ht="17.100000000000001" customHeight="1">
      <c r="B667" s="89"/>
      <c r="C667" s="90"/>
      <c r="D667" s="91"/>
      <c r="E667" s="92"/>
      <c r="F667" s="89"/>
      <c r="G667" s="89"/>
      <c r="H667" s="89"/>
      <c r="I667" s="89"/>
      <c r="J667" s="89"/>
      <c r="K667" s="89"/>
      <c r="L667" s="93"/>
      <c r="M667" s="93"/>
      <c r="N667" s="93"/>
      <c r="O667" s="93"/>
      <c r="P667" s="93"/>
      <c r="Q667" s="93"/>
      <c r="R667" s="93"/>
      <c r="S667" s="93"/>
      <c r="T667" s="93"/>
      <c r="U667" s="93"/>
      <c r="V667" s="93"/>
      <c r="W667" s="93"/>
    </row>
    <row r="668" spans="2:23" s="14" customFormat="1" ht="17.100000000000001" customHeight="1">
      <c r="B668" s="89"/>
      <c r="C668" s="90"/>
      <c r="D668" s="91"/>
      <c r="E668" s="92"/>
      <c r="F668" s="89"/>
      <c r="G668" s="89"/>
      <c r="H668" s="89"/>
      <c r="I668" s="89"/>
      <c r="J668" s="89"/>
      <c r="K668" s="89"/>
      <c r="L668" s="93"/>
      <c r="M668" s="93"/>
      <c r="N668" s="93"/>
      <c r="O668" s="93"/>
      <c r="P668" s="93"/>
      <c r="Q668" s="93"/>
      <c r="R668" s="93"/>
      <c r="S668" s="93"/>
      <c r="T668" s="93"/>
      <c r="U668" s="93"/>
      <c r="V668" s="93"/>
      <c r="W668" s="93"/>
    </row>
    <row r="669" spans="2:23" s="14" customFormat="1" ht="17.100000000000001" customHeight="1">
      <c r="B669" s="89"/>
      <c r="C669" s="90"/>
      <c r="D669" s="91"/>
      <c r="E669" s="92"/>
      <c r="F669" s="89"/>
      <c r="G669" s="89"/>
      <c r="H669" s="89"/>
      <c r="I669" s="89"/>
      <c r="J669" s="89"/>
      <c r="K669" s="89"/>
      <c r="L669" s="93"/>
      <c r="M669" s="93"/>
      <c r="N669" s="93"/>
      <c r="O669" s="93"/>
      <c r="P669" s="93"/>
      <c r="Q669" s="93"/>
      <c r="R669" s="93"/>
      <c r="S669" s="93"/>
      <c r="T669" s="93"/>
      <c r="U669" s="93"/>
      <c r="V669" s="93"/>
      <c r="W669" s="93"/>
    </row>
    <row r="670" spans="2:23" s="14" customFormat="1" ht="17.100000000000001" customHeight="1">
      <c r="B670" s="89"/>
      <c r="C670" s="90"/>
      <c r="D670" s="91"/>
      <c r="E670" s="92"/>
      <c r="F670" s="89"/>
      <c r="G670" s="89"/>
      <c r="H670" s="89"/>
      <c r="I670" s="89"/>
      <c r="J670" s="89"/>
      <c r="K670" s="89"/>
      <c r="L670" s="93"/>
      <c r="M670" s="93"/>
      <c r="N670" s="93"/>
      <c r="O670" s="93"/>
      <c r="P670" s="93"/>
      <c r="Q670" s="93"/>
      <c r="R670" s="93"/>
      <c r="S670" s="93"/>
      <c r="T670" s="93"/>
      <c r="U670" s="93"/>
      <c r="V670" s="93"/>
      <c r="W670" s="93"/>
    </row>
    <row r="671" spans="2:23" s="14" customFormat="1" ht="17.100000000000001" customHeight="1">
      <c r="B671" s="89"/>
      <c r="C671" s="90"/>
      <c r="D671" s="91"/>
      <c r="E671" s="92"/>
      <c r="F671" s="89"/>
      <c r="G671" s="89"/>
      <c r="H671" s="89"/>
      <c r="I671" s="89"/>
      <c r="J671" s="89"/>
      <c r="K671" s="89"/>
      <c r="L671" s="93"/>
      <c r="M671" s="93"/>
      <c r="N671" s="93"/>
      <c r="O671" s="93"/>
      <c r="P671" s="93"/>
      <c r="Q671" s="93"/>
      <c r="R671" s="93"/>
      <c r="S671" s="93"/>
      <c r="T671" s="93"/>
      <c r="U671" s="93"/>
      <c r="V671" s="93"/>
      <c r="W671" s="93"/>
    </row>
    <row r="672" spans="2:23" s="14" customFormat="1" ht="17.100000000000001" customHeight="1">
      <c r="B672" s="89"/>
      <c r="C672" s="90"/>
      <c r="D672" s="91"/>
      <c r="E672" s="92"/>
      <c r="F672" s="89"/>
      <c r="G672" s="89"/>
      <c r="H672" s="89"/>
      <c r="I672" s="89"/>
      <c r="J672" s="89"/>
      <c r="K672" s="89"/>
      <c r="L672" s="93"/>
      <c r="M672" s="93"/>
      <c r="N672" s="93"/>
      <c r="O672" s="93"/>
      <c r="P672" s="93"/>
      <c r="Q672" s="93"/>
      <c r="R672" s="93"/>
      <c r="S672" s="93"/>
      <c r="T672" s="93"/>
      <c r="U672" s="93"/>
      <c r="V672" s="93"/>
      <c r="W672" s="93"/>
    </row>
    <row r="673" spans="2:23" s="14" customFormat="1" ht="17.100000000000001" customHeight="1">
      <c r="B673" s="89"/>
      <c r="C673" s="90"/>
      <c r="D673" s="91"/>
      <c r="E673" s="92"/>
      <c r="F673" s="89"/>
      <c r="G673" s="89"/>
      <c r="H673" s="89"/>
      <c r="I673" s="89"/>
      <c r="J673" s="89"/>
      <c r="K673" s="89"/>
      <c r="L673" s="93"/>
      <c r="M673" s="93"/>
      <c r="N673" s="93"/>
      <c r="O673" s="93"/>
      <c r="P673" s="93"/>
      <c r="Q673" s="93"/>
      <c r="R673" s="93"/>
      <c r="S673" s="93"/>
      <c r="T673" s="93"/>
      <c r="U673" s="93"/>
      <c r="V673" s="93"/>
      <c r="W673" s="93"/>
    </row>
    <row r="674" spans="2:23" s="14" customFormat="1" ht="17.100000000000001" customHeight="1">
      <c r="B674" s="89"/>
      <c r="C674" s="90"/>
      <c r="D674" s="91"/>
      <c r="E674" s="92"/>
      <c r="F674" s="89"/>
      <c r="G674" s="89"/>
      <c r="H674" s="89"/>
      <c r="I674" s="89"/>
      <c r="J674" s="89"/>
      <c r="K674" s="89"/>
      <c r="L674" s="93"/>
      <c r="M674" s="93"/>
      <c r="N674" s="93"/>
      <c r="O674" s="93"/>
      <c r="P674" s="93"/>
      <c r="Q674" s="93"/>
      <c r="R674" s="93"/>
      <c r="S674" s="93"/>
      <c r="T674" s="93"/>
      <c r="U674" s="93"/>
      <c r="V674" s="93"/>
      <c r="W674" s="93"/>
    </row>
    <row r="675" spans="2:23" s="14" customFormat="1" ht="17.100000000000001" customHeight="1">
      <c r="B675" s="89"/>
      <c r="C675" s="90"/>
      <c r="D675" s="91"/>
      <c r="E675" s="92"/>
      <c r="F675" s="89"/>
      <c r="G675" s="89"/>
      <c r="H675" s="89"/>
      <c r="I675" s="89"/>
      <c r="J675" s="89"/>
      <c r="K675" s="89"/>
      <c r="L675" s="93"/>
      <c r="M675" s="93"/>
      <c r="N675" s="93"/>
      <c r="O675" s="93"/>
      <c r="P675" s="93"/>
      <c r="Q675" s="93"/>
      <c r="R675" s="93"/>
      <c r="S675" s="93"/>
      <c r="T675" s="93"/>
      <c r="U675" s="93"/>
      <c r="V675" s="93"/>
      <c r="W675" s="93"/>
    </row>
    <row r="676" spans="2:23" s="14" customFormat="1" ht="17.100000000000001" customHeight="1">
      <c r="B676" s="89"/>
      <c r="C676" s="90"/>
      <c r="D676" s="91"/>
      <c r="E676" s="92"/>
      <c r="F676" s="89"/>
      <c r="G676" s="89"/>
      <c r="H676" s="89"/>
      <c r="I676" s="89"/>
      <c r="J676" s="89"/>
      <c r="K676" s="89"/>
      <c r="L676" s="93"/>
      <c r="M676" s="93"/>
      <c r="N676" s="93"/>
      <c r="O676" s="93"/>
      <c r="P676" s="93"/>
      <c r="Q676" s="93"/>
      <c r="R676" s="93"/>
      <c r="S676" s="93"/>
      <c r="T676" s="93"/>
      <c r="U676" s="93"/>
      <c r="V676" s="93"/>
      <c r="W676" s="93"/>
    </row>
    <row r="677" spans="2:23" s="14" customFormat="1" ht="17.100000000000001" customHeight="1">
      <c r="B677" s="89"/>
      <c r="C677" s="90"/>
      <c r="D677" s="91"/>
      <c r="E677" s="92"/>
      <c r="F677" s="89"/>
      <c r="G677" s="89"/>
      <c r="H677" s="89"/>
      <c r="I677" s="89"/>
      <c r="J677" s="89"/>
      <c r="K677" s="89"/>
      <c r="L677" s="93"/>
      <c r="M677" s="93"/>
      <c r="N677" s="93"/>
      <c r="O677" s="93"/>
      <c r="P677" s="93"/>
      <c r="Q677" s="93"/>
      <c r="R677" s="93"/>
      <c r="S677" s="93"/>
      <c r="T677" s="93"/>
      <c r="U677" s="93"/>
      <c r="V677" s="93"/>
      <c r="W677" s="93"/>
    </row>
    <row r="678" spans="2:23" s="14" customFormat="1" ht="17.100000000000001" customHeight="1">
      <c r="B678" s="89"/>
      <c r="C678" s="90"/>
      <c r="D678" s="91"/>
      <c r="E678" s="92"/>
      <c r="F678" s="89"/>
      <c r="G678" s="89"/>
      <c r="H678" s="89"/>
      <c r="I678" s="89"/>
      <c r="J678" s="89"/>
      <c r="K678" s="89"/>
      <c r="L678" s="93"/>
      <c r="M678" s="93"/>
      <c r="N678" s="93"/>
      <c r="O678" s="93"/>
      <c r="P678" s="93"/>
      <c r="Q678" s="93"/>
      <c r="R678" s="93"/>
      <c r="S678" s="93"/>
      <c r="T678" s="93"/>
      <c r="U678" s="93"/>
      <c r="V678" s="93"/>
      <c r="W678" s="93"/>
    </row>
    <row r="679" spans="2:23" s="14" customFormat="1" ht="17.100000000000001" customHeight="1">
      <c r="B679" s="89"/>
      <c r="C679" s="90"/>
      <c r="D679" s="91"/>
      <c r="E679" s="92"/>
      <c r="F679" s="89"/>
      <c r="G679" s="89"/>
      <c r="H679" s="89"/>
      <c r="I679" s="89"/>
      <c r="J679" s="89"/>
      <c r="K679" s="89"/>
      <c r="L679" s="93"/>
      <c r="M679" s="93"/>
      <c r="N679" s="93"/>
      <c r="O679" s="93"/>
      <c r="P679" s="93"/>
      <c r="Q679" s="93"/>
      <c r="R679" s="93"/>
      <c r="S679" s="93"/>
      <c r="T679" s="93"/>
      <c r="U679" s="93"/>
      <c r="V679" s="93"/>
      <c r="W679" s="93"/>
    </row>
    <row r="680" spans="2:23" s="14" customFormat="1" ht="17.100000000000001" customHeight="1">
      <c r="B680" s="89"/>
      <c r="C680" s="90"/>
      <c r="D680" s="91"/>
      <c r="E680" s="92"/>
      <c r="F680" s="89"/>
      <c r="G680" s="89"/>
      <c r="H680" s="89"/>
      <c r="I680" s="89"/>
      <c r="J680" s="89"/>
      <c r="K680" s="89"/>
      <c r="L680" s="93"/>
      <c r="M680" s="93"/>
      <c r="N680" s="93"/>
      <c r="O680" s="93"/>
      <c r="P680" s="93"/>
      <c r="Q680" s="93"/>
      <c r="R680" s="93"/>
      <c r="S680" s="93"/>
      <c r="T680" s="93"/>
      <c r="U680" s="93"/>
      <c r="V680" s="93"/>
      <c r="W680" s="93"/>
    </row>
    <row r="681" spans="2:23" s="14" customFormat="1" ht="17.100000000000001" customHeight="1">
      <c r="B681" s="89"/>
      <c r="C681" s="90"/>
      <c r="D681" s="91"/>
      <c r="E681" s="92"/>
      <c r="F681" s="89"/>
      <c r="G681" s="89"/>
      <c r="H681" s="89"/>
      <c r="I681" s="89"/>
      <c r="J681" s="89"/>
      <c r="K681" s="89"/>
      <c r="L681" s="93"/>
      <c r="M681" s="93"/>
      <c r="N681" s="93"/>
      <c r="O681" s="93"/>
      <c r="P681" s="93"/>
      <c r="Q681" s="93"/>
      <c r="R681" s="93"/>
      <c r="S681" s="93"/>
      <c r="T681" s="93"/>
      <c r="U681" s="93"/>
      <c r="V681" s="93"/>
      <c r="W681" s="93"/>
    </row>
    <row r="682" spans="2:23" s="14" customFormat="1" ht="17.100000000000001" customHeight="1">
      <c r="B682" s="89"/>
      <c r="C682" s="90"/>
      <c r="D682" s="91"/>
      <c r="E682" s="92"/>
      <c r="F682" s="89"/>
      <c r="G682" s="89"/>
      <c r="H682" s="89"/>
      <c r="I682" s="89"/>
      <c r="J682" s="89"/>
      <c r="K682" s="89"/>
      <c r="L682" s="93"/>
      <c r="M682" s="93"/>
      <c r="N682" s="93"/>
      <c r="O682" s="93"/>
      <c r="P682" s="93"/>
      <c r="Q682" s="93"/>
      <c r="R682" s="93"/>
      <c r="S682" s="93"/>
      <c r="T682" s="93"/>
      <c r="U682" s="93"/>
      <c r="V682" s="93"/>
      <c r="W682" s="93"/>
    </row>
    <row r="683" spans="2:23" s="14" customFormat="1" ht="17.100000000000001" customHeight="1">
      <c r="B683" s="89"/>
      <c r="C683" s="90"/>
      <c r="D683" s="91"/>
      <c r="E683" s="92"/>
      <c r="F683" s="89"/>
      <c r="G683" s="89"/>
      <c r="H683" s="89"/>
      <c r="I683" s="89"/>
      <c r="J683" s="89"/>
      <c r="K683" s="89"/>
      <c r="L683" s="93"/>
      <c r="M683" s="93"/>
      <c r="N683" s="93"/>
      <c r="O683" s="93"/>
      <c r="P683" s="93"/>
      <c r="Q683" s="93"/>
      <c r="R683" s="93"/>
      <c r="S683" s="93"/>
      <c r="T683" s="93"/>
      <c r="U683" s="93"/>
      <c r="V683" s="93"/>
      <c r="W683" s="93"/>
    </row>
    <row r="684" spans="2:23" s="14" customFormat="1" ht="17.100000000000001" customHeight="1">
      <c r="B684" s="89"/>
      <c r="C684" s="90"/>
      <c r="D684" s="91"/>
      <c r="E684" s="92"/>
      <c r="F684" s="89"/>
      <c r="G684" s="89"/>
      <c r="H684" s="89"/>
      <c r="I684" s="89"/>
      <c r="J684" s="89"/>
      <c r="K684" s="89"/>
      <c r="L684" s="93"/>
      <c r="M684" s="93"/>
      <c r="N684" s="93"/>
      <c r="O684" s="93"/>
      <c r="P684" s="93"/>
      <c r="Q684" s="93"/>
      <c r="R684" s="93"/>
      <c r="S684" s="93"/>
      <c r="T684" s="93"/>
      <c r="U684" s="93"/>
      <c r="V684" s="93"/>
      <c r="W684" s="93"/>
    </row>
    <row r="685" spans="2:23" s="14" customFormat="1" ht="17.100000000000001" customHeight="1">
      <c r="B685" s="89"/>
      <c r="C685" s="90"/>
      <c r="D685" s="91"/>
      <c r="E685" s="92"/>
      <c r="F685" s="89"/>
      <c r="G685" s="89"/>
      <c r="H685" s="89"/>
      <c r="I685" s="89"/>
      <c r="J685" s="89"/>
      <c r="K685" s="89"/>
      <c r="L685" s="93"/>
      <c r="M685" s="93"/>
      <c r="N685" s="93"/>
      <c r="O685" s="93"/>
      <c r="P685" s="93"/>
      <c r="Q685" s="93"/>
      <c r="R685" s="93"/>
      <c r="S685" s="93"/>
      <c r="T685" s="93"/>
      <c r="U685" s="93"/>
      <c r="V685" s="93"/>
      <c r="W685" s="93"/>
    </row>
    <row r="686" spans="2:23" s="14" customFormat="1" ht="17.100000000000001" customHeight="1">
      <c r="B686" s="89"/>
      <c r="C686" s="90"/>
      <c r="D686" s="91"/>
      <c r="E686" s="92"/>
      <c r="F686" s="89"/>
      <c r="G686" s="89"/>
      <c r="H686" s="89"/>
      <c r="I686" s="89"/>
      <c r="J686" s="89"/>
      <c r="K686" s="89"/>
      <c r="L686" s="93"/>
      <c r="M686" s="93"/>
      <c r="N686" s="93"/>
      <c r="O686" s="93"/>
      <c r="P686" s="93"/>
      <c r="Q686" s="93"/>
      <c r="R686" s="93"/>
      <c r="S686" s="93"/>
      <c r="T686" s="93"/>
      <c r="U686" s="93"/>
      <c r="V686" s="93"/>
      <c r="W686" s="93"/>
    </row>
    <row r="687" spans="2:23" s="14" customFormat="1" ht="17.100000000000001" customHeight="1">
      <c r="B687" s="89"/>
      <c r="C687" s="90"/>
      <c r="D687" s="91"/>
      <c r="E687" s="92"/>
      <c r="F687" s="89"/>
      <c r="G687" s="89"/>
      <c r="H687" s="89"/>
      <c r="I687" s="89"/>
      <c r="J687" s="89"/>
      <c r="K687" s="89"/>
      <c r="L687" s="93"/>
      <c r="M687" s="93"/>
      <c r="N687" s="93"/>
      <c r="O687" s="93"/>
      <c r="P687" s="93"/>
      <c r="Q687" s="93"/>
      <c r="R687" s="93"/>
      <c r="S687" s="93"/>
      <c r="T687" s="93"/>
      <c r="U687" s="93"/>
      <c r="V687" s="93"/>
      <c r="W687" s="93"/>
    </row>
    <row r="688" spans="2:23" s="14" customFormat="1" ht="17.100000000000001" customHeight="1">
      <c r="B688" s="89"/>
      <c r="C688" s="90"/>
      <c r="D688" s="91"/>
      <c r="E688" s="92"/>
      <c r="F688" s="89"/>
      <c r="G688" s="89"/>
      <c r="H688" s="89"/>
      <c r="I688" s="89"/>
      <c r="J688" s="89"/>
      <c r="K688" s="89"/>
      <c r="L688" s="93"/>
      <c r="M688" s="93"/>
      <c r="N688" s="93"/>
      <c r="O688" s="93"/>
      <c r="P688" s="93"/>
      <c r="Q688" s="93"/>
      <c r="R688" s="93"/>
      <c r="S688" s="93"/>
      <c r="T688" s="93"/>
      <c r="U688" s="93"/>
      <c r="V688" s="93"/>
      <c r="W688" s="93"/>
    </row>
    <row r="689" spans="2:23" s="14" customFormat="1" ht="17.100000000000001" customHeight="1">
      <c r="B689" s="89"/>
      <c r="C689" s="90"/>
      <c r="D689" s="91"/>
      <c r="E689" s="92"/>
      <c r="F689" s="89"/>
      <c r="G689" s="89"/>
      <c r="H689" s="89"/>
      <c r="I689" s="89"/>
      <c r="J689" s="89"/>
      <c r="K689" s="89"/>
      <c r="L689" s="93"/>
      <c r="M689" s="93"/>
      <c r="N689" s="93"/>
      <c r="O689" s="93"/>
      <c r="P689" s="93"/>
      <c r="Q689" s="93"/>
      <c r="R689" s="93"/>
      <c r="S689" s="93"/>
      <c r="T689" s="93"/>
      <c r="U689" s="93"/>
      <c r="V689" s="93"/>
      <c r="W689" s="93"/>
    </row>
    <row r="690" spans="2:23" s="14" customFormat="1" ht="17.100000000000001" customHeight="1">
      <c r="B690" s="89"/>
      <c r="C690" s="90"/>
      <c r="D690" s="91"/>
      <c r="E690" s="92"/>
      <c r="F690" s="89"/>
      <c r="G690" s="89"/>
      <c r="H690" s="89"/>
      <c r="I690" s="89"/>
      <c r="J690" s="89"/>
      <c r="K690" s="89"/>
      <c r="L690" s="93"/>
      <c r="M690" s="93"/>
      <c r="N690" s="93"/>
      <c r="O690" s="93"/>
      <c r="P690" s="93"/>
      <c r="Q690" s="93"/>
      <c r="R690" s="93"/>
      <c r="S690" s="93"/>
      <c r="T690" s="93"/>
      <c r="U690" s="93"/>
      <c r="V690" s="93"/>
      <c r="W690" s="93"/>
    </row>
    <row r="691" spans="2:23" s="14" customFormat="1" ht="17.100000000000001" customHeight="1">
      <c r="B691" s="89"/>
      <c r="C691" s="90"/>
      <c r="D691" s="91"/>
      <c r="E691" s="92"/>
      <c r="F691" s="89"/>
      <c r="G691" s="89"/>
      <c r="H691" s="89"/>
      <c r="I691" s="89"/>
      <c r="J691" s="89"/>
      <c r="K691" s="89"/>
      <c r="L691" s="93"/>
      <c r="M691" s="93"/>
      <c r="N691" s="93"/>
      <c r="O691" s="93"/>
      <c r="P691" s="93"/>
      <c r="Q691" s="93"/>
      <c r="R691" s="93"/>
      <c r="S691" s="93"/>
      <c r="T691" s="93"/>
      <c r="U691" s="93"/>
      <c r="V691" s="93"/>
      <c r="W691" s="93"/>
    </row>
    <row r="692" spans="2:23" s="14" customFormat="1" ht="17.100000000000001" customHeight="1">
      <c r="B692" s="89"/>
      <c r="C692" s="90"/>
      <c r="D692" s="91"/>
      <c r="E692" s="92"/>
      <c r="F692" s="89"/>
      <c r="G692" s="89"/>
      <c r="H692" s="89"/>
      <c r="I692" s="89"/>
      <c r="J692" s="89"/>
      <c r="K692" s="89"/>
      <c r="L692" s="93"/>
      <c r="M692" s="93"/>
      <c r="N692" s="93"/>
      <c r="O692" s="93"/>
      <c r="P692" s="93"/>
      <c r="Q692" s="93"/>
      <c r="R692" s="93"/>
      <c r="S692" s="93"/>
      <c r="T692" s="93"/>
      <c r="U692" s="93"/>
      <c r="V692" s="93"/>
      <c r="W692" s="93"/>
    </row>
    <row r="693" spans="2:23" s="14" customFormat="1" ht="17.100000000000001" customHeight="1">
      <c r="B693" s="89"/>
      <c r="C693" s="90"/>
      <c r="D693" s="91"/>
      <c r="E693" s="92"/>
      <c r="F693" s="89"/>
      <c r="G693" s="89"/>
      <c r="H693" s="89"/>
      <c r="I693" s="89"/>
      <c r="J693" s="89"/>
      <c r="K693" s="89"/>
      <c r="L693" s="93"/>
      <c r="M693" s="93"/>
      <c r="N693" s="93"/>
      <c r="O693" s="93"/>
      <c r="P693" s="93"/>
      <c r="Q693" s="93"/>
      <c r="R693" s="93"/>
      <c r="S693" s="93"/>
      <c r="T693" s="93"/>
      <c r="U693" s="93"/>
      <c r="V693" s="93"/>
      <c r="W693" s="93"/>
    </row>
    <row r="694" spans="2:23" s="14" customFormat="1" ht="17.100000000000001" customHeight="1">
      <c r="B694" s="89"/>
      <c r="C694" s="90"/>
      <c r="D694" s="91"/>
      <c r="E694" s="92"/>
      <c r="F694" s="89"/>
      <c r="G694" s="89"/>
      <c r="H694" s="89"/>
      <c r="I694" s="89"/>
      <c r="J694" s="89"/>
      <c r="K694" s="89"/>
      <c r="L694" s="93"/>
      <c r="M694" s="93"/>
      <c r="N694" s="93"/>
      <c r="O694" s="93"/>
      <c r="P694" s="93"/>
      <c r="Q694" s="93"/>
      <c r="R694" s="93"/>
      <c r="S694" s="93"/>
      <c r="T694" s="93"/>
      <c r="U694" s="93"/>
      <c r="V694" s="93"/>
      <c r="W694" s="93"/>
    </row>
    <row r="695" spans="2:23" s="14" customFormat="1" ht="17.100000000000001" customHeight="1">
      <c r="B695" s="89"/>
      <c r="C695" s="90"/>
      <c r="D695" s="91"/>
      <c r="E695" s="92"/>
      <c r="F695" s="89"/>
      <c r="G695" s="89"/>
      <c r="H695" s="89"/>
      <c r="I695" s="89"/>
      <c r="J695" s="89"/>
      <c r="K695" s="89"/>
      <c r="L695" s="93"/>
      <c r="M695" s="93"/>
      <c r="N695" s="93"/>
      <c r="O695" s="93"/>
      <c r="P695" s="93"/>
      <c r="Q695" s="93"/>
      <c r="R695" s="93"/>
      <c r="S695" s="93"/>
      <c r="T695" s="93"/>
      <c r="U695" s="93"/>
      <c r="V695" s="93"/>
      <c r="W695" s="93"/>
    </row>
    <row r="696" spans="2:23" s="14" customFormat="1" ht="17.100000000000001" customHeight="1">
      <c r="B696" s="89"/>
      <c r="C696" s="90"/>
      <c r="D696" s="91"/>
      <c r="E696" s="92"/>
      <c r="F696" s="89"/>
      <c r="G696" s="89"/>
      <c r="H696" s="89"/>
      <c r="I696" s="89"/>
      <c r="J696" s="89"/>
      <c r="K696" s="89"/>
      <c r="L696" s="93"/>
      <c r="M696" s="93"/>
      <c r="N696" s="93"/>
      <c r="O696" s="93"/>
      <c r="P696" s="93"/>
      <c r="Q696" s="93"/>
      <c r="R696" s="93"/>
      <c r="S696" s="93"/>
      <c r="T696" s="93"/>
      <c r="U696" s="93"/>
      <c r="V696" s="93"/>
      <c r="W696" s="93"/>
    </row>
    <row r="697" spans="2:23" s="14" customFormat="1" ht="17.100000000000001" customHeight="1">
      <c r="B697" s="89"/>
      <c r="C697" s="90"/>
      <c r="D697" s="91"/>
      <c r="E697" s="92"/>
      <c r="F697" s="89"/>
      <c r="G697" s="89"/>
      <c r="H697" s="89"/>
      <c r="I697" s="89"/>
      <c r="J697" s="89"/>
      <c r="K697" s="89"/>
      <c r="L697" s="93"/>
      <c r="M697" s="93"/>
      <c r="N697" s="93"/>
      <c r="O697" s="93"/>
      <c r="P697" s="93"/>
      <c r="Q697" s="93"/>
      <c r="R697" s="93"/>
      <c r="S697" s="93"/>
      <c r="T697" s="93"/>
      <c r="U697" s="93"/>
      <c r="V697" s="93"/>
      <c r="W697" s="93"/>
    </row>
    <row r="698" spans="2:23" s="14" customFormat="1" ht="17.100000000000001" customHeight="1">
      <c r="B698" s="89"/>
      <c r="C698" s="90"/>
      <c r="D698" s="91"/>
      <c r="E698" s="92"/>
      <c r="F698" s="89"/>
      <c r="G698" s="89"/>
      <c r="H698" s="89"/>
      <c r="I698" s="89"/>
      <c r="J698" s="89"/>
      <c r="K698" s="89"/>
      <c r="L698" s="93"/>
      <c r="M698" s="93"/>
      <c r="N698" s="93"/>
      <c r="O698" s="93"/>
      <c r="P698" s="93"/>
      <c r="Q698" s="93"/>
      <c r="R698" s="93"/>
      <c r="S698" s="93"/>
      <c r="T698" s="93"/>
      <c r="U698" s="93"/>
      <c r="V698" s="93"/>
      <c r="W698" s="93"/>
    </row>
    <row r="699" spans="2:23" s="14" customFormat="1" ht="17.100000000000001" customHeight="1">
      <c r="B699" s="89"/>
      <c r="C699" s="90"/>
      <c r="D699" s="91"/>
      <c r="E699" s="92"/>
      <c r="F699" s="89"/>
      <c r="G699" s="89"/>
      <c r="H699" s="89"/>
      <c r="I699" s="89"/>
      <c r="J699" s="89"/>
      <c r="K699" s="89"/>
      <c r="L699" s="93"/>
      <c r="M699" s="93"/>
      <c r="N699" s="93"/>
      <c r="O699" s="93"/>
      <c r="P699" s="93"/>
      <c r="Q699" s="93"/>
      <c r="R699" s="93"/>
      <c r="S699" s="93"/>
      <c r="T699" s="93"/>
      <c r="U699" s="93"/>
      <c r="V699" s="93"/>
      <c r="W699" s="93"/>
    </row>
    <row r="700" spans="2:23" s="14" customFormat="1" ht="17.100000000000001" customHeight="1">
      <c r="B700" s="89"/>
      <c r="C700" s="90"/>
      <c r="D700" s="91"/>
      <c r="E700" s="92"/>
      <c r="F700" s="89"/>
      <c r="G700" s="89"/>
      <c r="H700" s="89"/>
      <c r="I700" s="89"/>
      <c r="J700" s="89"/>
      <c r="K700" s="89"/>
      <c r="L700" s="93"/>
      <c r="M700" s="93"/>
      <c r="N700" s="93"/>
      <c r="O700" s="93"/>
      <c r="P700" s="93"/>
      <c r="Q700" s="93"/>
      <c r="R700" s="93"/>
      <c r="S700" s="93"/>
      <c r="T700" s="93"/>
      <c r="U700" s="93"/>
      <c r="V700" s="93"/>
      <c r="W700" s="93"/>
    </row>
    <row r="701" spans="2:23" s="14" customFormat="1" ht="17.100000000000001" customHeight="1">
      <c r="B701" s="89"/>
      <c r="C701" s="90"/>
      <c r="D701" s="91"/>
      <c r="E701" s="92"/>
      <c r="F701" s="89"/>
      <c r="G701" s="89"/>
      <c r="H701" s="89"/>
      <c r="I701" s="89"/>
      <c r="J701" s="89"/>
      <c r="K701" s="89"/>
      <c r="L701" s="93"/>
      <c r="M701" s="93"/>
      <c r="N701" s="93"/>
      <c r="O701" s="93"/>
      <c r="P701" s="93"/>
      <c r="Q701" s="93"/>
      <c r="R701" s="93"/>
      <c r="S701" s="93"/>
      <c r="T701" s="93"/>
      <c r="U701" s="93"/>
      <c r="V701" s="93"/>
      <c r="W701" s="93"/>
    </row>
    <row r="702" spans="2:23" s="14" customFormat="1" ht="17.100000000000001" customHeight="1">
      <c r="B702" s="89"/>
      <c r="C702" s="90"/>
      <c r="D702" s="91"/>
      <c r="E702" s="92"/>
      <c r="F702" s="89"/>
      <c r="G702" s="89"/>
      <c r="H702" s="89"/>
      <c r="I702" s="89"/>
      <c r="J702" s="89"/>
      <c r="K702" s="89"/>
      <c r="L702" s="93"/>
      <c r="M702" s="93"/>
      <c r="N702" s="93"/>
      <c r="O702" s="93"/>
      <c r="P702" s="93"/>
      <c r="Q702" s="93"/>
      <c r="R702" s="93"/>
      <c r="S702" s="93"/>
      <c r="T702" s="93"/>
      <c r="U702" s="93"/>
      <c r="V702" s="93"/>
      <c r="W702" s="93"/>
    </row>
    <row r="703" spans="2:23" s="14" customFormat="1" ht="17.100000000000001" customHeight="1">
      <c r="B703" s="89"/>
      <c r="C703" s="90"/>
      <c r="D703" s="91"/>
      <c r="E703" s="92"/>
      <c r="F703" s="89"/>
      <c r="G703" s="89"/>
      <c r="H703" s="89"/>
      <c r="I703" s="89"/>
      <c r="J703" s="89"/>
      <c r="K703" s="89"/>
      <c r="L703" s="93"/>
      <c r="M703" s="93"/>
      <c r="N703" s="93"/>
      <c r="O703" s="93"/>
      <c r="P703" s="93"/>
      <c r="Q703" s="93"/>
      <c r="R703" s="93"/>
      <c r="S703" s="93"/>
      <c r="T703" s="93"/>
      <c r="U703" s="93"/>
      <c r="V703" s="93"/>
      <c r="W703" s="93"/>
    </row>
    <row r="704" spans="2:23" s="14" customFormat="1" ht="17.100000000000001" customHeight="1">
      <c r="B704" s="89"/>
      <c r="C704" s="90"/>
      <c r="D704" s="91"/>
      <c r="E704" s="92"/>
      <c r="F704" s="89"/>
      <c r="G704" s="89"/>
      <c r="H704" s="89"/>
      <c r="I704" s="89"/>
      <c r="J704" s="89"/>
      <c r="K704" s="89"/>
      <c r="L704" s="93"/>
      <c r="M704" s="93"/>
      <c r="N704" s="93"/>
      <c r="O704" s="93"/>
      <c r="P704" s="93"/>
      <c r="Q704" s="93"/>
      <c r="R704" s="93"/>
      <c r="S704" s="93"/>
      <c r="T704" s="93"/>
      <c r="U704" s="93"/>
      <c r="V704" s="93"/>
      <c r="W704" s="93"/>
    </row>
    <row r="705" spans="2:23" s="14" customFormat="1" ht="17.100000000000001" customHeight="1">
      <c r="B705" s="89"/>
      <c r="C705" s="90"/>
      <c r="D705" s="91"/>
      <c r="E705" s="92"/>
      <c r="F705" s="89"/>
      <c r="G705" s="89"/>
      <c r="H705" s="89"/>
      <c r="I705" s="89"/>
      <c r="J705" s="89"/>
      <c r="K705" s="89"/>
      <c r="L705" s="93"/>
      <c r="M705" s="93"/>
      <c r="N705" s="93"/>
      <c r="O705" s="93"/>
      <c r="P705" s="93"/>
      <c r="Q705" s="93"/>
      <c r="R705" s="93"/>
      <c r="S705" s="93"/>
      <c r="T705" s="93"/>
      <c r="U705" s="93"/>
      <c r="V705" s="93"/>
      <c r="W705" s="93"/>
    </row>
    <row r="706" spans="2:23" s="14" customFormat="1" ht="17.100000000000001" customHeight="1">
      <c r="B706" s="89"/>
      <c r="C706" s="90"/>
      <c r="D706" s="91"/>
      <c r="E706" s="92"/>
      <c r="F706" s="89"/>
      <c r="G706" s="89"/>
      <c r="H706" s="89"/>
      <c r="I706" s="89"/>
      <c r="J706" s="89"/>
      <c r="K706" s="89"/>
      <c r="L706" s="93"/>
      <c r="M706" s="93"/>
      <c r="N706" s="93"/>
      <c r="O706" s="93"/>
      <c r="P706" s="93"/>
      <c r="Q706" s="93"/>
      <c r="R706" s="93"/>
      <c r="S706" s="93"/>
      <c r="T706" s="93"/>
      <c r="U706" s="93"/>
      <c r="V706" s="93"/>
      <c r="W706" s="93"/>
    </row>
    <row r="707" spans="2:23" s="14" customFormat="1" ht="17.100000000000001" customHeight="1">
      <c r="B707" s="89"/>
      <c r="C707" s="90"/>
      <c r="D707" s="91"/>
      <c r="E707" s="92"/>
      <c r="F707" s="89"/>
      <c r="G707" s="89"/>
      <c r="H707" s="89"/>
      <c r="I707" s="89"/>
      <c r="J707" s="89"/>
      <c r="K707" s="89"/>
      <c r="L707" s="93"/>
      <c r="M707" s="93"/>
      <c r="N707" s="93"/>
      <c r="O707" s="93"/>
      <c r="P707" s="93"/>
      <c r="Q707" s="93"/>
      <c r="R707" s="93"/>
      <c r="S707" s="93"/>
      <c r="T707" s="93"/>
      <c r="U707" s="93"/>
      <c r="V707" s="93"/>
      <c r="W707" s="93"/>
    </row>
    <row r="708" spans="2:23" s="14" customFormat="1" ht="17.100000000000001" customHeight="1">
      <c r="B708" s="89"/>
      <c r="C708" s="90"/>
      <c r="D708" s="91"/>
      <c r="E708" s="92"/>
      <c r="F708" s="89"/>
      <c r="G708" s="89"/>
      <c r="H708" s="89"/>
      <c r="I708" s="89"/>
      <c r="J708" s="89"/>
      <c r="K708" s="89"/>
      <c r="L708" s="93"/>
      <c r="M708" s="93"/>
      <c r="N708" s="93"/>
      <c r="O708" s="93"/>
      <c r="P708" s="93"/>
      <c r="Q708" s="93"/>
      <c r="R708" s="93"/>
      <c r="S708" s="93"/>
      <c r="T708" s="93"/>
      <c r="U708" s="93"/>
      <c r="V708" s="93"/>
      <c r="W708" s="93"/>
    </row>
    <row r="709" spans="2:23" s="14" customFormat="1" ht="17.100000000000001" customHeight="1">
      <c r="B709" s="89"/>
      <c r="C709" s="90"/>
      <c r="D709" s="91"/>
      <c r="E709" s="92"/>
      <c r="F709" s="89"/>
      <c r="G709" s="89"/>
      <c r="H709" s="89"/>
      <c r="I709" s="89"/>
      <c r="J709" s="89"/>
      <c r="K709" s="89"/>
      <c r="L709" s="93"/>
      <c r="M709" s="93"/>
      <c r="N709" s="93"/>
      <c r="O709" s="93"/>
      <c r="P709" s="93"/>
      <c r="Q709" s="93"/>
      <c r="R709" s="93"/>
      <c r="S709" s="93"/>
      <c r="T709" s="93"/>
      <c r="U709" s="93"/>
      <c r="V709" s="93"/>
      <c r="W709" s="93"/>
    </row>
    <row r="710" spans="2:23" s="14" customFormat="1" ht="17.100000000000001" customHeight="1">
      <c r="B710" s="89"/>
      <c r="C710" s="90"/>
      <c r="D710" s="91"/>
      <c r="E710" s="92"/>
      <c r="F710" s="89"/>
      <c r="G710" s="89"/>
      <c r="H710" s="89"/>
      <c r="I710" s="89"/>
      <c r="J710" s="89"/>
      <c r="K710" s="89"/>
      <c r="L710" s="93"/>
      <c r="M710" s="93"/>
      <c r="N710" s="93"/>
      <c r="O710" s="93"/>
      <c r="P710" s="93"/>
      <c r="Q710" s="93"/>
      <c r="R710" s="93"/>
      <c r="S710" s="93"/>
      <c r="T710" s="93"/>
      <c r="U710" s="93"/>
      <c r="V710" s="93"/>
      <c r="W710" s="93"/>
    </row>
    <row r="711" spans="2:23" s="14" customFormat="1" ht="17.100000000000001" customHeight="1">
      <c r="B711" s="89"/>
      <c r="C711" s="90"/>
      <c r="D711" s="91"/>
      <c r="E711" s="92"/>
      <c r="F711" s="89"/>
      <c r="G711" s="89"/>
      <c r="H711" s="89"/>
      <c r="I711" s="89"/>
      <c r="J711" s="89"/>
      <c r="K711" s="89"/>
      <c r="L711" s="93"/>
      <c r="M711" s="93"/>
      <c r="N711" s="93"/>
      <c r="O711" s="93"/>
      <c r="P711" s="93"/>
      <c r="Q711" s="93"/>
      <c r="R711" s="93"/>
      <c r="S711" s="93"/>
      <c r="T711" s="93"/>
      <c r="U711" s="93"/>
      <c r="V711" s="93"/>
      <c r="W711" s="93"/>
    </row>
    <row r="712" spans="2:23" s="14" customFormat="1" ht="17.100000000000001" customHeight="1">
      <c r="B712" s="89"/>
      <c r="C712" s="90"/>
      <c r="D712" s="91"/>
      <c r="E712" s="92"/>
      <c r="F712" s="89"/>
      <c r="G712" s="89"/>
      <c r="H712" s="89"/>
      <c r="I712" s="89"/>
      <c r="J712" s="89"/>
      <c r="K712" s="89"/>
      <c r="L712" s="93"/>
      <c r="M712" s="93"/>
      <c r="N712" s="93"/>
      <c r="O712" s="93"/>
      <c r="P712" s="93"/>
      <c r="Q712" s="93"/>
      <c r="R712" s="93"/>
      <c r="S712" s="93"/>
      <c r="T712" s="93"/>
      <c r="U712" s="93"/>
      <c r="V712" s="93"/>
      <c r="W712" s="93"/>
    </row>
    <row r="713" spans="2:23" s="14" customFormat="1" ht="17.100000000000001" customHeight="1">
      <c r="B713" s="89"/>
      <c r="C713" s="90"/>
      <c r="D713" s="91"/>
      <c r="E713" s="92"/>
      <c r="F713" s="89"/>
      <c r="G713" s="89"/>
      <c r="H713" s="89"/>
      <c r="I713" s="89"/>
      <c r="J713" s="89"/>
      <c r="K713" s="89"/>
      <c r="L713" s="93"/>
      <c r="M713" s="93"/>
      <c r="N713" s="93"/>
      <c r="O713" s="93"/>
      <c r="P713" s="93"/>
      <c r="Q713" s="93"/>
      <c r="R713" s="93"/>
      <c r="S713" s="93"/>
      <c r="T713" s="93"/>
      <c r="U713" s="93"/>
      <c r="V713" s="93"/>
      <c r="W713" s="93"/>
    </row>
    <row r="714" spans="2:23" s="14" customFormat="1" ht="17.100000000000001" customHeight="1">
      <c r="B714" s="89"/>
      <c r="C714" s="90"/>
      <c r="D714" s="91"/>
      <c r="E714" s="92"/>
      <c r="F714" s="89"/>
      <c r="G714" s="89"/>
      <c r="H714" s="89"/>
      <c r="I714" s="89"/>
      <c r="J714" s="89"/>
      <c r="K714" s="89"/>
      <c r="L714" s="93"/>
      <c r="M714" s="93"/>
      <c r="N714" s="93"/>
      <c r="O714" s="93"/>
      <c r="P714" s="93"/>
      <c r="Q714" s="93"/>
      <c r="R714" s="93"/>
      <c r="S714" s="93"/>
      <c r="T714" s="93"/>
      <c r="U714" s="93"/>
      <c r="V714" s="93"/>
      <c r="W714" s="93"/>
    </row>
    <row r="715" spans="2:23" s="14" customFormat="1" ht="17.100000000000001" customHeight="1">
      <c r="B715" s="89"/>
      <c r="C715" s="90"/>
      <c r="D715" s="91"/>
      <c r="E715" s="92"/>
      <c r="F715" s="89"/>
      <c r="G715" s="89"/>
      <c r="H715" s="89"/>
      <c r="I715" s="89"/>
      <c r="J715" s="89"/>
      <c r="K715" s="89"/>
      <c r="L715" s="93"/>
      <c r="M715" s="93"/>
      <c r="N715" s="93"/>
      <c r="O715" s="93"/>
      <c r="P715" s="93"/>
      <c r="Q715" s="93"/>
      <c r="R715" s="93"/>
      <c r="S715" s="93"/>
      <c r="T715" s="93"/>
      <c r="U715" s="93"/>
      <c r="V715" s="93"/>
      <c r="W715" s="93"/>
    </row>
    <row r="716" spans="2:23" s="14" customFormat="1" ht="17.100000000000001" customHeight="1">
      <c r="B716" s="89"/>
      <c r="C716" s="90"/>
      <c r="D716" s="91"/>
      <c r="E716" s="92"/>
      <c r="F716" s="89"/>
      <c r="G716" s="89"/>
      <c r="H716" s="89"/>
      <c r="I716" s="89"/>
      <c r="J716" s="89"/>
      <c r="K716" s="89"/>
      <c r="L716" s="93"/>
      <c r="M716" s="93"/>
      <c r="N716" s="93"/>
      <c r="O716" s="93"/>
      <c r="P716" s="93"/>
      <c r="Q716" s="93"/>
      <c r="R716" s="93"/>
      <c r="S716" s="93"/>
      <c r="T716" s="93"/>
      <c r="U716" s="93"/>
      <c r="V716" s="93"/>
      <c r="W716" s="93"/>
    </row>
    <row r="717" spans="2:23" s="14" customFormat="1" ht="17.100000000000001" customHeight="1">
      <c r="B717" s="89"/>
      <c r="C717" s="90"/>
      <c r="D717" s="91"/>
      <c r="E717" s="92"/>
      <c r="F717" s="89"/>
      <c r="G717" s="89"/>
      <c r="H717" s="89"/>
      <c r="I717" s="89"/>
      <c r="J717" s="89"/>
      <c r="K717" s="89"/>
      <c r="L717" s="93"/>
      <c r="M717" s="93"/>
      <c r="N717" s="93"/>
      <c r="O717" s="93"/>
      <c r="P717" s="93"/>
      <c r="Q717" s="93"/>
      <c r="R717" s="93"/>
      <c r="S717" s="93"/>
      <c r="T717" s="93"/>
      <c r="U717" s="93"/>
      <c r="V717" s="93"/>
      <c r="W717" s="93"/>
    </row>
    <row r="718" spans="2:23" s="14" customFormat="1" ht="17.100000000000001" customHeight="1">
      <c r="B718" s="89"/>
      <c r="C718" s="90"/>
      <c r="D718" s="91"/>
      <c r="E718" s="92"/>
      <c r="F718" s="89"/>
      <c r="G718" s="89"/>
      <c r="H718" s="89"/>
      <c r="I718" s="89"/>
      <c r="J718" s="89"/>
      <c r="K718" s="89"/>
      <c r="L718" s="93"/>
      <c r="M718" s="93"/>
      <c r="N718" s="93"/>
      <c r="O718" s="93"/>
      <c r="P718" s="93"/>
      <c r="Q718" s="93"/>
      <c r="R718" s="93"/>
      <c r="S718" s="93"/>
      <c r="T718" s="93"/>
      <c r="U718" s="93"/>
      <c r="V718" s="93"/>
      <c r="W718" s="93"/>
    </row>
    <row r="719" spans="2:23" s="14" customFormat="1" ht="17.100000000000001" customHeight="1">
      <c r="B719" s="89"/>
      <c r="C719" s="90"/>
      <c r="D719" s="91"/>
      <c r="E719" s="92"/>
      <c r="F719" s="89"/>
      <c r="G719" s="89"/>
      <c r="H719" s="89"/>
      <c r="I719" s="89"/>
      <c r="J719" s="89"/>
      <c r="K719" s="89"/>
      <c r="L719" s="93"/>
      <c r="M719" s="93"/>
      <c r="N719" s="93"/>
      <c r="O719" s="93"/>
      <c r="P719" s="93"/>
      <c r="Q719" s="93"/>
      <c r="R719" s="93"/>
      <c r="S719" s="93"/>
      <c r="T719" s="93"/>
      <c r="U719" s="93"/>
      <c r="V719" s="93"/>
      <c r="W719" s="93"/>
    </row>
    <row r="720" spans="2:23" s="14" customFormat="1" ht="17.100000000000001" customHeight="1">
      <c r="B720" s="89"/>
      <c r="C720" s="90"/>
      <c r="D720" s="91"/>
      <c r="E720" s="92"/>
      <c r="F720" s="89"/>
      <c r="G720" s="89"/>
      <c r="H720" s="89"/>
      <c r="I720" s="89"/>
      <c r="J720" s="89"/>
      <c r="K720" s="89"/>
      <c r="L720" s="93"/>
      <c r="M720" s="93"/>
      <c r="N720" s="93"/>
      <c r="O720" s="93"/>
      <c r="P720" s="93"/>
      <c r="Q720" s="93"/>
      <c r="R720" s="93"/>
      <c r="S720" s="93"/>
      <c r="T720" s="93"/>
      <c r="U720" s="93"/>
      <c r="V720" s="93"/>
      <c r="W720" s="93"/>
    </row>
    <row r="721" spans="2:23" s="14" customFormat="1" ht="17.100000000000001" customHeight="1">
      <c r="B721" s="89"/>
      <c r="C721" s="90"/>
      <c r="D721" s="91"/>
      <c r="E721" s="92"/>
      <c r="F721" s="89"/>
      <c r="G721" s="89"/>
      <c r="H721" s="89"/>
      <c r="I721" s="89"/>
      <c r="J721" s="89"/>
      <c r="K721" s="89"/>
      <c r="L721" s="93"/>
      <c r="M721" s="93"/>
      <c r="N721" s="93"/>
      <c r="O721" s="93"/>
      <c r="P721" s="93"/>
      <c r="Q721" s="93"/>
      <c r="R721" s="93"/>
      <c r="S721" s="93"/>
      <c r="T721" s="93"/>
      <c r="U721" s="93"/>
      <c r="V721" s="93"/>
      <c r="W721" s="93"/>
    </row>
    <row r="722" spans="2:23" s="14" customFormat="1" ht="17.100000000000001" customHeight="1">
      <c r="B722" s="89"/>
      <c r="C722" s="90"/>
      <c r="D722" s="91"/>
      <c r="E722" s="92"/>
      <c r="F722" s="89"/>
      <c r="G722" s="89"/>
      <c r="H722" s="89"/>
      <c r="I722" s="89"/>
      <c r="J722" s="89"/>
      <c r="K722" s="89"/>
      <c r="L722" s="93"/>
      <c r="M722" s="93"/>
      <c r="N722" s="93"/>
      <c r="O722" s="93"/>
      <c r="P722" s="93"/>
      <c r="Q722" s="93"/>
      <c r="R722" s="93"/>
      <c r="S722" s="93"/>
      <c r="T722" s="93"/>
      <c r="U722" s="93"/>
      <c r="V722" s="93"/>
      <c r="W722" s="93"/>
    </row>
    <row r="723" spans="2:23" s="14" customFormat="1" ht="17.100000000000001" customHeight="1">
      <c r="B723" s="89"/>
      <c r="C723" s="90"/>
      <c r="D723" s="91"/>
      <c r="E723" s="92"/>
      <c r="F723" s="89"/>
      <c r="G723" s="89"/>
      <c r="H723" s="89"/>
      <c r="I723" s="89"/>
      <c r="J723" s="89"/>
      <c r="K723" s="89"/>
      <c r="L723" s="93"/>
      <c r="M723" s="93"/>
      <c r="N723" s="93"/>
      <c r="O723" s="93"/>
      <c r="P723" s="93"/>
      <c r="Q723" s="93"/>
      <c r="R723" s="93"/>
      <c r="S723" s="93"/>
      <c r="T723" s="93"/>
      <c r="U723" s="93"/>
      <c r="V723" s="93"/>
      <c r="W723" s="93"/>
    </row>
    <row r="724" spans="2:23" s="14" customFormat="1" ht="17.100000000000001" customHeight="1">
      <c r="B724" s="89"/>
      <c r="C724" s="90"/>
      <c r="D724" s="91"/>
      <c r="E724" s="92"/>
      <c r="F724" s="89"/>
      <c r="G724" s="89"/>
      <c r="H724" s="89"/>
      <c r="I724" s="89"/>
      <c r="J724" s="89"/>
      <c r="K724" s="89"/>
      <c r="L724" s="93"/>
      <c r="M724" s="93"/>
      <c r="N724" s="93"/>
      <c r="O724" s="93"/>
      <c r="P724" s="93"/>
      <c r="Q724" s="93"/>
      <c r="R724" s="93"/>
      <c r="S724" s="93"/>
      <c r="T724" s="93"/>
      <c r="U724" s="93"/>
      <c r="V724" s="93"/>
      <c r="W724" s="93"/>
    </row>
    <row r="725" spans="2:23" s="14" customFormat="1" ht="17.100000000000001" customHeight="1">
      <c r="B725" s="89"/>
      <c r="C725" s="90"/>
      <c r="D725" s="91"/>
      <c r="E725" s="92"/>
      <c r="F725" s="89"/>
      <c r="G725" s="89"/>
      <c r="H725" s="89"/>
      <c r="I725" s="89"/>
      <c r="J725" s="89"/>
      <c r="K725" s="89"/>
      <c r="L725" s="93"/>
      <c r="M725" s="93"/>
      <c r="N725" s="93"/>
      <c r="O725" s="93"/>
      <c r="P725" s="93"/>
      <c r="Q725" s="93"/>
      <c r="R725" s="93"/>
      <c r="S725" s="93"/>
      <c r="T725" s="93"/>
      <c r="U725" s="93"/>
      <c r="V725" s="93"/>
      <c r="W725" s="93"/>
    </row>
    <row r="726" spans="2:23" s="14" customFormat="1" ht="17.100000000000001" customHeight="1">
      <c r="B726" s="89"/>
      <c r="C726" s="90"/>
      <c r="D726" s="91"/>
      <c r="E726" s="92"/>
      <c r="F726" s="89"/>
      <c r="G726" s="89"/>
      <c r="H726" s="89"/>
      <c r="I726" s="89"/>
      <c r="J726" s="89"/>
      <c r="K726" s="89"/>
      <c r="L726" s="93"/>
      <c r="M726" s="93"/>
      <c r="N726" s="93"/>
      <c r="O726" s="93"/>
      <c r="P726" s="93"/>
      <c r="Q726" s="93"/>
      <c r="R726" s="93"/>
      <c r="S726" s="93"/>
      <c r="T726" s="93"/>
      <c r="U726" s="93"/>
      <c r="V726" s="93"/>
      <c r="W726" s="93"/>
    </row>
    <row r="727" spans="2:23" s="14" customFormat="1" ht="17.100000000000001" customHeight="1">
      <c r="B727" s="89"/>
      <c r="C727" s="90"/>
      <c r="D727" s="91"/>
      <c r="E727" s="92"/>
      <c r="F727" s="89"/>
      <c r="G727" s="89"/>
      <c r="H727" s="89"/>
      <c r="I727" s="89"/>
      <c r="J727" s="89"/>
      <c r="K727" s="89"/>
      <c r="L727" s="93"/>
      <c r="M727" s="93"/>
      <c r="N727" s="93"/>
      <c r="O727" s="93"/>
      <c r="P727" s="93"/>
      <c r="Q727" s="93"/>
      <c r="R727" s="93"/>
      <c r="S727" s="93"/>
      <c r="T727" s="93"/>
      <c r="U727" s="93"/>
      <c r="V727" s="93"/>
      <c r="W727" s="93"/>
    </row>
    <row r="728" spans="2:23" s="14" customFormat="1" ht="17.100000000000001" customHeight="1">
      <c r="B728" s="89"/>
      <c r="C728" s="90"/>
      <c r="D728" s="91"/>
      <c r="E728" s="92"/>
      <c r="F728" s="89"/>
      <c r="G728" s="89"/>
      <c r="H728" s="89"/>
      <c r="I728" s="89"/>
      <c r="J728" s="89"/>
      <c r="K728" s="89"/>
      <c r="L728" s="93"/>
      <c r="M728" s="93"/>
      <c r="N728" s="93"/>
      <c r="O728" s="93"/>
      <c r="P728" s="93"/>
      <c r="Q728" s="93"/>
      <c r="R728" s="93"/>
      <c r="S728" s="93"/>
      <c r="T728" s="93"/>
      <c r="U728" s="93"/>
      <c r="V728" s="93"/>
      <c r="W728" s="93"/>
    </row>
    <row r="729" spans="2:23" s="14" customFormat="1" ht="17.100000000000001" customHeight="1">
      <c r="B729" s="89"/>
      <c r="C729" s="90"/>
      <c r="D729" s="91"/>
      <c r="E729" s="92"/>
      <c r="F729" s="89"/>
      <c r="G729" s="89"/>
      <c r="H729" s="89"/>
      <c r="I729" s="89"/>
      <c r="J729" s="89"/>
      <c r="K729" s="89"/>
      <c r="L729" s="93"/>
      <c r="M729" s="93"/>
      <c r="N729" s="93"/>
      <c r="O729" s="93"/>
      <c r="P729" s="93"/>
      <c r="Q729" s="93"/>
      <c r="R729" s="93"/>
      <c r="S729" s="93"/>
      <c r="T729" s="93"/>
      <c r="U729" s="93"/>
      <c r="V729" s="93"/>
      <c r="W729" s="93"/>
    </row>
    <row r="730" spans="2:23" s="14" customFormat="1" ht="17.100000000000001" customHeight="1">
      <c r="B730" s="89"/>
      <c r="C730" s="90"/>
      <c r="D730" s="91"/>
      <c r="E730" s="92"/>
      <c r="F730" s="89"/>
      <c r="G730" s="89"/>
      <c r="H730" s="89"/>
      <c r="I730" s="89"/>
      <c r="J730" s="89"/>
      <c r="K730" s="89"/>
      <c r="L730" s="93"/>
      <c r="M730" s="93"/>
      <c r="N730" s="93"/>
      <c r="O730" s="93"/>
      <c r="P730" s="93"/>
      <c r="Q730" s="93"/>
      <c r="R730" s="93"/>
      <c r="S730" s="93"/>
      <c r="T730" s="93"/>
      <c r="U730" s="93"/>
      <c r="V730" s="93"/>
      <c r="W730" s="93"/>
    </row>
    <row r="731" spans="2:23" s="14" customFormat="1" ht="17.100000000000001" customHeight="1">
      <c r="B731" s="89"/>
      <c r="C731" s="90"/>
      <c r="D731" s="91"/>
      <c r="E731" s="92"/>
      <c r="F731" s="89"/>
      <c r="G731" s="89"/>
      <c r="H731" s="89"/>
      <c r="I731" s="89"/>
      <c r="J731" s="89"/>
      <c r="K731" s="89"/>
      <c r="L731" s="93"/>
      <c r="M731" s="93"/>
      <c r="N731" s="93"/>
      <c r="O731" s="93"/>
      <c r="P731" s="93"/>
      <c r="Q731" s="93"/>
      <c r="R731" s="93"/>
      <c r="S731" s="93"/>
      <c r="T731" s="93"/>
      <c r="U731" s="93"/>
      <c r="V731" s="93"/>
      <c r="W731" s="93"/>
    </row>
    <row r="732" spans="2:23" s="14" customFormat="1" ht="17.100000000000001" customHeight="1">
      <c r="B732" s="89"/>
      <c r="C732" s="90"/>
      <c r="D732" s="91"/>
      <c r="E732" s="92"/>
      <c r="F732" s="89"/>
      <c r="G732" s="89"/>
      <c r="H732" s="89"/>
      <c r="I732" s="89"/>
      <c r="J732" s="89"/>
      <c r="K732" s="89"/>
      <c r="L732" s="93"/>
      <c r="M732" s="93"/>
      <c r="N732" s="93"/>
      <c r="O732" s="93"/>
      <c r="P732" s="93"/>
      <c r="Q732" s="93"/>
      <c r="R732" s="93"/>
      <c r="S732" s="93"/>
      <c r="T732" s="93"/>
      <c r="U732" s="93"/>
      <c r="V732" s="93"/>
      <c r="W732" s="93"/>
    </row>
    <row r="733" spans="2:23" s="14" customFormat="1" ht="17.100000000000001" customHeight="1">
      <c r="B733" s="89"/>
      <c r="C733" s="90"/>
      <c r="D733" s="91"/>
      <c r="E733" s="92"/>
      <c r="F733" s="89"/>
      <c r="G733" s="89"/>
      <c r="H733" s="89"/>
      <c r="I733" s="89"/>
      <c r="J733" s="89"/>
      <c r="K733" s="89"/>
      <c r="L733" s="93"/>
      <c r="M733" s="93"/>
      <c r="N733" s="93"/>
      <c r="O733" s="93"/>
      <c r="P733" s="93"/>
      <c r="Q733" s="93"/>
      <c r="R733" s="93"/>
      <c r="S733" s="93"/>
      <c r="T733" s="93"/>
      <c r="U733" s="93"/>
      <c r="V733" s="93"/>
      <c r="W733" s="93"/>
    </row>
    <row r="734" spans="2:23" s="14" customFormat="1" ht="17.100000000000001" customHeight="1">
      <c r="B734" s="89"/>
      <c r="C734" s="90"/>
      <c r="D734" s="91"/>
      <c r="E734" s="92"/>
      <c r="F734" s="89"/>
      <c r="G734" s="89"/>
      <c r="H734" s="89"/>
      <c r="I734" s="89"/>
      <c r="J734" s="89"/>
      <c r="K734" s="89"/>
      <c r="L734" s="93"/>
      <c r="M734" s="93"/>
      <c r="N734" s="93"/>
      <c r="O734" s="93"/>
      <c r="P734" s="93"/>
      <c r="Q734" s="93"/>
      <c r="R734" s="93"/>
      <c r="S734" s="93"/>
      <c r="T734" s="93"/>
      <c r="U734" s="93"/>
      <c r="V734" s="93"/>
      <c r="W734" s="93"/>
    </row>
    <row r="735" spans="2:23" s="14" customFormat="1" ht="17.100000000000001" customHeight="1">
      <c r="B735" s="89"/>
      <c r="C735" s="90"/>
      <c r="D735" s="91"/>
      <c r="E735" s="92"/>
      <c r="F735" s="89"/>
      <c r="G735" s="89"/>
      <c r="H735" s="89"/>
      <c r="I735" s="89"/>
      <c r="J735" s="89"/>
      <c r="K735" s="89"/>
      <c r="L735" s="93"/>
      <c r="M735" s="93"/>
      <c r="N735" s="93"/>
      <c r="O735" s="93"/>
      <c r="P735" s="93"/>
      <c r="Q735" s="93"/>
      <c r="R735" s="93"/>
      <c r="S735" s="93"/>
      <c r="T735" s="93"/>
      <c r="U735" s="93"/>
      <c r="V735" s="93"/>
      <c r="W735" s="93"/>
    </row>
    <row r="736" spans="2:23" s="14" customFormat="1" ht="17.100000000000001" customHeight="1">
      <c r="B736" s="89"/>
      <c r="C736" s="90"/>
      <c r="D736" s="91"/>
      <c r="E736" s="92"/>
      <c r="F736" s="89"/>
      <c r="G736" s="89"/>
      <c r="H736" s="89"/>
      <c r="I736" s="89"/>
      <c r="J736" s="89"/>
      <c r="K736" s="89"/>
      <c r="L736" s="93"/>
      <c r="M736" s="93"/>
      <c r="N736" s="93"/>
      <c r="O736" s="93"/>
      <c r="P736" s="93"/>
      <c r="Q736" s="93"/>
      <c r="R736" s="93"/>
      <c r="S736" s="93"/>
      <c r="T736" s="93"/>
      <c r="U736" s="93"/>
      <c r="V736" s="93"/>
      <c r="W736" s="93"/>
    </row>
    <row r="737" spans="2:23" s="14" customFormat="1" ht="17.100000000000001" customHeight="1">
      <c r="B737" s="89"/>
      <c r="C737" s="90"/>
      <c r="D737" s="91"/>
      <c r="E737" s="92"/>
      <c r="F737" s="89"/>
      <c r="G737" s="89"/>
      <c r="H737" s="89"/>
      <c r="I737" s="89"/>
      <c r="J737" s="89"/>
      <c r="K737" s="89"/>
      <c r="L737" s="93"/>
      <c r="M737" s="93"/>
      <c r="N737" s="93"/>
      <c r="O737" s="93"/>
      <c r="P737" s="93"/>
      <c r="Q737" s="93"/>
      <c r="R737" s="93"/>
      <c r="S737" s="93"/>
      <c r="T737" s="93"/>
      <c r="U737" s="93"/>
      <c r="V737" s="93"/>
      <c r="W737" s="93"/>
    </row>
    <row r="738" spans="2:23" s="14" customFormat="1" ht="17.100000000000001" customHeight="1">
      <c r="B738" s="89"/>
      <c r="C738" s="90"/>
      <c r="D738" s="91"/>
      <c r="E738" s="92"/>
      <c r="F738" s="89"/>
      <c r="G738" s="89"/>
      <c r="H738" s="89"/>
      <c r="I738" s="89"/>
      <c r="J738" s="89"/>
      <c r="K738" s="89"/>
      <c r="L738" s="93"/>
      <c r="M738" s="93"/>
      <c r="N738" s="93"/>
      <c r="O738" s="93"/>
      <c r="P738" s="93"/>
      <c r="Q738" s="93"/>
      <c r="R738" s="93"/>
      <c r="S738" s="93"/>
      <c r="T738" s="93"/>
      <c r="U738" s="93"/>
      <c r="V738" s="93"/>
      <c r="W738" s="93"/>
    </row>
    <row r="739" spans="2:23" s="14" customFormat="1" ht="17.100000000000001" customHeight="1">
      <c r="B739" s="89"/>
      <c r="C739" s="90"/>
      <c r="D739" s="91"/>
      <c r="E739" s="92"/>
      <c r="F739" s="89"/>
      <c r="G739" s="89"/>
      <c r="H739" s="89"/>
      <c r="I739" s="89"/>
      <c r="J739" s="89"/>
      <c r="K739" s="89"/>
      <c r="L739" s="93"/>
      <c r="M739" s="93"/>
      <c r="N739" s="93"/>
      <c r="O739" s="93"/>
      <c r="P739" s="93"/>
      <c r="Q739" s="93"/>
      <c r="R739" s="93"/>
      <c r="S739" s="93"/>
      <c r="T739" s="93"/>
      <c r="U739" s="93"/>
      <c r="V739" s="93"/>
      <c r="W739" s="93"/>
    </row>
    <row r="740" spans="2:23" s="14" customFormat="1" ht="17.100000000000001" customHeight="1">
      <c r="B740" s="89"/>
      <c r="C740" s="90"/>
      <c r="D740" s="91"/>
      <c r="E740" s="92"/>
      <c r="F740" s="89"/>
      <c r="G740" s="89"/>
      <c r="H740" s="89"/>
      <c r="I740" s="89"/>
      <c r="J740" s="89"/>
      <c r="K740" s="89"/>
      <c r="L740" s="93"/>
      <c r="M740" s="93"/>
      <c r="N740" s="93"/>
      <c r="O740" s="93"/>
      <c r="P740" s="93"/>
      <c r="Q740" s="93"/>
      <c r="R740" s="93"/>
      <c r="S740" s="93"/>
      <c r="T740" s="93"/>
      <c r="U740" s="93"/>
      <c r="V740" s="93"/>
      <c r="W740" s="93"/>
    </row>
    <row r="741" spans="2:23" s="14" customFormat="1" ht="17.100000000000001" customHeight="1">
      <c r="B741" s="89"/>
      <c r="C741" s="90"/>
      <c r="D741" s="91"/>
      <c r="E741" s="92"/>
      <c r="F741" s="89"/>
      <c r="G741" s="89"/>
      <c r="H741" s="89"/>
      <c r="I741" s="89"/>
      <c r="J741" s="89"/>
      <c r="K741" s="89"/>
      <c r="L741" s="93"/>
      <c r="M741" s="93"/>
      <c r="N741" s="93"/>
      <c r="O741" s="93"/>
      <c r="P741" s="93"/>
      <c r="Q741" s="93"/>
      <c r="R741" s="93"/>
      <c r="S741" s="93"/>
      <c r="T741" s="93"/>
      <c r="U741" s="93"/>
      <c r="V741" s="93"/>
      <c r="W741" s="93"/>
    </row>
    <row r="742" spans="2:23" s="14" customFormat="1" ht="17.100000000000001" customHeight="1">
      <c r="B742" s="89"/>
      <c r="C742" s="90"/>
      <c r="D742" s="91"/>
      <c r="E742" s="92"/>
      <c r="F742" s="89"/>
      <c r="G742" s="89"/>
      <c r="H742" s="89"/>
      <c r="I742" s="89"/>
      <c r="J742" s="89"/>
      <c r="K742" s="89"/>
      <c r="L742" s="93"/>
      <c r="M742" s="93"/>
      <c r="N742" s="93"/>
      <c r="O742" s="93"/>
      <c r="P742" s="93"/>
      <c r="Q742" s="93"/>
      <c r="R742" s="93"/>
      <c r="S742" s="93"/>
      <c r="T742" s="93"/>
      <c r="U742" s="93"/>
      <c r="V742" s="93"/>
      <c r="W742" s="93"/>
    </row>
    <row r="743" spans="2:23" s="14" customFormat="1" ht="17.100000000000001" customHeight="1">
      <c r="B743" s="89"/>
      <c r="C743" s="90"/>
      <c r="D743" s="91"/>
      <c r="E743" s="92"/>
      <c r="F743" s="89"/>
      <c r="G743" s="89"/>
      <c r="H743" s="89"/>
      <c r="I743" s="89"/>
      <c r="J743" s="89"/>
      <c r="K743" s="89"/>
      <c r="L743" s="93"/>
      <c r="M743" s="93"/>
      <c r="N743" s="93"/>
      <c r="O743" s="93"/>
      <c r="P743" s="93"/>
      <c r="Q743" s="93"/>
      <c r="R743" s="93"/>
      <c r="S743" s="93"/>
      <c r="T743" s="93"/>
      <c r="U743" s="93"/>
      <c r="V743" s="93"/>
      <c r="W743" s="93"/>
    </row>
    <row r="744" spans="2:23" s="14" customFormat="1" ht="17.100000000000001" customHeight="1">
      <c r="B744" s="89"/>
      <c r="C744" s="90"/>
      <c r="D744" s="91"/>
      <c r="E744" s="92"/>
      <c r="F744" s="89"/>
      <c r="G744" s="89"/>
      <c r="H744" s="89"/>
      <c r="I744" s="89"/>
      <c r="J744" s="89"/>
      <c r="K744" s="89"/>
      <c r="L744" s="93"/>
      <c r="M744" s="93"/>
      <c r="N744" s="93"/>
      <c r="O744" s="93"/>
      <c r="P744" s="93"/>
      <c r="Q744" s="93"/>
      <c r="R744" s="93"/>
      <c r="S744" s="93"/>
      <c r="T744" s="93"/>
      <c r="U744" s="93"/>
      <c r="V744" s="93"/>
      <c r="W744" s="93"/>
    </row>
    <row r="745" spans="2:23" s="14" customFormat="1" ht="17.100000000000001" customHeight="1">
      <c r="B745" s="89"/>
      <c r="C745" s="90"/>
      <c r="D745" s="91"/>
      <c r="E745" s="92"/>
      <c r="F745" s="89"/>
      <c r="G745" s="89"/>
      <c r="H745" s="89"/>
      <c r="I745" s="89"/>
      <c r="J745" s="89"/>
      <c r="K745" s="89"/>
      <c r="L745" s="93"/>
      <c r="M745" s="93"/>
      <c r="N745" s="93"/>
      <c r="O745" s="93"/>
      <c r="P745" s="93"/>
      <c r="Q745" s="93"/>
      <c r="R745" s="93"/>
      <c r="S745" s="93"/>
      <c r="T745" s="93"/>
      <c r="U745" s="93"/>
      <c r="V745" s="93"/>
      <c r="W745" s="93"/>
    </row>
    <row r="746" spans="2:23" s="14" customFormat="1" ht="17.100000000000001" customHeight="1">
      <c r="B746" s="89"/>
      <c r="C746" s="90"/>
      <c r="D746" s="91"/>
      <c r="E746" s="92"/>
      <c r="F746" s="89"/>
      <c r="G746" s="89"/>
      <c r="H746" s="89"/>
      <c r="I746" s="89"/>
      <c r="J746" s="89"/>
      <c r="K746" s="89"/>
      <c r="L746" s="93"/>
      <c r="M746" s="93"/>
      <c r="N746" s="93"/>
      <c r="O746" s="93"/>
      <c r="P746" s="93"/>
      <c r="Q746" s="93"/>
      <c r="R746" s="93"/>
      <c r="S746" s="93"/>
      <c r="T746" s="93"/>
      <c r="U746" s="93"/>
      <c r="V746" s="93"/>
      <c r="W746" s="93"/>
    </row>
    <row r="747" spans="2:23" s="14" customFormat="1" ht="17.100000000000001" customHeight="1">
      <c r="B747" s="89"/>
      <c r="C747" s="90"/>
      <c r="D747" s="91"/>
      <c r="E747" s="92"/>
      <c r="F747" s="89"/>
      <c r="G747" s="89"/>
      <c r="H747" s="89"/>
      <c r="I747" s="89"/>
      <c r="J747" s="89"/>
      <c r="K747" s="89"/>
      <c r="L747" s="93"/>
      <c r="M747" s="93"/>
      <c r="N747" s="93"/>
      <c r="O747" s="93"/>
      <c r="P747" s="93"/>
      <c r="Q747" s="93"/>
      <c r="R747" s="93"/>
      <c r="S747" s="93"/>
      <c r="T747" s="93"/>
      <c r="U747" s="93"/>
      <c r="V747" s="93"/>
      <c r="W747" s="93"/>
    </row>
    <row r="748" spans="2:23" s="14" customFormat="1" ht="17.100000000000001" customHeight="1">
      <c r="B748" s="89"/>
      <c r="C748" s="90"/>
      <c r="D748" s="91"/>
      <c r="E748" s="92"/>
      <c r="F748" s="89"/>
      <c r="G748" s="89"/>
      <c r="H748" s="89"/>
      <c r="I748" s="89"/>
      <c r="J748" s="89"/>
      <c r="K748" s="89"/>
      <c r="L748" s="93"/>
      <c r="M748" s="93"/>
      <c r="N748" s="93"/>
      <c r="O748" s="93"/>
      <c r="P748" s="93"/>
      <c r="Q748" s="93"/>
      <c r="R748" s="93"/>
      <c r="S748" s="93"/>
      <c r="T748" s="93"/>
      <c r="U748" s="93"/>
      <c r="V748" s="93"/>
      <c r="W748" s="93"/>
    </row>
    <row r="749" spans="2:23" s="14" customFormat="1" ht="17.100000000000001" customHeight="1">
      <c r="B749" s="89"/>
      <c r="C749" s="90"/>
      <c r="D749" s="91"/>
      <c r="E749" s="92"/>
      <c r="F749" s="89"/>
      <c r="G749" s="89"/>
      <c r="H749" s="89"/>
      <c r="I749" s="89"/>
      <c r="J749" s="89"/>
      <c r="K749" s="89"/>
      <c r="L749" s="93"/>
      <c r="M749" s="93"/>
      <c r="N749" s="93"/>
      <c r="O749" s="93"/>
      <c r="P749" s="93"/>
      <c r="Q749" s="93"/>
      <c r="R749" s="93"/>
      <c r="S749" s="93"/>
      <c r="T749" s="93"/>
      <c r="U749" s="93"/>
      <c r="V749" s="93"/>
      <c r="W749" s="93"/>
    </row>
    <row r="750" spans="2:23" s="14" customFormat="1" ht="17.100000000000001" customHeight="1">
      <c r="B750" s="89"/>
      <c r="C750" s="90"/>
      <c r="D750" s="91"/>
      <c r="E750" s="92"/>
      <c r="F750" s="89"/>
      <c r="G750" s="89"/>
      <c r="H750" s="89"/>
      <c r="I750" s="89"/>
      <c r="J750" s="89"/>
      <c r="K750" s="89"/>
      <c r="L750" s="93"/>
      <c r="M750" s="93"/>
      <c r="N750" s="93"/>
      <c r="O750" s="93"/>
      <c r="P750" s="93"/>
      <c r="Q750" s="93"/>
      <c r="R750" s="93"/>
      <c r="S750" s="93"/>
      <c r="T750" s="93"/>
      <c r="U750" s="93"/>
      <c r="V750" s="93"/>
      <c r="W750" s="93"/>
    </row>
    <row r="751" spans="2:23" s="14" customFormat="1" ht="17.100000000000001" customHeight="1">
      <c r="B751" s="89"/>
      <c r="C751" s="90"/>
      <c r="D751" s="91"/>
      <c r="E751" s="92"/>
      <c r="F751" s="89"/>
      <c r="G751" s="89"/>
      <c r="H751" s="89"/>
      <c r="I751" s="89"/>
      <c r="J751" s="89"/>
      <c r="K751" s="89"/>
      <c r="L751" s="93"/>
      <c r="M751" s="93"/>
      <c r="N751" s="93"/>
      <c r="O751" s="93"/>
      <c r="P751" s="93"/>
      <c r="Q751" s="93"/>
      <c r="R751" s="93"/>
      <c r="S751" s="93"/>
      <c r="T751" s="93"/>
      <c r="U751" s="93"/>
      <c r="V751" s="93"/>
      <c r="W751" s="93"/>
    </row>
    <row r="752" spans="2:23" s="14" customFormat="1" ht="17.100000000000001" customHeight="1">
      <c r="B752" s="89"/>
      <c r="C752" s="90"/>
      <c r="D752" s="91"/>
      <c r="E752" s="92"/>
      <c r="F752" s="89"/>
      <c r="G752" s="89"/>
      <c r="H752" s="89"/>
      <c r="I752" s="89"/>
      <c r="J752" s="89"/>
      <c r="K752" s="89"/>
      <c r="L752" s="93"/>
      <c r="M752" s="93"/>
      <c r="N752" s="93"/>
      <c r="O752" s="93"/>
      <c r="P752" s="93"/>
      <c r="Q752" s="93"/>
      <c r="R752" s="93"/>
      <c r="S752" s="93"/>
      <c r="T752" s="93"/>
      <c r="U752" s="93"/>
      <c r="V752" s="93"/>
      <c r="W752" s="93"/>
    </row>
    <row r="753" spans="2:23" s="14" customFormat="1" ht="17.100000000000001" customHeight="1">
      <c r="B753" s="89"/>
      <c r="C753" s="90"/>
      <c r="D753" s="91"/>
      <c r="E753" s="92"/>
      <c r="F753" s="89"/>
      <c r="G753" s="89"/>
      <c r="H753" s="89"/>
      <c r="I753" s="89"/>
      <c r="J753" s="89"/>
      <c r="K753" s="89"/>
      <c r="L753" s="93"/>
      <c r="M753" s="93"/>
      <c r="N753" s="93"/>
      <c r="O753" s="93"/>
      <c r="P753" s="93"/>
      <c r="Q753" s="93"/>
      <c r="R753" s="93"/>
      <c r="S753" s="93"/>
      <c r="T753" s="93"/>
      <c r="U753" s="93"/>
      <c r="V753" s="93"/>
      <c r="W753" s="93"/>
    </row>
    <row r="754" spans="2:23" s="14" customFormat="1" ht="17.100000000000001" customHeight="1">
      <c r="B754" s="89"/>
      <c r="C754" s="90"/>
      <c r="D754" s="91"/>
      <c r="E754" s="92"/>
      <c r="F754" s="89"/>
      <c r="G754" s="89"/>
      <c r="H754" s="89"/>
      <c r="I754" s="89"/>
      <c r="J754" s="89"/>
      <c r="K754" s="89"/>
      <c r="L754" s="93"/>
      <c r="M754" s="93"/>
      <c r="N754" s="93"/>
      <c r="O754" s="93"/>
      <c r="P754" s="93"/>
      <c r="Q754" s="93"/>
      <c r="R754" s="93"/>
      <c r="S754" s="93"/>
      <c r="T754" s="93"/>
      <c r="U754" s="93"/>
      <c r="V754" s="93"/>
      <c r="W754" s="93"/>
    </row>
    <row r="755" spans="2:23" s="14" customFormat="1" ht="17.100000000000001" customHeight="1">
      <c r="B755" s="89"/>
      <c r="C755" s="90"/>
      <c r="D755" s="91"/>
      <c r="E755" s="92"/>
      <c r="F755" s="89"/>
      <c r="G755" s="89"/>
      <c r="H755" s="89"/>
      <c r="I755" s="89"/>
      <c r="J755" s="89"/>
      <c r="K755" s="89"/>
      <c r="L755" s="93"/>
      <c r="M755" s="93"/>
      <c r="N755" s="93"/>
      <c r="O755" s="93"/>
      <c r="P755" s="93"/>
      <c r="Q755" s="93"/>
      <c r="R755" s="93"/>
      <c r="S755" s="93"/>
      <c r="T755" s="93"/>
      <c r="U755" s="93"/>
      <c r="V755" s="93"/>
      <c r="W755" s="93"/>
    </row>
    <row r="756" spans="2:23" s="14" customFormat="1" ht="17.100000000000001" customHeight="1">
      <c r="B756" s="89"/>
      <c r="C756" s="90"/>
      <c r="D756" s="91"/>
      <c r="E756" s="92"/>
      <c r="F756" s="89"/>
      <c r="G756" s="89"/>
      <c r="H756" s="89"/>
      <c r="I756" s="89"/>
      <c r="J756" s="89"/>
      <c r="K756" s="89"/>
      <c r="L756" s="93"/>
      <c r="M756" s="93"/>
      <c r="N756" s="93"/>
      <c r="O756" s="93"/>
      <c r="P756" s="93"/>
      <c r="Q756" s="93"/>
      <c r="R756" s="93"/>
      <c r="S756" s="93"/>
      <c r="T756" s="93"/>
      <c r="U756" s="93"/>
      <c r="V756" s="93"/>
      <c r="W756" s="93"/>
    </row>
    <row r="757" spans="2:23" s="14" customFormat="1" ht="17.100000000000001" customHeight="1">
      <c r="B757" s="89"/>
      <c r="C757" s="90"/>
      <c r="D757" s="91"/>
      <c r="E757" s="92"/>
      <c r="F757" s="89"/>
      <c r="G757" s="89"/>
      <c r="H757" s="89"/>
      <c r="I757" s="89"/>
      <c r="J757" s="89"/>
      <c r="K757" s="89"/>
      <c r="L757" s="93"/>
      <c r="M757" s="93"/>
      <c r="N757" s="93"/>
      <c r="O757" s="93"/>
      <c r="P757" s="93"/>
      <c r="Q757" s="93"/>
      <c r="R757" s="93"/>
      <c r="S757" s="93"/>
      <c r="T757" s="93"/>
      <c r="U757" s="93"/>
      <c r="V757" s="93"/>
      <c r="W757" s="93"/>
    </row>
    <row r="758" spans="2:23" s="14" customFormat="1" ht="17.100000000000001" customHeight="1">
      <c r="B758" s="89"/>
      <c r="C758" s="90"/>
      <c r="D758" s="91"/>
      <c r="E758" s="92"/>
      <c r="F758" s="89"/>
      <c r="G758" s="89"/>
      <c r="H758" s="89"/>
      <c r="I758" s="89"/>
      <c r="J758" s="89"/>
      <c r="K758" s="89"/>
      <c r="L758" s="93"/>
      <c r="M758" s="93"/>
      <c r="N758" s="93"/>
      <c r="O758" s="93"/>
      <c r="P758" s="93"/>
      <c r="Q758" s="93"/>
      <c r="R758" s="93"/>
      <c r="S758" s="93"/>
      <c r="T758" s="93"/>
      <c r="U758" s="93"/>
      <c r="V758" s="93"/>
      <c r="W758" s="93"/>
    </row>
    <row r="759" spans="2:23" s="14" customFormat="1" ht="17.100000000000001" customHeight="1">
      <c r="B759" s="89"/>
      <c r="C759" s="90"/>
      <c r="D759" s="91"/>
      <c r="E759" s="92"/>
      <c r="F759" s="89"/>
      <c r="G759" s="89"/>
      <c r="H759" s="89"/>
      <c r="I759" s="89"/>
      <c r="J759" s="89"/>
      <c r="K759" s="89"/>
      <c r="L759" s="93"/>
      <c r="M759" s="93"/>
      <c r="N759" s="93"/>
      <c r="O759" s="93"/>
      <c r="P759" s="93"/>
      <c r="Q759" s="93"/>
      <c r="R759" s="93"/>
      <c r="S759" s="93"/>
      <c r="T759" s="93"/>
      <c r="U759" s="93"/>
      <c r="V759" s="93"/>
      <c r="W759" s="93"/>
    </row>
    <row r="760" spans="2:23" s="14" customFormat="1" ht="17.100000000000001" customHeight="1">
      <c r="B760" s="89"/>
      <c r="C760" s="90"/>
      <c r="D760" s="91"/>
      <c r="E760" s="92"/>
      <c r="F760" s="89"/>
      <c r="G760" s="89"/>
      <c r="H760" s="89"/>
      <c r="I760" s="89"/>
      <c r="J760" s="89"/>
      <c r="K760" s="89"/>
      <c r="L760" s="93"/>
      <c r="M760" s="93"/>
      <c r="N760" s="93"/>
      <c r="O760" s="93"/>
      <c r="P760" s="93"/>
      <c r="Q760" s="93"/>
      <c r="R760" s="93"/>
      <c r="S760" s="93"/>
      <c r="T760" s="93"/>
      <c r="U760" s="93"/>
      <c r="V760" s="93"/>
      <c r="W760" s="93"/>
    </row>
    <row r="761" spans="2:23" s="14" customFormat="1" ht="17.100000000000001" customHeight="1">
      <c r="B761" s="89"/>
      <c r="C761" s="90"/>
      <c r="D761" s="91"/>
      <c r="E761" s="92"/>
      <c r="F761" s="89"/>
      <c r="G761" s="89"/>
      <c r="H761" s="89"/>
      <c r="I761" s="89"/>
      <c r="J761" s="89"/>
      <c r="K761" s="89"/>
      <c r="L761" s="93"/>
      <c r="M761" s="93"/>
      <c r="N761" s="93"/>
      <c r="O761" s="93"/>
      <c r="P761" s="93"/>
      <c r="Q761" s="93"/>
      <c r="R761" s="93"/>
      <c r="S761" s="93"/>
      <c r="T761" s="93"/>
      <c r="U761" s="93"/>
      <c r="V761" s="93"/>
      <c r="W761" s="93"/>
    </row>
    <row r="762" spans="2:23" s="14" customFormat="1" ht="17.100000000000001" customHeight="1">
      <c r="B762" s="89"/>
      <c r="C762" s="90"/>
      <c r="D762" s="91"/>
      <c r="E762" s="92"/>
      <c r="F762" s="89"/>
      <c r="G762" s="89"/>
      <c r="H762" s="89"/>
      <c r="I762" s="89"/>
      <c r="J762" s="89"/>
      <c r="K762" s="89"/>
      <c r="L762" s="93"/>
      <c r="M762" s="93"/>
      <c r="N762" s="93"/>
      <c r="O762" s="93"/>
      <c r="P762" s="93"/>
      <c r="Q762" s="93"/>
      <c r="R762" s="93"/>
      <c r="S762" s="93"/>
      <c r="T762" s="93"/>
      <c r="U762" s="93"/>
      <c r="V762" s="93"/>
      <c r="W762" s="93"/>
    </row>
    <row r="763" spans="2:23" s="14" customFormat="1" ht="17.100000000000001" customHeight="1">
      <c r="B763" s="89"/>
      <c r="C763" s="90"/>
      <c r="D763" s="91"/>
      <c r="E763" s="92"/>
      <c r="F763" s="89"/>
      <c r="G763" s="89"/>
      <c r="H763" s="89"/>
      <c r="I763" s="89"/>
      <c r="J763" s="89"/>
      <c r="K763" s="89"/>
      <c r="L763" s="93"/>
      <c r="M763" s="93"/>
      <c r="N763" s="93"/>
      <c r="O763" s="93"/>
      <c r="P763" s="93"/>
      <c r="Q763" s="93"/>
      <c r="R763" s="93"/>
      <c r="S763" s="93"/>
      <c r="T763" s="93"/>
      <c r="U763" s="93"/>
      <c r="V763" s="93"/>
      <c r="W763" s="93"/>
    </row>
    <row r="764" spans="2:23" s="14" customFormat="1" ht="17.100000000000001" customHeight="1">
      <c r="B764" s="89"/>
      <c r="C764" s="90"/>
      <c r="D764" s="91"/>
      <c r="E764" s="92"/>
      <c r="F764" s="89"/>
      <c r="G764" s="89"/>
      <c r="H764" s="89"/>
      <c r="I764" s="89"/>
      <c r="J764" s="89"/>
      <c r="K764" s="89"/>
      <c r="L764" s="93"/>
      <c r="M764" s="93"/>
      <c r="N764" s="93"/>
      <c r="O764" s="93"/>
      <c r="P764" s="93"/>
      <c r="Q764" s="93"/>
      <c r="R764" s="93"/>
      <c r="S764" s="93"/>
      <c r="T764" s="93"/>
      <c r="U764" s="93"/>
      <c r="V764" s="93"/>
      <c r="W764" s="93"/>
    </row>
    <row r="765" spans="2:23" s="14" customFormat="1" ht="17.100000000000001" customHeight="1">
      <c r="B765" s="89"/>
      <c r="C765" s="90"/>
      <c r="D765" s="91"/>
      <c r="E765" s="92"/>
      <c r="F765" s="89"/>
      <c r="G765" s="89"/>
      <c r="H765" s="89"/>
      <c r="I765" s="89"/>
      <c r="J765" s="89"/>
      <c r="K765" s="89"/>
      <c r="L765" s="93"/>
      <c r="M765" s="93"/>
      <c r="N765" s="93"/>
      <c r="O765" s="93"/>
      <c r="P765" s="93"/>
      <c r="Q765" s="93"/>
      <c r="R765" s="93"/>
      <c r="S765" s="93"/>
      <c r="T765" s="93"/>
      <c r="U765" s="93"/>
      <c r="V765" s="93"/>
      <c r="W765" s="93"/>
    </row>
    <row r="766" spans="2:23" s="14" customFormat="1" ht="17.100000000000001" customHeight="1">
      <c r="B766" s="89"/>
      <c r="C766" s="90"/>
      <c r="D766" s="91"/>
      <c r="E766" s="92"/>
      <c r="F766" s="89"/>
      <c r="G766" s="89"/>
      <c r="H766" s="89"/>
      <c r="I766" s="89"/>
      <c r="J766" s="89"/>
      <c r="K766" s="89"/>
      <c r="L766" s="93"/>
      <c r="M766" s="93"/>
      <c r="N766" s="93"/>
      <c r="O766" s="93"/>
      <c r="P766" s="93"/>
      <c r="Q766" s="93"/>
      <c r="R766" s="93"/>
      <c r="S766" s="93"/>
      <c r="T766" s="93"/>
      <c r="U766" s="93"/>
      <c r="V766" s="93"/>
      <c r="W766" s="93"/>
    </row>
    <row r="767" spans="2:23" s="14" customFormat="1" ht="17.100000000000001" customHeight="1">
      <c r="B767" s="89"/>
      <c r="C767" s="90"/>
      <c r="D767" s="91"/>
      <c r="E767" s="92"/>
      <c r="F767" s="89"/>
      <c r="G767" s="89"/>
      <c r="H767" s="89"/>
      <c r="I767" s="89"/>
      <c r="J767" s="89"/>
      <c r="K767" s="89"/>
      <c r="L767" s="93"/>
      <c r="M767" s="93"/>
      <c r="N767" s="93"/>
      <c r="O767" s="93"/>
      <c r="P767" s="93"/>
      <c r="Q767" s="93"/>
      <c r="R767" s="93"/>
      <c r="S767" s="93"/>
      <c r="T767" s="93"/>
      <c r="U767" s="93"/>
      <c r="V767" s="93"/>
      <c r="W767" s="93"/>
    </row>
    <row r="768" spans="2:23" s="14" customFormat="1" ht="17.100000000000001" customHeight="1">
      <c r="B768" s="89"/>
      <c r="C768" s="90"/>
      <c r="D768" s="91"/>
      <c r="E768" s="92"/>
      <c r="F768" s="89"/>
      <c r="G768" s="89"/>
      <c r="H768" s="89"/>
      <c r="I768" s="89"/>
      <c r="J768" s="89"/>
      <c r="K768" s="89"/>
      <c r="L768" s="93"/>
      <c r="M768" s="93"/>
      <c r="N768" s="93"/>
      <c r="O768" s="93"/>
      <c r="P768" s="93"/>
      <c r="Q768" s="93"/>
      <c r="R768" s="93"/>
      <c r="S768" s="93"/>
      <c r="T768" s="93"/>
      <c r="U768" s="93"/>
      <c r="V768" s="93"/>
      <c r="W768" s="93"/>
    </row>
    <row r="769" spans="2:23" s="14" customFormat="1" ht="17.100000000000001" customHeight="1">
      <c r="B769" s="89"/>
      <c r="C769" s="90"/>
      <c r="D769" s="91"/>
      <c r="E769" s="92"/>
      <c r="F769" s="89"/>
      <c r="G769" s="89"/>
      <c r="H769" s="89"/>
      <c r="I769" s="89"/>
      <c r="J769" s="89"/>
      <c r="K769" s="89"/>
      <c r="L769" s="93"/>
      <c r="M769" s="93"/>
      <c r="N769" s="93"/>
      <c r="O769" s="93"/>
      <c r="P769" s="93"/>
      <c r="Q769" s="93"/>
      <c r="R769" s="93"/>
      <c r="S769" s="93"/>
      <c r="T769" s="93"/>
      <c r="U769" s="93"/>
      <c r="V769" s="93"/>
      <c r="W769" s="93"/>
    </row>
    <row r="770" spans="2:23" s="14" customFormat="1" ht="17.100000000000001" customHeight="1">
      <c r="B770" s="89"/>
      <c r="C770" s="90"/>
      <c r="D770" s="91"/>
      <c r="E770" s="92"/>
      <c r="F770" s="89"/>
      <c r="G770" s="89"/>
      <c r="H770" s="89"/>
      <c r="I770" s="89"/>
      <c r="J770" s="89"/>
      <c r="K770" s="89"/>
      <c r="L770" s="93"/>
      <c r="M770" s="93"/>
      <c r="N770" s="93"/>
      <c r="O770" s="93"/>
      <c r="P770" s="93"/>
      <c r="Q770" s="93"/>
      <c r="R770" s="93"/>
      <c r="S770" s="93"/>
      <c r="T770" s="93"/>
      <c r="U770" s="93"/>
      <c r="V770" s="93"/>
      <c r="W770" s="93"/>
    </row>
    <row r="771" spans="2:23" s="14" customFormat="1" ht="17.100000000000001" customHeight="1">
      <c r="B771" s="89"/>
      <c r="C771" s="90"/>
      <c r="D771" s="91"/>
      <c r="E771" s="92"/>
      <c r="F771" s="89"/>
      <c r="G771" s="89"/>
      <c r="H771" s="89"/>
      <c r="I771" s="89"/>
      <c r="J771" s="89"/>
      <c r="K771" s="89"/>
      <c r="L771" s="93"/>
      <c r="M771" s="93"/>
      <c r="N771" s="93"/>
      <c r="O771" s="93"/>
      <c r="P771" s="93"/>
      <c r="Q771" s="93"/>
      <c r="R771" s="93"/>
      <c r="S771" s="93"/>
      <c r="T771" s="93"/>
      <c r="U771" s="93"/>
      <c r="V771" s="93"/>
      <c r="W771" s="93"/>
    </row>
    <row r="772" spans="2:23" s="14" customFormat="1" ht="17.100000000000001" customHeight="1">
      <c r="B772" s="89"/>
      <c r="C772" s="90"/>
      <c r="D772" s="91"/>
      <c r="E772" s="92"/>
      <c r="F772" s="89"/>
      <c r="G772" s="89"/>
      <c r="H772" s="89"/>
      <c r="I772" s="89"/>
      <c r="J772" s="89"/>
      <c r="K772" s="89"/>
      <c r="L772" s="93"/>
      <c r="M772" s="93"/>
      <c r="N772" s="93"/>
      <c r="O772" s="93"/>
      <c r="P772" s="93"/>
      <c r="Q772" s="93"/>
      <c r="R772" s="93"/>
      <c r="S772" s="93"/>
      <c r="T772" s="93"/>
      <c r="U772" s="93"/>
      <c r="V772" s="93"/>
      <c r="W772" s="93"/>
    </row>
    <row r="773" spans="2:23" s="14" customFormat="1" ht="17.100000000000001" customHeight="1">
      <c r="B773" s="89"/>
      <c r="C773" s="90"/>
      <c r="D773" s="91"/>
      <c r="E773" s="92"/>
      <c r="F773" s="89"/>
      <c r="G773" s="89"/>
      <c r="H773" s="89"/>
      <c r="I773" s="89"/>
      <c r="J773" s="89"/>
      <c r="K773" s="89"/>
      <c r="L773" s="93"/>
      <c r="M773" s="93"/>
      <c r="N773" s="93"/>
      <c r="O773" s="93"/>
      <c r="P773" s="93"/>
      <c r="Q773" s="93"/>
      <c r="R773" s="93"/>
      <c r="S773" s="93"/>
      <c r="T773" s="93"/>
      <c r="U773" s="93"/>
      <c r="V773" s="93"/>
      <c r="W773" s="93"/>
    </row>
    <row r="774" spans="2:23" s="14" customFormat="1" ht="17.100000000000001" customHeight="1">
      <c r="B774" s="89"/>
      <c r="C774" s="90"/>
      <c r="D774" s="91"/>
      <c r="E774" s="92"/>
      <c r="F774" s="89"/>
      <c r="G774" s="89"/>
      <c r="H774" s="89"/>
      <c r="I774" s="89"/>
      <c r="J774" s="89"/>
      <c r="K774" s="89"/>
      <c r="L774" s="93"/>
      <c r="M774" s="93"/>
      <c r="N774" s="93"/>
      <c r="O774" s="93"/>
      <c r="P774" s="93"/>
      <c r="Q774" s="93"/>
      <c r="R774" s="93"/>
      <c r="S774" s="93"/>
      <c r="T774" s="93"/>
      <c r="U774" s="93"/>
      <c r="V774" s="93"/>
      <c r="W774" s="93"/>
    </row>
    <row r="775" spans="2:23" s="14" customFormat="1" ht="17.100000000000001" customHeight="1">
      <c r="B775" s="89"/>
      <c r="C775" s="90"/>
      <c r="D775" s="91"/>
      <c r="E775" s="92"/>
      <c r="F775" s="89"/>
      <c r="G775" s="89"/>
      <c r="H775" s="89"/>
      <c r="I775" s="89"/>
      <c r="J775" s="89"/>
      <c r="K775" s="89"/>
      <c r="L775" s="93"/>
      <c r="M775" s="93"/>
      <c r="N775" s="93"/>
      <c r="O775" s="93"/>
      <c r="P775" s="93"/>
      <c r="Q775" s="93"/>
      <c r="R775" s="93"/>
      <c r="S775" s="93"/>
      <c r="T775" s="93"/>
      <c r="U775" s="93"/>
      <c r="V775" s="93"/>
      <c r="W775" s="93"/>
    </row>
    <row r="776" spans="2:23" s="14" customFormat="1" ht="17.100000000000001" customHeight="1">
      <c r="B776" s="89"/>
      <c r="C776" s="90"/>
      <c r="D776" s="91"/>
      <c r="E776" s="92"/>
      <c r="F776" s="89"/>
      <c r="G776" s="89"/>
      <c r="H776" s="89"/>
      <c r="I776" s="89"/>
      <c r="J776" s="89"/>
      <c r="K776" s="89"/>
      <c r="L776" s="93"/>
      <c r="M776" s="93"/>
      <c r="N776" s="93"/>
      <c r="O776" s="93"/>
      <c r="P776" s="93"/>
      <c r="Q776" s="93"/>
      <c r="R776" s="93"/>
      <c r="S776" s="93"/>
      <c r="T776" s="93"/>
      <c r="U776" s="93"/>
      <c r="V776" s="93"/>
      <c r="W776" s="93"/>
    </row>
    <row r="777" spans="2:23" s="14" customFormat="1" ht="17.100000000000001" customHeight="1">
      <c r="B777" s="89"/>
      <c r="C777" s="90"/>
      <c r="D777" s="91"/>
      <c r="E777" s="92"/>
      <c r="F777" s="89"/>
      <c r="G777" s="89"/>
      <c r="H777" s="89"/>
      <c r="I777" s="89"/>
      <c r="J777" s="89"/>
      <c r="K777" s="89"/>
      <c r="L777" s="93"/>
      <c r="M777" s="93"/>
      <c r="N777" s="93"/>
      <c r="O777" s="93"/>
      <c r="P777" s="93"/>
      <c r="Q777" s="93"/>
      <c r="R777" s="93"/>
      <c r="S777" s="93"/>
      <c r="T777" s="93"/>
      <c r="U777" s="93"/>
      <c r="V777" s="93"/>
      <c r="W777" s="93"/>
    </row>
    <row r="778" spans="2:23" s="14" customFormat="1" ht="17.100000000000001" customHeight="1">
      <c r="B778" s="89"/>
      <c r="C778" s="90"/>
      <c r="D778" s="91"/>
      <c r="E778" s="92"/>
      <c r="F778" s="89"/>
      <c r="G778" s="89"/>
      <c r="H778" s="89"/>
      <c r="I778" s="89"/>
      <c r="J778" s="89"/>
      <c r="K778" s="89"/>
      <c r="L778" s="93"/>
      <c r="M778" s="93"/>
      <c r="N778" s="93"/>
      <c r="O778" s="93"/>
      <c r="P778" s="93"/>
      <c r="Q778" s="93"/>
      <c r="R778" s="93"/>
      <c r="S778" s="93"/>
      <c r="T778" s="93"/>
      <c r="U778" s="93"/>
      <c r="V778" s="93"/>
      <c r="W778" s="93"/>
    </row>
    <row r="779" spans="2:23" s="14" customFormat="1" ht="17.100000000000001" customHeight="1">
      <c r="B779" s="89"/>
      <c r="C779" s="90"/>
      <c r="D779" s="91"/>
      <c r="E779" s="92"/>
      <c r="F779" s="89"/>
      <c r="G779" s="89"/>
      <c r="H779" s="89"/>
      <c r="I779" s="89"/>
      <c r="J779" s="89"/>
      <c r="K779" s="89"/>
      <c r="L779" s="93"/>
      <c r="M779" s="93"/>
      <c r="N779" s="93"/>
      <c r="O779" s="93"/>
      <c r="P779" s="93"/>
      <c r="Q779" s="93"/>
      <c r="R779" s="93"/>
      <c r="S779" s="93"/>
      <c r="T779" s="93"/>
      <c r="U779" s="93"/>
      <c r="V779" s="93"/>
      <c r="W779" s="93"/>
    </row>
    <row r="780" spans="2:23" s="14" customFormat="1" ht="17.100000000000001" customHeight="1">
      <c r="B780" s="89"/>
      <c r="C780" s="90"/>
      <c r="D780" s="91"/>
      <c r="E780" s="92"/>
      <c r="F780" s="89"/>
      <c r="G780" s="89"/>
      <c r="H780" s="89"/>
      <c r="I780" s="89"/>
      <c r="J780" s="89"/>
      <c r="K780" s="89"/>
      <c r="L780" s="93"/>
      <c r="M780" s="93"/>
      <c r="N780" s="93"/>
      <c r="O780" s="93"/>
      <c r="P780" s="93"/>
      <c r="Q780" s="93"/>
      <c r="R780" s="93"/>
      <c r="S780" s="93"/>
      <c r="T780" s="93"/>
      <c r="U780" s="93"/>
      <c r="V780" s="93"/>
      <c r="W780" s="93"/>
    </row>
    <row r="781" spans="2:23" s="14" customFormat="1" ht="17.100000000000001" customHeight="1">
      <c r="B781" s="89"/>
      <c r="C781" s="90"/>
      <c r="D781" s="91"/>
      <c r="E781" s="92"/>
      <c r="F781" s="89"/>
      <c r="G781" s="89"/>
      <c r="H781" s="89"/>
      <c r="I781" s="89"/>
      <c r="J781" s="89"/>
      <c r="K781" s="89"/>
      <c r="L781" s="93"/>
      <c r="M781" s="93"/>
      <c r="N781" s="93"/>
      <c r="O781" s="93"/>
      <c r="P781" s="93"/>
      <c r="Q781" s="93"/>
      <c r="R781" s="93"/>
      <c r="S781" s="93"/>
      <c r="T781" s="93"/>
      <c r="U781" s="93"/>
      <c r="V781" s="93"/>
      <c r="W781" s="93"/>
    </row>
    <row r="782" spans="2:23" s="14" customFormat="1" ht="17.100000000000001" customHeight="1">
      <c r="B782" s="89"/>
      <c r="C782" s="90"/>
      <c r="D782" s="91"/>
      <c r="E782" s="92"/>
      <c r="F782" s="89"/>
      <c r="G782" s="89"/>
      <c r="H782" s="89"/>
      <c r="I782" s="89"/>
      <c r="J782" s="89"/>
      <c r="K782" s="89"/>
      <c r="L782" s="93"/>
      <c r="M782" s="93"/>
      <c r="N782" s="93"/>
      <c r="O782" s="93"/>
      <c r="P782" s="93"/>
      <c r="Q782" s="93"/>
      <c r="R782" s="93"/>
      <c r="S782" s="93"/>
      <c r="T782" s="93"/>
      <c r="U782" s="93"/>
      <c r="V782" s="93"/>
      <c r="W782" s="93"/>
    </row>
    <row r="783" spans="2:23" s="14" customFormat="1" ht="17.100000000000001" customHeight="1">
      <c r="B783" s="89"/>
      <c r="C783" s="90"/>
      <c r="D783" s="91"/>
      <c r="E783" s="92"/>
      <c r="F783" s="89"/>
      <c r="G783" s="89"/>
      <c r="H783" s="89"/>
      <c r="I783" s="89"/>
      <c r="J783" s="89"/>
      <c r="K783" s="89"/>
      <c r="L783" s="93"/>
      <c r="M783" s="93"/>
      <c r="N783" s="93"/>
      <c r="O783" s="93"/>
      <c r="P783" s="93"/>
      <c r="Q783" s="93"/>
      <c r="R783" s="93"/>
      <c r="S783" s="93"/>
      <c r="T783" s="93"/>
      <c r="U783" s="93"/>
      <c r="V783" s="93"/>
      <c r="W783" s="93"/>
    </row>
    <row r="784" spans="2:23" s="14" customFormat="1" ht="17.100000000000001" customHeight="1">
      <c r="B784" s="89"/>
      <c r="C784" s="90"/>
      <c r="D784" s="91"/>
      <c r="E784" s="92"/>
      <c r="F784" s="89"/>
      <c r="G784" s="89"/>
      <c r="H784" s="89"/>
      <c r="I784" s="89"/>
      <c r="J784" s="89"/>
      <c r="K784" s="89"/>
      <c r="L784" s="93"/>
      <c r="M784" s="93"/>
      <c r="N784" s="93"/>
      <c r="O784" s="93"/>
      <c r="P784" s="93"/>
      <c r="Q784" s="93"/>
      <c r="R784" s="93"/>
      <c r="S784" s="93"/>
      <c r="T784" s="93"/>
      <c r="U784" s="93"/>
      <c r="V784" s="93"/>
      <c r="W784" s="93"/>
    </row>
    <row r="785" spans="2:23" s="14" customFormat="1" ht="17.100000000000001" customHeight="1">
      <c r="B785" s="89"/>
      <c r="C785" s="90"/>
      <c r="D785" s="91"/>
      <c r="E785" s="92"/>
      <c r="F785" s="89"/>
      <c r="G785" s="89"/>
      <c r="H785" s="89"/>
      <c r="I785" s="89"/>
      <c r="J785" s="89"/>
      <c r="K785" s="89"/>
      <c r="L785" s="93"/>
      <c r="M785" s="93"/>
      <c r="N785" s="93"/>
      <c r="O785" s="93"/>
      <c r="P785" s="93"/>
      <c r="Q785" s="93"/>
      <c r="R785" s="93"/>
      <c r="S785" s="93"/>
      <c r="T785" s="93"/>
      <c r="U785" s="93"/>
      <c r="V785" s="93"/>
      <c r="W785" s="93"/>
    </row>
    <row r="786" spans="2:23" s="14" customFormat="1" ht="17.100000000000001" customHeight="1">
      <c r="B786" s="89"/>
      <c r="C786" s="90"/>
      <c r="D786" s="91"/>
      <c r="E786" s="92"/>
      <c r="F786" s="89"/>
      <c r="G786" s="89"/>
      <c r="H786" s="89"/>
      <c r="I786" s="89"/>
      <c r="J786" s="89"/>
      <c r="K786" s="89"/>
      <c r="L786" s="93"/>
      <c r="M786" s="93"/>
      <c r="N786" s="93"/>
      <c r="O786" s="93"/>
      <c r="P786" s="93"/>
      <c r="Q786" s="93"/>
      <c r="R786" s="93"/>
      <c r="S786" s="93"/>
      <c r="T786" s="93"/>
      <c r="U786" s="93"/>
      <c r="V786" s="93"/>
      <c r="W786" s="93"/>
    </row>
    <row r="787" spans="2:23" s="14" customFormat="1" ht="17.100000000000001" customHeight="1">
      <c r="B787" s="89"/>
      <c r="C787" s="90"/>
      <c r="D787" s="91"/>
      <c r="E787" s="92"/>
      <c r="F787" s="89"/>
      <c r="G787" s="89"/>
      <c r="H787" s="89"/>
      <c r="I787" s="89"/>
      <c r="J787" s="89"/>
      <c r="K787" s="89"/>
      <c r="L787" s="93"/>
      <c r="M787" s="93"/>
      <c r="N787" s="93"/>
      <c r="O787" s="93"/>
      <c r="P787" s="93"/>
      <c r="Q787" s="93"/>
      <c r="R787" s="93"/>
      <c r="S787" s="93"/>
      <c r="T787" s="93"/>
      <c r="U787" s="93"/>
      <c r="V787" s="93"/>
      <c r="W787" s="93"/>
    </row>
    <row r="788" spans="2:23" s="14" customFormat="1" ht="17.100000000000001" customHeight="1">
      <c r="B788" s="89"/>
      <c r="C788" s="90"/>
      <c r="D788" s="91"/>
      <c r="E788" s="92"/>
      <c r="F788" s="89"/>
      <c r="G788" s="89"/>
      <c r="H788" s="89"/>
      <c r="I788" s="89"/>
      <c r="J788" s="89"/>
      <c r="K788" s="89"/>
      <c r="L788" s="93"/>
      <c r="M788" s="93"/>
      <c r="N788" s="93"/>
      <c r="O788" s="93"/>
      <c r="P788" s="93"/>
      <c r="Q788" s="93"/>
      <c r="R788" s="93"/>
      <c r="S788" s="93"/>
      <c r="T788" s="93"/>
      <c r="U788" s="93"/>
      <c r="V788" s="93"/>
      <c r="W788" s="93"/>
    </row>
    <row r="789" spans="2:23" s="14" customFormat="1" ht="17.100000000000001" customHeight="1">
      <c r="B789" s="89"/>
      <c r="C789" s="90"/>
      <c r="D789" s="91"/>
      <c r="E789" s="92"/>
      <c r="F789" s="89"/>
      <c r="G789" s="89"/>
      <c r="H789" s="89"/>
      <c r="I789" s="89"/>
      <c r="J789" s="89"/>
      <c r="K789" s="89"/>
      <c r="L789" s="93"/>
      <c r="M789" s="93"/>
      <c r="N789" s="93"/>
      <c r="O789" s="93"/>
      <c r="P789" s="93"/>
      <c r="Q789" s="93"/>
      <c r="R789" s="93"/>
      <c r="S789" s="93"/>
      <c r="T789" s="93"/>
      <c r="U789" s="93"/>
      <c r="V789" s="93"/>
      <c r="W789" s="93"/>
    </row>
    <row r="790" spans="2:23" s="14" customFormat="1" ht="17.100000000000001" customHeight="1">
      <c r="B790" s="89"/>
      <c r="C790" s="90"/>
      <c r="D790" s="91"/>
      <c r="E790" s="92"/>
      <c r="F790" s="89"/>
      <c r="G790" s="89"/>
      <c r="H790" s="89"/>
      <c r="I790" s="89"/>
      <c r="J790" s="89"/>
      <c r="K790" s="89"/>
      <c r="L790" s="93"/>
      <c r="M790" s="93"/>
      <c r="N790" s="93"/>
      <c r="O790" s="93"/>
      <c r="P790" s="93"/>
      <c r="Q790" s="93"/>
      <c r="R790" s="93"/>
      <c r="S790" s="93"/>
      <c r="T790" s="93"/>
      <c r="U790" s="93"/>
      <c r="V790" s="93"/>
      <c r="W790" s="93"/>
    </row>
    <row r="791" spans="2:23" s="14" customFormat="1" ht="17.100000000000001" customHeight="1">
      <c r="B791" s="89"/>
      <c r="C791" s="90"/>
      <c r="D791" s="91"/>
      <c r="E791" s="92"/>
      <c r="F791" s="89"/>
      <c r="G791" s="89"/>
      <c r="H791" s="89"/>
      <c r="I791" s="89"/>
      <c r="J791" s="89"/>
      <c r="K791" s="89"/>
      <c r="L791" s="93"/>
      <c r="M791" s="93"/>
      <c r="N791" s="93"/>
      <c r="O791" s="93"/>
      <c r="P791" s="93"/>
      <c r="Q791" s="93"/>
      <c r="R791" s="93"/>
      <c r="S791" s="93"/>
      <c r="T791" s="93"/>
      <c r="U791" s="93"/>
      <c r="V791" s="93"/>
      <c r="W791" s="93"/>
    </row>
    <row r="792" spans="2:23" s="14" customFormat="1" ht="17.100000000000001" customHeight="1">
      <c r="B792" s="89"/>
      <c r="C792" s="90"/>
      <c r="D792" s="91"/>
      <c r="E792" s="92"/>
      <c r="F792" s="89"/>
      <c r="G792" s="89"/>
      <c r="H792" s="89"/>
      <c r="I792" s="89"/>
      <c r="J792" s="89"/>
      <c r="K792" s="89"/>
      <c r="L792" s="93"/>
      <c r="M792" s="93"/>
      <c r="N792" s="93"/>
      <c r="O792" s="93"/>
      <c r="P792" s="93"/>
      <c r="Q792" s="93"/>
      <c r="R792" s="93"/>
      <c r="S792" s="93"/>
      <c r="T792" s="93"/>
      <c r="U792" s="93"/>
      <c r="V792" s="93"/>
      <c r="W792" s="93"/>
    </row>
    <row r="793" spans="2:23" s="14" customFormat="1" ht="17.100000000000001" customHeight="1">
      <c r="B793" s="89"/>
      <c r="C793" s="90"/>
      <c r="D793" s="91"/>
      <c r="E793" s="92"/>
      <c r="F793" s="89"/>
      <c r="G793" s="89"/>
      <c r="H793" s="89"/>
      <c r="I793" s="89"/>
      <c r="J793" s="89"/>
      <c r="K793" s="89"/>
      <c r="L793" s="93"/>
      <c r="M793" s="93"/>
      <c r="N793" s="93"/>
      <c r="O793" s="93"/>
      <c r="P793" s="93"/>
      <c r="Q793" s="93"/>
      <c r="R793" s="93"/>
      <c r="S793" s="93"/>
      <c r="T793" s="93"/>
      <c r="U793" s="93"/>
      <c r="V793" s="93"/>
      <c r="W793" s="93"/>
    </row>
    <row r="794" spans="2:23" s="14" customFormat="1" ht="17.100000000000001" customHeight="1">
      <c r="B794" s="89"/>
      <c r="C794" s="90"/>
      <c r="D794" s="91"/>
      <c r="E794" s="92"/>
      <c r="F794" s="89"/>
      <c r="G794" s="89"/>
      <c r="H794" s="89"/>
      <c r="I794" s="89"/>
      <c r="J794" s="89"/>
      <c r="K794" s="89"/>
      <c r="L794" s="93"/>
      <c r="M794" s="93"/>
      <c r="N794" s="93"/>
      <c r="O794" s="93"/>
      <c r="P794" s="93"/>
      <c r="Q794" s="93"/>
      <c r="R794" s="93"/>
      <c r="S794" s="93"/>
      <c r="T794" s="93"/>
      <c r="U794" s="93"/>
      <c r="V794" s="93"/>
      <c r="W794" s="93"/>
    </row>
    <row r="795" spans="2:23" s="14" customFormat="1" ht="17.100000000000001" customHeight="1">
      <c r="B795" s="89"/>
      <c r="C795" s="90"/>
      <c r="D795" s="91"/>
      <c r="E795" s="92"/>
      <c r="F795" s="89"/>
      <c r="G795" s="89"/>
      <c r="H795" s="89"/>
      <c r="I795" s="89"/>
      <c r="J795" s="89"/>
      <c r="K795" s="89"/>
      <c r="L795" s="93"/>
      <c r="M795" s="93"/>
      <c r="N795" s="93"/>
      <c r="O795" s="93"/>
      <c r="P795" s="93"/>
      <c r="Q795" s="93"/>
      <c r="R795" s="93"/>
      <c r="S795" s="93"/>
      <c r="T795" s="93"/>
      <c r="U795" s="93"/>
      <c r="V795" s="93"/>
      <c r="W795" s="93"/>
    </row>
    <row r="796" spans="2:23" s="14" customFormat="1" ht="17.100000000000001" customHeight="1">
      <c r="B796" s="89"/>
      <c r="C796" s="90"/>
      <c r="D796" s="91"/>
      <c r="E796" s="92"/>
      <c r="F796" s="89"/>
      <c r="G796" s="89"/>
      <c r="H796" s="89"/>
      <c r="I796" s="89"/>
      <c r="J796" s="89"/>
      <c r="K796" s="89"/>
      <c r="L796" s="93"/>
      <c r="M796" s="93"/>
      <c r="N796" s="93"/>
      <c r="O796" s="93"/>
      <c r="P796" s="93"/>
      <c r="Q796" s="93"/>
      <c r="R796" s="93"/>
      <c r="S796" s="93"/>
      <c r="T796" s="93"/>
      <c r="U796" s="93"/>
      <c r="V796" s="93"/>
      <c r="W796" s="93"/>
    </row>
    <row r="797" spans="2:23" s="14" customFormat="1" ht="17.100000000000001" customHeight="1">
      <c r="B797" s="89"/>
      <c r="C797" s="90"/>
      <c r="D797" s="91"/>
      <c r="E797" s="92"/>
      <c r="F797" s="89"/>
      <c r="G797" s="89"/>
      <c r="H797" s="89"/>
      <c r="I797" s="89"/>
      <c r="J797" s="89"/>
      <c r="K797" s="89"/>
      <c r="L797" s="93"/>
      <c r="M797" s="93"/>
      <c r="N797" s="93"/>
      <c r="O797" s="93"/>
      <c r="P797" s="93"/>
      <c r="Q797" s="93"/>
      <c r="R797" s="93"/>
      <c r="S797" s="93"/>
      <c r="T797" s="93"/>
      <c r="U797" s="93"/>
      <c r="V797" s="93"/>
      <c r="W797" s="93"/>
    </row>
    <row r="798" spans="2:23" s="14" customFormat="1" ht="17.100000000000001" customHeight="1">
      <c r="B798" s="89"/>
      <c r="C798" s="90"/>
      <c r="D798" s="91"/>
      <c r="E798" s="92"/>
      <c r="F798" s="89"/>
      <c r="G798" s="89"/>
      <c r="H798" s="89"/>
      <c r="I798" s="89"/>
      <c r="J798" s="89"/>
      <c r="K798" s="89"/>
      <c r="L798" s="93"/>
      <c r="M798" s="93"/>
      <c r="N798" s="93"/>
      <c r="O798" s="93"/>
      <c r="P798" s="93"/>
      <c r="Q798" s="93"/>
      <c r="R798" s="93"/>
      <c r="S798" s="93"/>
      <c r="T798" s="93"/>
      <c r="U798" s="93"/>
      <c r="V798" s="93"/>
      <c r="W798" s="93"/>
    </row>
    <row r="799" spans="2:23" s="14" customFormat="1" ht="17.100000000000001" customHeight="1">
      <c r="B799" s="89"/>
      <c r="C799" s="90"/>
      <c r="D799" s="91"/>
      <c r="E799" s="92"/>
      <c r="F799" s="89"/>
      <c r="G799" s="89"/>
      <c r="H799" s="89"/>
      <c r="I799" s="89"/>
      <c r="J799" s="89"/>
      <c r="K799" s="89"/>
      <c r="L799" s="93"/>
      <c r="M799" s="93"/>
      <c r="N799" s="93"/>
      <c r="O799" s="93"/>
      <c r="P799" s="93"/>
      <c r="Q799" s="93"/>
      <c r="R799" s="93"/>
      <c r="S799" s="93"/>
      <c r="T799" s="93"/>
      <c r="U799" s="93"/>
      <c r="V799" s="93"/>
      <c r="W799" s="93"/>
    </row>
    <row r="800" spans="2:23" s="14" customFormat="1" ht="17.100000000000001" customHeight="1">
      <c r="B800" s="89"/>
      <c r="C800" s="90"/>
      <c r="D800" s="91"/>
      <c r="E800" s="92"/>
      <c r="F800" s="89"/>
      <c r="G800" s="89"/>
      <c r="H800" s="89"/>
      <c r="I800" s="89"/>
      <c r="J800" s="89"/>
      <c r="K800" s="89"/>
      <c r="L800" s="93"/>
      <c r="M800" s="93"/>
      <c r="N800" s="93"/>
      <c r="O800" s="93"/>
      <c r="P800" s="93"/>
      <c r="Q800" s="93"/>
      <c r="R800" s="93"/>
      <c r="S800" s="93"/>
      <c r="T800" s="93"/>
      <c r="U800" s="93"/>
      <c r="V800" s="93"/>
      <c r="W800" s="93"/>
    </row>
    <row r="801" spans="2:23" s="14" customFormat="1" ht="17.100000000000001" customHeight="1">
      <c r="B801" s="89"/>
      <c r="C801" s="90"/>
      <c r="D801" s="91"/>
      <c r="E801" s="92"/>
      <c r="F801" s="89"/>
      <c r="G801" s="89"/>
      <c r="H801" s="89"/>
      <c r="I801" s="89"/>
      <c r="J801" s="89"/>
      <c r="K801" s="89"/>
      <c r="L801" s="93"/>
      <c r="M801" s="93"/>
      <c r="N801" s="93"/>
      <c r="O801" s="93"/>
      <c r="P801" s="93"/>
      <c r="Q801" s="93"/>
      <c r="R801" s="93"/>
      <c r="S801" s="93"/>
      <c r="T801" s="93"/>
      <c r="U801" s="93"/>
      <c r="V801" s="93"/>
      <c r="W801" s="93"/>
    </row>
    <row r="802" spans="2:23" s="14" customFormat="1" ht="17.100000000000001" customHeight="1">
      <c r="B802" s="89"/>
      <c r="C802" s="90"/>
      <c r="D802" s="91"/>
      <c r="E802" s="92"/>
      <c r="F802" s="89"/>
      <c r="G802" s="89"/>
      <c r="H802" s="89"/>
      <c r="I802" s="89"/>
      <c r="J802" s="89"/>
      <c r="K802" s="89"/>
      <c r="L802" s="93"/>
      <c r="M802" s="93"/>
      <c r="N802" s="93"/>
      <c r="O802" s="93"/>
      <c r="P802" s="93"/>
      <c r="Q802" s="93"/>
      <c r="R802" s="93"/>
      <c r="S802" s="93"/>
      <c r="T802" s="93"/>
      <c r="U802" s="93"/>
      <c r="V802" s="93"/>
      <c r="W802" s="93"/>
    </row>
    <row r="803" spans="2:23" s="14" customFormat="1" ht="17.100000000000001" customHeight="1">
      <c r="B803" s="89"/>
      <c r="C803" s="90"/>
      <c r="D803" s="91"/>
      <c r="E803" s="92"/>
      <c r="F803" s="89"/>
      <c r="G803" s="89"/>
      <c r="H803" s="89"/>
      <c r="I803" s="89"/>
      <c r="J803" s="89"/>
      <c r="K803" s="89"/>
      <c r="L803" s="93"/>
      <c r="M803" s="93"/>
      <c r="N803" s="93"/>
      <c r="O803" s="93"/>
      <c r="P803" s="93"/>
      <c r="Q803" s="93"/>
      <c r="R803" s="93"/>
      <c r="S803" s="93"/>
      <c r="T803" s="93"/>
      <c r="U803" s="93"/>
      <c r="V803" s="93"/>
      <c r="W803" s="93"/>
    </row>
    <row r="804" spans="2:23" s="14" customFormat="1" ht="17.100000000000001" customHeight="1">
      <c r="B804" s="89"/>
      <c r="C804" s="90"/>
      <c r="D804" s="91"/>
      <c r="E804" s="92"/>
      <c r="F804" s="89"/>
      <c r="G804" s="89"/>
      <c r="H804" s="89"/>
      <c r="I804" s="89"/>
      <c r="J804" s="89"/>
      <c r="K804" s="89"/>
      <c r="L804" s="93"/>
      <c r="M804" s="93"/>
      <c r="N804" s="93"/>
      <c r="O804" s="93"/>
      <c r="P804" s="93"/>
      <c r="Q804" s="93"/>
      <c r="R804" s="93"/>
      <c r="S804" s="93"/>
      <c r="T804" s="93"/>
      <c r="U804" s="93"/>
      <c r="V804" s="93"/>
      <c r="W804" s="93"/>
    </row>
    <row r="805" spans="2:23" s="14" customFormat="1" ht="17.100000000000001" customHeight="1">
      <c r="B805" s="89"/>
      <c r="C805" s="90"/>
      <c r="D805" s="91"/>
      <c r="E805" s="92"/>
      <c r="F805" s="89"/>
      <c r="G805" s="89"/>
      <c r="H805" s="89"/>
      <c r="I805" s="89"/>
      <c r="J805" s="89"/>
      <c r="K805" s="89"/>
      <c r="L805" s="93"/>
      <c r="M805" s="93"/>
      <c r="N805" s="93"/>
      <c r="O805" s="93"/>
      <c r="P805" s="93"/>
      <c r="Q805" s="93"/>
      <c r="R805" s="93"/>
      <c r="S805" s="93"/>
      <c r="T805" s="93"/>
      <c r="U805" s="93"/>
      <c r="V805" s="93"/>
      <c r="W805" s="93"/>
    </row>
    <row r="806" spans="2:23" s="14" customFormat="1" ht="17.100000000000001" customHeight="1">
      <c r="B806" s="89"/>
      <c r="C806" s="90"/>
      <c r="D806" s="91"/>
      <c r="E806" s="92"/>
      <c r="F806" s="89"/>
      <c r="G806" s="89"/>
      <c r="H806" s="89"/>
      <c r="I806" s="89"/>
      <c r="J806" s="89"/>
      <c r="K806" s="89"/>
      <c r="L806" s="93"/>
      <c r="M806" s="93"/>
      <c r="N806" s="93"/>
      <c r="O806" s="93"/>
      <c r="P806" s="93"/>
      <c r="Q806" s="93"/>
      <c r="R806" s="93"/>
      <c r="S806" s="93"/>
      <c r="T806" s="93"/>
      <c r="U806" s="93"/>
      <c r="V806" s="93"/>
      <c r="W806" s="93"/>
    </row>
    <row r="807" spans="2:23" s="14" customFormat="1" ht="17.100000000000001" customHeight="1">
      <c r="B807" s="89"/>
      <c r="C807" s="90"/>
      <c r="D807" s="91"/>
      <c r="E807" s="92"/>
      <c r="F807" s="89"/>
      <c r="G807" s="89"/>
      <c r="H807" s="89"/>
      <c r="I807" s="89"/>
      <c r="J807" s="89"/>
      <c r="K807" s="89"/>
      <c r="L807" s="93"/>
      <c r="M807" s="93"/>
      <c r="N807" s="93"/>
      <c r="O807" s="93"/>
      <c r="P807" s="93"/>
      <c r="Q807" s="93"/>
      <c r="R807" s="93"/>
      <c r="S807" s="93"/>
      <c r="T807" s="93"/>
      <c r="U807" s="93"/>
      <c r="V807" s="93"/>
      <c r="W807" s="93"/>
    </row>
    <row r="808" spans="2:23" s="14" customFormat="1" ht="17.100000000000001" customHeight="1">
      <c r="B808" s="89"/>
      <c r="C808" s="90"/>
      <c r="D808" s="91"/>
      <c r="E808" s="92"/>
      <c r="F808" s="89"/>
      <c r="G808" s="89"/>
      <c r="H808" s="89"/>
      <c r="I808" s="89"/>
      <c r="J808" s="89"/>
      <c r="K808" s="89"/>
      <c r="L808" s="93"/>
      <c r="M808" s="93"/>
      <c r="N808" s="93"/>
      <c r="O808" s="93"/>
      <c r="P808" s="93"/>
      <c r="Q808" s="93"/>
      <c r="R808" s="93"/>
      <c r="S808" s="93"/>
      <c r="T808" s="93"/>
      <c r="U808" s="93"/>
      <c r="V808" s="93"/>
      <c r="W808" s="93"/>
    </row>
    <row r="809" spans="2:23" s="14" customFormat="1" ht="17.100000000000001" customHeight="1">
      <c r="B809" s="89"/>
      <c r="C809" s="90"/>
      <c r="D809" s="91"/>
      <c r="E809" s="92"/>
      <c r="F809" s="89"/>
      <c r="G809" s="89"/>
      <c r="H809" s="89"/>
      <c r="I809" s="89"/>
      <c r="J809" s="89"/>
      <c r="K809" s="89"/>
      <c r="L809" s="93"/>
      <c r="M809" s="93"/>
      <c r="N809" s="93"/>
      <c r="O809" s="93"/>
      <c r="P809" s="93"/>
      <c r="Q809" s="93"/>
      <c r="R809" s="93"/>
      <c r="S809" s="93"/>
      <c r="T809" s="93"/>
      <c r="U809" s="93"/>
      <c r="V809" s="93"/>
      <c r="W809" s="93"/>
    </row>
    <row r="810" spans="2:23" s="14" customFormat="1" ht="17.100000000000001" customHeight="1">
      <c r="B810" s="89"/>
      <c r="C810" s="90"/>
      <c r="D810" s="91"/>
      <c r="E810" s="92"/>
      <c r="F810" s="89"/>
      <c r="G810" s="89"/>
      <c r="H810" s="89"/>
      <c r="I810" s="89"/>
      <c r="J810" s="89"/>
      <c r="K810" s="89"/>
      <c r="L810" s="93"/>
      <c r="M810" s="93"/>
      <c r="N810" s="93"/>
      <c r="O810" s="93"/>
      <c r="P810" s="93"/>
      <c r="Q810" s="93"/>
      <c r="R810" s="93"/>
      <c r="S810" s="93"/>
      <c r="T810" s="93"/>
      <c r="U810" s="93"/>
      <c r="V810" s="93"/>
      <c r="W810" s="93"/>
    </row>
    <row r="811" spans="2:23" s="14" customFormat="1" ht="17.100000000000001" customHeight="1">
      <c r="B811" s="89"/>
      <c r="C811" s="90"/>
      <c r="D811" s="91"/>
      <c r="E811" s="92"/>
      <c r="F811" s="89"/>
      <c r="G811" s="89"/>
      <c r="H811" s="89"/>
      <c r="I811" s="89"/>
      <c r="J811" s="89"/>
      <c r="K811" s="89"/>
      <c r="L811" s="93"/>
      <c r="M811" s="93"/>
      <c r="N811" s="93"/>
      <c r="O811" s="93"/>
      <c r="P811" s="93"/>
      <c r="Q811" s="93"/>
      <c r="R811" s="93"/>
      <c r="S811" s="93"/>
      <c r="T811" s="93"/>
      <c r="U811" s="93"/>
      <c r="V811" s="93"/>
      <c r="W811" s="93"/>
    </row>
    <row r="812" spans="2:23" s="14" customFormat="1" ht="17.100000000000001" customHeight="1">
      <c r="B812" s="89"/>
      <c r="C812" s="90"/>
      <c r="D812" s="91"/>
      <c r="E812" s="92"/>
      <c r="F812" s="89"/>
      <c r="G812" s="89"/>
      <c r="H812" s="89"/>
      <c r="I812" s="89"/>
      <c r="J812" s="89"/>
      <c r="K812" s="89"/>
      <c r="L812" s="93"/>
      <c r="M812" s="93"/>
      <c r="N812" s="93"/>
      <c r="O812" s="93"/>
      <c r="P812" s="93"/>
      <c r="Q812" s="93"/>
      <c r="R812" s="93"/>
      <c r="S812" s="93"/>
      <c r="T812" s="93"/>
      <c r="U812" s="93"/>
      <c r="V812" s="93"/>
      <c r="W812" s="93"/>
    </row>
    <row r="813" spans="2:23" s="14" customFormat="1" ht="17.100000000000001" customHeight="1">
      <c r="B813" s="89"/>
      <c r="C813" s="90"/>
      <c r="D813" s="91"/>
      <c r="E813" s="92"/>
      <c r="F813" s="89"/>
      <c r="G813" s="89"/>
      <c r="H813" s="89"/>
      <c r="I813" s="89"/>
      <c r="J813" s="89"/>
      <c r="K813" s="89"/>
      <c r="L813" s="93"/>
      <c r="M813" s="93"/>
      <c r="N813" s="93"/>
      <c r="O813" s="93"/>
      <c r="P813" s="93"/>
      <c r="Q813" s="93"/>
      <c r="R813" s="93"/>
      <c r="S813" s="93"/>
      <c r="T813" s="93"/>
      <c r="U813" s="93"/>
      <c r="V813" s="93"/>
      <c r="W813" s="93"/>
    </row>
    <row r="814" spans="2:23" s="14" customFormat="1" ht="17.100000000000001" customHeight="1">
      <c r="B814" s="89"/>
      <c r="C814" s="90"/>
      <c r="D814" s="91"/>
      <c r="E814" s="92"/>
      <c r="F814" s="89"/>
      <c r="G814" s="89"/>
      <c r="H814" s="89"/>
      <c r="I814" s="89"/>
      <c r="J814" s="89"/>
      <c r="K814" s="89"/>
      <c r="L814" s="93"/>
      <c r="M814" s="93"/>
      <c r="N814" s="93"/>
      <c r="O814" s="93"/>
      <c r="P814" s="93"/>
      <c r="Q814" s="93"/>
      <c r="R814" s="93"/>
      <c r="S814" s="93"/>
      <c r="T814" s="93"/>
      <c r="U814" s="93"/>
      <c r="V814" s="93"/>
      <c r="W814" s="93"/>
    </row>
    <row r="815" spans="2:23" s="14" customFormat="1" ht="17.100000000000001" customHeight="1">
      <c r="B815" s="89"/>
      <c r="C815" s="90"/>
      <c r="D815" s="91"/>
      <c r="E815" s="92"/>
      <c r="F815" s="89"/>
      <c r="G815" s="89"/>
      <c r="H815" s="89"/>
      <c r="I815" s="89"/>
      <c r="J815" s="89"/>
      <c r="K815" s="89"/>
      <c r="L815" s="93"/>
      <c r="M815" s="93"/>
      <c r="N815" s="93"/>
      <c r="O815" s="93"/>
      <c r="P815" s="93"/>
      <c r="Q815" s="93"/>
      <c r="R815" s="93"/>
      <c r="S815" s="93"/>
      <c r="T815" s="93"/>
      <c r="U815" s="93"/>
      <c r="V815" s="93"/>
      <c r="W815" s="93"/>
    </row>
    <row r="816" spans="2:23" s="14" customFormat="1" ht="17.100000000000001" customHeight="1">
      <c r="B816" s="89"/>
      <c r="C816" s="90"/>
      <c r="D816" s="91"/>
      <c r="E816" s="92"/>
      <c r="F816" s="89"/>
      <c r="G816" s="89"/>
      <c r="H816" s="89"/>
      <c r="I816" s="89"/>
      <c r="J816" s="89"/>
      <c r="K816" s="89"/>
      <c r="L816" s="93"/>
      <c r="M816" s="93"/>
      <c r="N816" s="93"/>
      <c r="O816" s="93"/>
      <c r="P816" s="93"/>
      <c r="Q816" s="93"/>
      <c r="R816" s="93"/>
      <c r="S816" s="93"/>
      <c r="T816" s="93"/>
      <c r="U816" s="93"/>
      <c r="V816" s="93"/>
      <c r="W816" s="93"/>
    </row>
    <row r="817" spans="2:23" s="14" customFormat="1" ht="17.100000000000001" customHeight="1">
      <c r="B817" s="89"/>
      <c r="C817" s="90"/>
      <c r="D817" s="91"/>
      <c r="E817" s="92"/>
      <c r="F817" s="89"/>
      <c r="G817" s="89"/>
      <c r="H817" s="89"/>
      <c r="I817" s="89"/>
      <c r="J817" s="89"/>
      <c r="K817" s="89"/>
      <c r="L817" s="93"/>
      <c r="M817" s="93"/>
      <c r="N817" s="93"/>
      <c r="O817" s="93"/>
      <c r="P817" s="93"/>
      <c r="Q817" s="93"/>
      <c r="R817" s="93"/>
      <c r="S817" s="93"/>
      <c r="T817" s="93"/>
      <c r="U817" s="93"/>
      <c r="V817" s="93"/>
      <c r="W817" s="93"/>
    </row>
    <row r="818" spans="2:23" s="14" customFormat="1" ht="17.100000000000001" customHeight="1">
      <c r="B818" s="89"/>
      <c r="C818" s="90"/>
      <c r="D818" s="91"/>
      <c r="E818" s="92"/>
      <c r="F818" s="89"/>
      <c r="G818" s="89"/>
      <c r="H818" s="89"/>
      <c r="I818" s="89"/>
      <c r="J818" s="89"/>
      <c r="K818" s="89"/>
      <c r="L818" s="93"/>
      <c r="M818" s="93"/>
      <c r="N818" s="93"/>
      <c r="O818" s="93"/>
      <c r="P818" s="93"/>
      <c r="Q818" s="93"/>
      <c r="R818" s="93"/>
      <c r="S818" s="93"/>
      <c r="T818" s="93"/>
      <c r="U818" s="93"/>
      <c r="V818" s="93"/>
      <c r="W818" s="93"/>
    </row>
    <row r="819" spans="2:23" s="14" customFormat="1" ht="17.100000000000001" customHeight="1">
      <c r="B819" s="89"/>
      <c r="C819" s="90"/>
      <c r="D819" s="91"/>
      <c r="E819" s="92"/>
      <c r="F819" s="89"/>
      <c r="G819" s="89"/>
      <c r="H819" s="89"/>
      <c r="I819" s="89"/>
      <c r="J819" s="89"/>
      <c r="K819" s="89"/>
      <c r="L819" s="93"/>
      <c r="M819" s="93"/>
      <c r="N819" s="93"/>
      <c r="O819" s="93"/>
      <c r="P819" s="93"/>
      <c r="Q819" s="93"/>
      <c r="R819" s="93"/>
      <c r="S819" s="93"/>
      <c r="T819" s="93"/>
      <c r="U819" s="93"/>
      <c r="V819" s="93"/>
      <c r="W819" s="93"/>
    </row>
    <row r="820" spans="2:23" s="14" customFormat="1" ht="17.100000000000001" customHeight="1">
      <c r="B820" s="89"/>
      <c r="C820" s="90"/>
      <c r="D820" s="91"/>
      <c r="E820" s="92"/>
      <c r="F820" s="89"/>
      <c r="G820" s="89"/>
      <c r="H820" s="89"/>
      <c r="I820" s="89"/>
      <c r="J820" s="89"/>
      <c r="K820" s="89"/>
      <c r="L820" s="93"/>
      <c r="M820" s="93"/>
      <c r="N820" s="93"/>
      <c r="O820" s="93"/>
      <c r="P820" s="93"/>
      <c r="Q820" s="93"/>
      <c r="R820" s="93"/>
      <c r="S820" s="93"/>
      <c r="T820" s="93"/>
      <c r="U820" s="93"/>
      <c r="V820" s="93"/>
      <c r="W820" s="93"/>
    </row>
    <row r="821" spans="2:23" s="14" customFormat="1" ht="17.100000000000001" customHeight="1">
      <c r="B821" s="89"/>
      <c r="C821" s="90"/>
      <c r="D821" s="91"/>
      <c r="E821" s="92"/>
      <c r="F821" s="89"/>
      <c r="G821" s="89"/>
      <c r="H821" s="89"/>
      <c r="I821" s="89"/>
      <c r="J821" s="89"/>
      <c r="K821" s="89"/>
      <c r="L821" s="93"/>
      <c r="M821" s="93"/>
      <c r="N821" s="93"/>
      <c r="O821" s="93"/>
      <c r="P821" s="93"/>
      <c r="Q821" s="93"/>
      <c r="R821" s="93"/>
      <c r="S821" s="93"/>
      <c r="T821" s="93"/>
      <c r="U821" s="93"/>
      <c r="V821" s="93"/>
      <c r="W821" s="93"/>
    </row>
    <row r="822" spans="2:23" s="14" customFormat="1" ht="17.100000000000001" customHeight="1">
      <c r="B822" s="89"/>
      <c r="C822" s="90"/>
      <c r="D822" s="91"/>
      <c r="E822" s="92"/>
      <c r="F822" s="89"/>
      <c r="G822" s="89"/>
      <c r="H822" s="89"/>
      <c r="I822" s="89"/>
      <c r="J822" s="89"/>
      <c r="K822" s="89"/>
      <c r="L822" s="93"/>
      <c r="M822" s="93"/>
      <c r="N822" s="93"/>
      <c r="O822" s="93"/>
      <c r="P822" s="93"/>
      <c r="Q822" s="93"/>
      <c r="R822" s="93"/>
      <c r="S822" s="93"/>
      <c r="T822" s="93"/>
      <c r="U822" s="93"/>
      <c r="V822" s="93"/>
      <c r="W822" s="93"/>
    </row>
    <row r="823" spans="2:23" s="14" customFormat="1" ht="17.100000000000001" customHeight="1">
      <c r="B823" s="89"/>
      <c r="C823" s="90"/>
      <c r="D823" s="91"/>
      <c r="E823" s="92"/>
      <c r="F823" s="89"/>
      <c r="G823" s="89"/>
      <c r="H823" s="89"/>
      <c r="I823" s="89"/>
      <c r="J823" s="89"/>
      <c r="K823" s="89"/>
      <c r="L823" s="93"/>
      <c r="M823" s="93"/>
      <c r="N823" s="93"/>
      <c r="O823" s="93"/>
      <c r="P823" s="93"/>
      <c r="Q823" s="93"/>
      <c r="R823" s="93"/>
      <c r="S823" s="93"/>
      <c r="T823" s="93"/>
      <c r="U823" s="93"/>
      <c r="V823" s="93"/>
      <c r="W823" s="93"/>
    </row>
    <row r="824" spans="2:23" s="14" customFormat="1" ht="17.100000000000001" customHeight="1">
      <c r="B824" s="89"/>
      <c r="C824" s="90"/>
      <c r="D824" s="91"/>
      <c r="E824" s="92"/>
      <c r="F824" s="89"/>
      <c r="G824" s="89"/>
      <c r="H824" s="89"/>
      <c r="I824" s="89"/>
      <c r="J824" s="89"/>
      <c r="K824" s="89"/>
      <c r="L824" s="93"/>
      <c r="M824" s="93"/>
      <c r="N824" s="93"/>
      <c r="O824" s="93"/>
      <c r="P824" s="93"/>
      <c r="Q824" s="93"/>
      <c r="R824" s="93"/>
      <c r="S824" s="93"/>
      <c r="T824" s="93"/>
      <c r="U824" s="93"/>
      <c r="V824" s="93"/>
      <c r="W824" s="93"/>
    </row>
    <row r="825" spans="2:23" s="14" customFormat="1" ht="17.100000000000001" customHeight="1">
      <c r="B825" s="89"/>
      <c r="C825" s="90"/>
      <c r="D825" s="91"/>
      <c r="E825" s="92"/>
      <c r="F825" s="89"/>
      <c r="G825" s="89"/>
      <c r="H825" s="89"/>
      <c r="I825" s="89"/>
      <c r="J825" s="89"/>
      <c r="K825" s="89"/>
      <c r="L825" s="93"/>
      <c r="M825" s="93"/>
      <c r="N825" s="93"/>
      <c r="O825" s="93"/>
      <c r="P825" s="93"/>
      <c r="Q825" s="93"/>
      <c r="R825" s="93"/>
      <c r="S825" s="93"/>
      <c r="T825" s="93"/>
      <c r="U825" s="93"/>
      <c r="V825" s="93"/>
      <c r="W825" s="93"/>
    </row>
    <row r="826" spans="2:23" s="14" customFormat="1" ht="17.100000000000001" customHeight="1">
      <c r="B826" s="89"/>
      <c r="C826" s="90"/>
      <c r="D826" s="91"/>
      <c r="E826" s="92"/>
      <c r="F826" s="89"/>
      <c r="G826" s="89"/>
      <c r="H826" s="89"/>
      <c r="I826" s="89"/>
      <c r="J826" s="89"/>
      <c r="K826" s="89"/>
      <c r="L826" s="93"/>
      <c r="M826" s="93"/>
      <c r="N826" s="93"/>
      <c r="O826" s="93"/>
      <c r="P826" s="93"/>
      <c r="Q826" s="93"/>
      <c r="R826" s="93"/>
      <c r="S826" s="93"/>
      <c r="T826" s="93"/>
      <c r="U826" s="93"/>
      <c r="V826" s="93"/>
      <c r="W826" s="93"/>
    </row>
    <row r="827" spans="2:23" s="14" customFormat="1" ht="17.100000000000001" customHeight="1">
      <c r="B827" s="89"/>
      <c r="C827" s="90"/>
      <c r="D827" s="91"/>
      <c r="E827" s="92"/>
      <c r="F827" s="89"/>
      <c r="G827" s="89"/>
      <c r="H827" s="89"/>
      <c r="I827" s="89"/>
      <c r="J827" s="89"/>
      <c r="K827" s="89"/>
      <c r="L827" s="93"/>
      <c r="M827" s="93"/>
      <c r="N827" s="93"/>
      <c r="O827" s="93"/>
      <c r="P827" s="93"/>
      <c r="Q827" s="93"/>
      <c r="R827" s="93"/>
      <c r="S827" s="93"/>
      <c r="T827" s="93"/>
      <c r="U827" s="93"/>
      <c r="V827" s="93"/>
      <c r="W827" s="93"/>
    </row>
    <row r="828" spans="2:23" s="14" customFormat="1" ht="17.100000000000001" customHeight="1">
      <c r="B828" s="89"/>
      <c r="C828" s="90"/>
      <c r="D828" s="91"/>
      <c r="E828" s="92"/>
      <c r="F828" s="89"/>
      <c r="G828" s="89"/>
      <c r="H828" s="89"/>
      <c r="I828" s="89"/>
      <c r="J828" s="89"/>
      <c r="K828" s="89"/>
      <c r="L828" s="93"/>
      <c r="M828" s="93"/>
      <c r="N828" s="93"/>
      <c r="O828" s="93"/>
      <c r="P828" s="93"/>
      <c r="Q828" s="93"/>
      <c r="R828" s="93"/>
      <c r="S828" s="93"/>
      <c r="T828" s="93"/>
      <c r="U828" s="93"/>
      <c r="V828" s="93"/>
      <c r="W828" s="93"/>
    </row>
    <row r="829" spans="2:23" s="14" customFormat="1" ht="17.100000000000001" customHeight="1">
      <c r="B829" s="89"/>
      <c r="C829" s="90"/>
      <c r="D829" s="91"/>
      <c r="E829" s="92"/>
      <c r="F829" s="89"/>
      <c r="G829" s="89"/>
      <c r="H829" s="89"/>
      <c r="I829" s="89"/>
      <c r="J829" s="89"/>
      <c r="K829" s="89"/>
      <c r="L829" s="93"/>
      <c r="M829" s="93"/>
      <c r="N829" s="93"/>
      <c r="O829" s="93"/>
      <c r="P829" s="93"/>
      <c r="Q829" s="93"/>
      <c r="R829" s="93"/>
      <c r="S829" s="93"/>
      <c r="T829" s="93"/>
      <c r="U829" s="93"/>
      <c r="V829" s="93"/>
      <c r="W829" s="93"/>
    </row>
    <row r="830" spans="2:23" s="14" customFormat="1" ht="17.100000000000001" customHeight="1">
      <c r="B830" s="89"/>
      <c r="C830" s="90"/>
      <c r="D830" s="91"/>
      <c r="E830" s="92"/>
      <c r="F830" s="89"/>
      <c r="G830" s="89"/>
      <c r="H830" s="89"/>
      <c r="I830" s="89"/>
      <c r="J830" s="89"/>
      <c r="K830" s="89"/>
      <c r="L830" s="93"/>
      <c r="M830" s="93"/>
      <c r="N830" s="93"/>
      <c r="O830" s="93"/>
      <c r="P830" s="93"/>
      <c r="Q830" s="93"/>
      <c r="R830" s="93"/>
      <c r="S830" s="93"/>
      <c r="T830" s="93"/>
      <c r="U830" s="93"/>
      <c r="V830" s="93"/>
      <c r="W830" s="93"/>
    </row>
    <row r="831" spans="2:23" s="14" customFormat="1" ht="17.100000000000001" customHeight="1">
      <c r="B831" s="89"/>
      <c r="C831" s="90"/>
      <c r="D831" s="91"/>
      <c r="E831" s="92"/>
      <c r="F831" s="89"/>
      <c r="G831" s="89"/>
      <c r="H831" s="89"/>
      <c r="I831" s="89"/>
      <c r="J831" s="89"/>
      <c r="K831" s="89"/>
      <c r="L831" s="93"/>
      <c r="M831" s="93"/>
      <c r="N831" s="93"/>
      <c r="O831" s="93"/>
      <c r="P831" s="93"/>
      <c r="Q831" s="93"/>
      <c r="R831" s="93"/>
      <c r="S831" s="93"/>
      <c r="T831" s="93"/>
      <c r="U831" s="93"/>
      <c r="V831" s="93"/>
      <c r="W831" s="93"/>
    </row>
    <row r="832" spans="2:23" s="14" customFormat="1" ht="17.100000000000001" customHeight="1">
      <c r="B832" s="89"/>
      <c r="C832" s="90"/>
      <c r="D832" s="91"/>
      <c r="E832" s="92"/>
      <c r="F832" s="89"/>
      <c r="G832" s="89"/>
      <c r="H832" s="89"/>
      <c r="I832" s="89"/>
      <c r="J832" s="89"/>
      <c r="K832" s="89"/>
      <c r="L832" s="93"/>
      <c r="M832" s="93"/>
      <c r="N832" s="93"/>
      <c r="O832" s="93"/>
      <c r="P832" s="93"/>
      <c r="Q832" s="93"/>
      <c r="R832" s="93"/>
      <c r="S832" s="93"/>
      <c r="T832" s="93"/>
      <c r="U832" s="93"/>
      <c r="V832" s="93"/>
      <c r="W832" s="93"/>
    </row>
    <row r="833" spans="2:23" s="14" customFormat="1" ht="17.100000000000001" customHeight="1">
      <c r="B833" s="89"/>
      <c r="C833" s="90"/>
      <c r="D833" s="91"/>
      <c r="E833" s="92"/>
      <c r="F833" s="89"/>
      <c r="G833" s="89"/>
      <c r="H833" s="89"/>
      <c r="I833" s="89"/>
      <c r="J833" s="89"/>
      <c r="K833" s="89"/>
      <c r="L833" s="93"/>
      <c r="M833" s="93"/>
      <c r="N833" s="93"/>
      <c r="O833" s="93"/>
      <c r="P833" s="93"/>
      <c r="Q833" s="93"/>
      <c r="R833" s="93"/>
      <c r="S833" s="93"/>
      <c r="T833" s="93"/>
      <c r="U833" s="93"/>
      <c r="V833" s="93"/>
      <c r="W833" s="93"/>
    </row>
    <row r="834" spans="2:23" s="14" customFormat="1" ht="17.100000000000001" customHeight="1">
      <c r="B834" s="89"/>
      <c r="C834" s="90"/>
      <c r="D834" s="91"/>
      <c r="E834" s="92"/>
      <c r="F834" s="89"/>
      <c r="G834" s="89"/>
      <c r="H834" s="89"/>
      <c r="I834" s="89"/>
      <c r="J834" s="89"/>
      <c r="K834" s="89"/>
      <c r="L834" s="93"/>
      <c r="M834" s="93"/>
      <c r="N834" s="93"/>
      <c r="O834" s="93"/>
      <c r="P834" s="93"/>
      <c r="Q834" s="93"/>
      <c r="R834" s="93"/>
      <c r="S834" s="93"/>
      <c r="T834" s="93"/>
      <c r="U834" s="93"/>
      <c r="V834" s="93"/>
      <c r="W834" s="93"/>
    </row>
    <row r="835" spans="2:23" s="14" customFormat="1" ht="17.100000000000001" customHeight="1">
      <c r="B835" s="89"/>
      <c r="C835" s="90"/>
      <c r="D835" s="91"/>
      <c r="E835" s="92"/>
      <c r="F835" s="89"/>
      <c r="G835" s="89"/>
      <c r="H835" s="89"/>
      <c r="I835" s="89"/>
      <c r="J835" s="89"/>
      <c r="K835" s="89"/>
      <c r="L835" s="93"/>
      <c r="M835" s="93"/>
      <c r="N835" s="93"/>
      <c r="O835" s="93"/>
      <c r="P835" s="93"/>
      <c r="Q835" s="93"/>
      <c r="R835" s="93"/>
      <c r="S835" s="93"/>
      <c r="T835" s="93"/>
      <c r="U835" s="93"/>
      <c r="V835" s="93"/>
      <c r="W835" s="93"/>
    </row>
    <row r="836" spans="2:23" s="14" customFormat="1" ht="17.100000000000001" customHeight="1">
      <c r="B836" s="89"/>
      <c r="C836" s="90"/>
      <c r="D836" s="91"/>
      <c r="E836" s="92"/>
      <c r="F836" s="89"/>
      <c r="G836" s="89"/>
      <c r="H836" s="89"/>
      <c r="I836" s="89"/>
      <c r="J836" s="89"/>
      <c r="K836" s="89"/>
      <c r="L836" s="93"/>
      <c r="M836" s="93"/>
      <c r="N836" s="93"/>
      <c r="O836" s="93"/>
      <c r="P836" s="93"/>
      <c r="Q836" s="93"/>
      <c r="R836" s="93"/>
      <c r="S836" s="93"/>
      <c r="T836" s="93"/>
      <c r="U836" s="93"/>
      <c r="V836" s="93"/>
      <c r="W836" s="93"/>
    </row>
    <row r="837" spans="2:23" s="14" customFormat="1" ht="17.100000000000001" customHeight="1">
      <c r="B837" s="89"/>
      <c r="C837" s="90"/>
      <c r="D837" s="91"/>
      <c r="E837" s="92"/>
      <c r="F837" s="89"/>
      <c r="G837" s="89"/>
      <c r="H837" s="89"/>
      <c r="I837" s="89"/>
      <c r="J837" s="89"/>
      <c r="K837" s="89"/>
      <c r="L837" s="93"/>
      <c r="M837" s="93"/>
      <c r="N837" s="93"/>
      <c r="O837" s="93"/>
      <c r="P837" s="93"/>
      <c r="Q837" s="93"/>
      <c r="R837" s="93"/>
      <c r="S837" s="93"/>
      <c r="T837" s="93"/>
      <c r="U837" s="93"/>
      <c r="V837" s="93"/>
      <c r="W837" s="93"/>
    </row>
    <row r="838" spans="2:23" s="14" customFormat="1" ht="17.100000000000001" customHeight="1">
      <c r="B838" s="89"/>
      <c r="C838" s="90"/>
      <c r="D838" s="91"/>
      <c r="E838" s="92"/>
      <c r="F838" s="89"/>
      <c r="G838" s="89"/>
      <c r="H838" s="89"/>
      <c r="I838" s="89"/>
      <c r="J838" s="89"/>
      <c r="K838" s="89"/>
      <c r="L838" s="93"/>
      <c r="M838" s="93"/>
      <c r="N838" s="93"/>
      <c r="O838" s="93"/>
      <c r="P838" s="93"/>
      <c r="Q838" s="93"/>
      <c r="R838" s="93"/>
      <c r="S838" s="93"/>
      <c r="T838" s="93"/>
      <c r="U838" s="93"/>
      <c r="V838" s="93"/>
      <c r="W838" s="93"/>
    </row>
    <row r="839" spans="2:23" s="14" customFormat="1" ht="17.100000000000001" customHeight="1">
      <c r="B839" s="89"/>
      <c r="C839" s="90"/>
      <c r="D839" s="91"/>
      <c r="E839" s="92"/>
      <c r="F839" s="89"/>
      <c r="G839" s="89"/>
      <c r="H839" s="89"/>
      <c r="I839" s="89"/>
      <c r="J839" s="89"/>
      <c r="K839" s="89"/>
      <c r="L839" s="93"/>
      <c r="M839" s="93"/>
      <c r="N839" s="93"/>
      <c r="O839" s="93"/>
      <c r="P839" s="93"/>
      <c r="Q839" s="93"/>
      <c r="R839" s="93"/>
      <c r="S839" s="93"/>
      <c r="T839" s="93"/>
      <c r="U839" s="93"/>
      <c r="V839" s="93"/>
      <c r="W839" s="93"/>
    </row>
    <row r="840" spans="2:23" s="14" customFormat="1" ht="17.100000000000001" customHeight="1">
      <c r="B840" s="89"/>
      <c r="C840" s="90"/>
      <c r="D840" s="91"/>
      <c r="E840" s="92"/>
      <c r="F840" s="89"/>
      <c r="G840" s="89"/>
      <c r="H840" s="89"/>
      <c r="I840" s="89"/>
      <c r="J840" s="89"/>
      <c r="K840" s="89"/>
      <c r="L840" s="93"/>
      <c r="M840" s="93"/>
      <c r="N840" s="93"/>
      <c r="O840" s="93"/>
      <c r="P840" s="93"/>
      <c r="Q840" s="93"/>
      <c r="R840" s="93"/>
      <c r="S840" s="93"/>
      <c r="T840" s="93"/>
      <c r="U840" s="93"/>
      <c r="V840" s="93"/>
      <c r="W840" s="93"/>
    </row>
    <row r="841" spans="2:23" s="14" customFormat="1" ht="17.100000000000001" customHeight="1">
      <c r="B841" s="89"/>
      <c r="C841" s="90"/>
      <c r="D841" s="91"/>
      <c r="E841" s="92"/>
      <c r="F841" s="89"/>
      <c r="G841" s="89"/>
      <c r="H841" s="89"/>
      <c r="I841" s="89"/>
      <c r="J841" s="89"/>
      <c r="K841" s="89"/>
      <c r="L841" s="93"/>
      <c r="M841" s="93"/>
      <c r="N841" s="93"/>
      <c r="O841" s="93"/>
      <c r="P841" s="93"/>
      <c r="Q841" s="93"/>
      <c r="R841" s="93"/>
      <c r="S841" s="93"/>
      <c r="T841" s="93"/>
      <c r="U841" s="93"/>
      <c r="V841" s="93"/>
      <c r="W841" s="93"/>
    </row>
    <row r="842" spans="2:23" s="14" customFormat="1" ht="17.100000000000001" customHeight="1">
      <c r="B842" s="89"/>
      <c r="C842" s="90"/>
      <c r="D842" s="91"/>
      <c r="E842" s="92"/>
      <c r="F842" s="89"/>
      <c r="G842" s="89"/>
      <c r="H842" s="89"/>
      <c r="I842" s="89"/>
      <c r="J842" s="89"/>
      <c r="K842" s="89"/>
      <c r="L842" s="93"/>
      <c r="M842" s="93"/>
      <c r="N842" s="93"/>
      <c r="O842" s="93"/>
      <c r="P842" s="93"/>
      <c r="Q842" s="93"/>
      <c r="R842" s="93"/>
      <c r="S842" s="93"/>
      <c r="T842" s="93"/>
      <c r="U842" s="93"/>
      <c r="V842" s="93"/>
      <c r="W842" s="93"/>
    </row>
    <row r="843" spans="2:23" s="14" customFormat="1" ht="17.100000000000001" customHeight="1">
      <c r="B843" s="89"/>
      <c r="C843" s="90"/>
      <c r="D843" s="91"/>
      <c r="E843" s="92"/>
      <c r="F843" s="89"/>
      <c r="G843" s="89"/>
      <c r="H843" s="89"/>
      <c r="I843" s="89"/>
      <c r="J843" s="89"/>
      <c r="K843" s="89"/>
      <c r="L843" s="93"/>
      <c r="M843" s="93"/>
      <c r="N843" s="93"/>
      <c r="O843" s="93"/>
      <c r="P843" s="93"/>
      <c r="Q843" s="93"/>
      <c r="R843" s="93"/>
      <c r="S843" s="93"/>
      <c r="T843" s="93"/>
      <c r="U843" s="93"/>
      <c r="V843" s="93"/>
      <c r="W843" s="93"/>
    </row>
    <row r="844" spans="2:23" s="14" customFormat="1" ht="17.100000000000001" customHeight="1">
      <c r="B844" s="89"/>
      <c r="C844" s="90"/>
      <c r="D844" s="91"/>
      <c r="E844" s="92"/>
      <c r="F844" s="89"/>
      <c r="G844" s="89"/>
      <c r="H844" s="89"/>
      <c r="I844" s="89"/>
      <c r="J844" s="89"/>
      <c r="K844" s="89"/>
      <c r="L844" s="93"/>
      <c r="M844" s="93"/>
      <c r="N844" s="93"/>
      <c r="O844" s="93"/>
      <c r="P844" s="93"/>
      <c r="Q844" s="93"/>
      <c r="R844" s="93"/>
      <c r="S844" s="93"/>
      <c r="T844" s="93"/>
      <c r="U844" s="93"/>
      <c r="V844" s="93"/>
      <c r="W844" s="93"/>
    </row>
    <row r="845" spans="2:23" s="14" customFormat="1" ht="17.100000000000001" customHeight="1">
      <c r="B845" s="89"/>
      <c r="C845" s="90"/>
      <c r="D845" s="91"/>
      <c r="E845" s="92"/>
      <c r="F845" s="89"/>
      <c r="G845" s="89"/>
      <c r="H845" s="89"/>
      <c r="I845" s="89"/>
      <c r="J845" s="89"/>
      <c r="K845" s="89"/>
      <c r="L845" s="93"/>
      <c r="M845" s="93"/>
      <c r="N845" s="93"/>
      <c r="O845" s="93"/>
      <c r="P845" s="93"/>
      <c r="Q845" s="93"/>
      <c r="R845" s="93"/>
      <c r="S845" s="93"/>
      <c r="T845" s="93"/>
      <c r="U845" s="93"/>
      <c r="V845" s="93"/>
      <c r="W845" s="93"/>
    </row>
    <row r="846" spans="2:23" s="14" customFormat="1" ht="17.100000000000001" customHeight="1">
      <c r="B846" s="89"/>
      <c r="C846" s="90"/>
      <c r="D846" s="91"/>
      <c r="E846" s="92"/>
      <c r="F846" s="89"/>
      <c r="G846" s="89"/>
      <c r="H846" s="89"/>
      <c r="I846" s="89"/>
      <c r="J846" s="89"/>
      <c r="K846" s="89"/>
      <c r="L846" s="93"/>
      <c r="M846" s="93"/>
      <c r="N846" s="93"/>
      <c r="O846" s="93"/>
      <c r="P846" s="93"/>
      <c r="Q846" s="93"/>
      <c r="R846" s="93"/>
      <c r="S846" s="93"/>
      <c r="T846" s="93"/>
      <c r="U846" s="93"/>
      <c r="V846" s="93"/>
      <c r="W846" s="93"/>
    </row>
    <row r="847" spans="2:23" s="14" customFormat="1" ht="17.100000000000001" customHeight="1">
      <c r="B847" s="89"/>
      <c r="C847" s="90"/>
      <c r="D847" s="91"/>
      <c r="E847" s="92"/>
      <c r="F847" s="89"/>
      <c r="G847" s="89"/>
      <c r="H847" s="89"/>
      <c r="I847" s="89"/>
      <c r="J847" s="89"/>
      <c r="K847" s="89"/>
      <c r="L847" s="93"/>
      <c r="M847" s="93"/>
      <c r="N847" s="93"/>
      <c r="O847" s="93"/>
      <c r="P847" s="93"/>
      <c r="Q847" s="93"/>
      <c r="R847" s="93"/>
      <c r="S847" s="93"/>
      <c r="T847" s="93"/>
      <c r="U847" s="93"/>
      <c r="V847" s="93"/>
      <c r="W847" s="93"/>
    </row>
    <row r="848" spans="2:23" s="14" customFormat="1" ht="17.100000000000001" customHeight="1">
      <c r="B848" s="89"/>
      <c r="C848" s="90"/>
      <c r="D848" s="91"/>
      <c r="E848" s="92"/>
      <c r="F848" s="89"/>
      <c r="G848" s="89"/>
      <c r="H848" s="89"/>
      <c r="I848" s="89"/>
      <c r="J848" s="89"/>
      <c r="K848" s="89"/>
      <c r="L848" s="93"/>
      <c r="M848" s="93"/>
      <c r="N848" s="93"/>
      <c r="O848" s="93"/>
      <c r="P848" s="93"/>
      <c r="Q848" s="93"/>
      <c r="R848" s="93"/>
      <c r="S848" s="93"/>
      <c r="T848" s="93"/>
      <c r="U848" s="93"/>
      <c r="V848" s="93"/>
      <c r="W848" s="93"/>
    </row>
    <row r="849" spans="2:23" s="14" customFormat="1" ht="17.100000000000001" customHeight="1">
      <c r="B849" s="89"/>
      <c r="C849" s="90"/>
      <c r="D849" s="91"/>
      <c r="E849" s="92"/>
      <c r="F849" s="89"/>
      <c r="G849" s="89"/>
      <c r="H849" s="89"/>
      <c r="I849" s="89"/>
      <c r="J849" s="89"/>
      <c r="K849" s="89"/>
      <c r="L849" s="93"/>
      <c r="M849" s="93"/>
      <c r="N849" s="93"/>
      <c r="O849" s="93"/>
      <c r="P849" s="93"/>
      <c r="Q849" s="93"/>
      <c r="R849" s="93"/>
      <c r="S849" s="93"/>
      <c r="T849" s="93"/>
      <c r="U849" s="93"/>
      <c r="V849" s="93"/>
      <c r="W849" s="93"/>
    </row>
    <row r="850" spans="2:23" s="14" customFormat="1" ht="17.100000000000001" customHeight="1">
      <c r="B850" s="89"/>
      <c r="C850" s="90"/>
      <c r="D850" s="91"/>
      <c r="E850" s="92"/>
      <c r="F850" s="89"/>
      <c r="G850" s="89"/>
      <c r="H850" s="89"/>
      <c r="I850" s="89"/>
      <c r="J850" s="89"/>
      <c r="K850" s="89"/>
      <c r="L850" s="93"/>
      <c r="M850" s="93"/>
      <c r="N850" s="93"/>
      <c r="O850" s="93"/>
      <c r="P850" s="93"/>
      <c r="Q850" s="93"/>
      <c r="R850" s="93"/>
      <c r="S850" s="93"/>
      <c r="T850" s="93"/>
      <c r="U850" s="93"/>
      <c r="V850" s="93"/>
      <c r="W850" s="93"/>
    </row>
    <row r="851" spans="2:23" s="14" customFormat="1" ht="17.100000000000001" customHeight="1">
      <c r="B851" s="89"/>
      <c r="C851" s="90"/>
      <c r="D851" s="91"/>
      <c r="E851" s="92"/>
      <c r="F851" s="89"/>
      <c r="G851" s="89"/>
      <c r="H851" s="89"/>
      <c r="I851" s="89"/>
      <c r="J851" s="89"/>
      <c r="K851" s="89"/>
      <c r="L851" s="93"/>
      <c r="M851" s="93"/>
      <c r="N851" s="93"/>
      <c r="O851" s="93"/>
      <c r="P851" s="93"/>
      <c r="Q851" s="93"/>
      <c r="R851" s="93"/>
      <c r="S851" s="93"/>
      <c r="T851" s="93"/>
      <c r="U851" s="93"/>
      <c r="V851" s="93"/>
      <c r="W851" s="93"/>
    </row>
    <row r="852" spans="2:23" s="14" customFormat="1" ht="17.100000000000001" customHeight="1">
      <c r="B852" s="89"/>
      <c r="C852" s="90"/>
      <c r="D852" s="91"/>
      <c r="E852" s="92"/>
      <c r="F852" s="89"/>
      <c r="G852" s="89"/>
      <c r="H852" s="89"/>
      <c r="I852" s="89"/>
      <c r="J852" s="89"/>
      <c r="K852" s="89"/>
      <c r="L852" s="93"/>
      <c r="M852" s="93"/>
      <c r="N852" s="93"/>
      <c r="O852" s="93"/>
      <c r="P852" s="93"/>
      <c r="Q852" s="93"/>
      <c r="R852" s="93"/>
      <c r="S852" s="93"/>
      <c r="T852" s="93"/>
      <c r="U852" s="93"/>
      <c r="V852" s="93"/>
      <c r="W852" s="93"/>
    </row>
    <row r="853" spans="2:23" s="14" customFormat="1" ht="17.100000000000001" customHeight="1">
      <c r="B853" s="89"/>
      <c r="C853" s="90"/>
      <c r="D853" s="91"/>
      <c r="E853" s="92"/>
      <c r="F853" s="89"/>
      <c r="G853" s="89"/>
      <c r="H853" s="89"/>
      <c r="I853" s="89"/>
      <c r="J853" s="89"/>
      <c r="K853" s="89"/>
      <c r="L853" s="93"/>
      <c r="M853" s="93"/>
      <c r="N853" s="93"/>
      <c r="O853" s="93"/>
      <c r="P853" s="93"/>
      <c r="Q853" s="93"/>
      <c r="R853" s="93"/>
      <c r="S853" s="93"/>
      <c r="T853" s="93"/>
      <c r="U853" s="93"/>
      <c r="V853" s="93"/>
      <c r="W853" s="93"/>
    </row>
    <row r="854" spans="2:23" s="14" customFormat="1" ht="17.100000000000001" customHeight="1">
      <c r="B854" s="89"/>
      <c r="C854" s="90"/>
      <c r="D854" s="91"/>
      <c r="E854" s="92"/>
      <c r="F854" s="89"/>
      <c r="G854" s="89"/>
      <c r="H854" s="89"/>
      <c r="I854" s="89"/>
      <c r="J854" s="89"/>
      <c r="K854" s="89"/>
      <c r="L854" s="93"/>
      <c r="M854" s="93"/>
      <c r="N854" s="93"/>
      <c r="O854" s="93"/>
      <c r="P854" s="93"/>
      <c r="Q854" s="93"/>
      <c r="R854" s="93"/>
      <c r="S854" s="93"/>
      <c r="T854" s="93"/>
      <c r="U854" s="93"/>
      <c r="V854" s="93"/>
      <c r="W854" s="93"/>
    </row>
    <row r="855" spans="2:23" s="14" customFormat="1" ht="17.100000000000001" customHeight="1">
      <c r="B855" s="89"/>
      <c r="C855" s="90"/>
      <c r="D855" s="91"/>
      <c r="E855" s="92"/>
      <c r="F855" s="89"/>
      <c r="G855" s="89"/>
      <c r="H855" s="89"/>
      <c r="I855" s="89"/>
      <c r="J855" s="89"/>
      <c r="K855" s="89"/>
      <c r="L855" s="93"/>
      <c r="M855" s="93"/>
      <c r="N855" s="93"/>
      <c r="O855" s="93"/>
      <c r="P855" s="93"/>
      <c r="Q855" s="93"/>
      <c r="R855" s="93"/>
      <c r="S855" s="93"/>
      <c r="T855" s="93"/>
      <c r="U855" s="93"/>
      <c r="V855" s="93"/>
      <c r="W855" s="93"/>
    </row>
    <row r="856" spans="2:23" s="14" customFormat="1" ht="17.100000000000001" customHeight="1">
      <c r="B856" s="89"/>
      <c r="C856" s="90"/>
      <c r="D856" s="91"/>
      <c r="E856" s="92"/>
      <c r="F856" s="89"/>
      <c r="G856" s="89"/>
      <c r="H856" s="89"/>
      <c r="I856" s="89"/>
      <c r="J856" s="89"/>
      <c r="K856" s="89"/>
      <c r="L856" s="93"/>
      <c r="M856" s="93"/>
      <c r="N856" s="93"/>
      <c r="O856" s="93"/>
      <c r="P856" s="93"/>
      <c r="Q856" s="93"/>
      <c r="R856" s="93"/>
      <c r="S856" s="93"/>
      <c r="T856" s="93"/>
      <c r="U856" s="93"/>
      <c r="V856" s="93"/>
      <c r="W856" s="93"/>
    </row>
    <row r="857" spans="2:23" s="14" customFormat="1" ht="17.100000000000001" customHeight="1">
      <c r="B857" s="89"/>
      <c r="C857" s="90"/>
      <c r="D857" s="91"/>
      <c r="E857" s="92"/>
      <c r="F857" s="89"/>
      <c r="G857" s="89"/>
      <c r="H857" s="89"/>
      <c r="I857" s="89"/>
      <c r="J857" s="89"/>
      <c r="K857" s="89"/>
      <c r="L857" s="93"/>
      <c r="M857" s="93"/>
      <c r="N857" s="93"/>
      <c r="O857" s="93"/>
      <c r="P857" s="93"/>
      <c r="Q857" s="93"/>
      <c r="R857" s="93"/>
      <c r="S857" s="93"/>
      <c r="T857" s="93"/>
      <c r="U857" s="93"/>
      <c r="V857" s="93"/>
      <c r="W857" s="93"/>
    </row>
    <row r="858" spans="2:23" s="14" customFormat="1" ht="17.100000000000001" customHeight="1">
      <c r="B858" s="89"/>
      <c r="C858" s="90"/>
      <c r="D858" s="91"/>
      <c r="E858" s="92"/>
      <c r="F858" s="89"/>
      <c r="G858" s="89"/>
      <c r="H858" s="89"/>
      <c r="I858" s="89"/>
      <c r="J858" s="89"/>
      <c r="K858" s="89"/>
      <c r="L858" s="93"/>
      <c r="M858" s="93"/>
      <c r="N858" s="93"/>
      <c r="O858" s="93"/>
      <c r="P858" s="93"/>
      <c r="Q858" s="93"/>
      <c r="R858" s="93"/>
      <c r="S858" s="93"/>
      <c r="T858" s="93"/>
      <c r="U858" s="93"/>
      <c r="V858" s="93"/>
      <c r="W858" s="93"/>
    </row>
    <row r="859" spans="2:23" s="14" customFormat="1" ht="17.100000000000001" customHeight="1">
      <c r="B859" s="89"/>
      <c r="C859" s="90"/>
      <c r="D859" s="91"/>
      <c r="E859" s="92"/>
      <c r="F859" s="89"/>
      <c r="G859" s="89"/>
      <c r="H859" s="89"/>
      <c r="I859" s="89"/>
      <c r="J859" s="89"/>
      <c r="K859" s="89"/>
      <c r="L859" s="93"/>
      <c r="M859" s="93"/>
      <c r="N859" s="93"/>
      <c r="O859" s="93"/>
      <c r="P859" s="93"/>
      <c r="Q859" s="93"/>
      <c r="R859" s="93"/>
      <c r="S859" s="93"/>
      <c r="T859" s="93"/>
      <c r="U859" s="93"/>
      <c r="V859" s="93"/>
      <c r="W859" s="93"/>
    </row>
    <row r="860" spans="2:23" s="14" customFormat="1" ht="17.100000000000001" customHeight="1">
      <c r="B860" s="89"/>
      <c r="C860" s="90"/>
      <c r="D860" s="91"/>
      <c r="E860" s="92"/>
      <c r="F860" s="89"/>
      <c r="G860" s="89"/>
      <c r="H860" s="89"/>
      <c r="I860" s="89"/>
      <c r="J860" s="89"/>
      <c r="K860" s="89"/>
      <c r="L860" s="93"/>
      <c r="M860" s="93"/>
      <c r="N860" s="93"/>
      <c r="O860" s="93"/>
      <c r="P860" s="93"/>
      <c r="Q860" s="93"/>
      <c r="R860" s="93"/>
      <c r="S860" s="93"/>
      <c r="T860" s="93"/>
      <c r="U860" s="93"/>
      <c r="V860" s="93"/>
      <c r="W860" s="93"/>
    </row>
    <row r="861" spans="2:23" s="14" customFormat="1" ht="17.100000000000001" customHeight="1">
      <c r="B861" s="89"/>
      <c r="C861" s="90"/>
      <c r="D861" s="91"/>
      <c r="E861" s="92"/>
      <c r="F861" s="89"/>
      <c r="G861" s="89"/>
      <c r="H861" s="89"/>
      <c r="I861" s="89"/>
      <c r="J861" s="89"/>
      <c r="K861" s="89"/>
      <c r="L861" s="93"/>
      <c r="M861" s="93"/>
      <c r="N861" s="93"/>
      <c r="O861" s="93"/>
      <c r="P861" s="93"/>
      <c r="Q861" s="93"/>
      <c r="R861" s="93"/>
      <c r="S861" s="93"/>
      <c r="T861" s="93"/>
      <c r="U861" s="93"/>
      <c r="V861" s="93"/>
      <c r="W861" s="93"/>
    </row>
    <row r="862" spans="2:23" s="14" customFormat="1" ht="17.100000000000001" customHeight="1">
      <c r="B862" s="89"/>
      <c r="C862" s="90"/>
      <c r="D862" s="91"/>
      <c r="E862" s="92"/>
      <c r="F862" s="89"/>
      <c r="G862" s="89"/>
      <c r="H862" s="89"/>
      <c r="I862" s="89"/>
      <c r="J862" s="89"/>
      <c r="K862" s="89"/>
      <c r="L862" s="93"/>
      <c r="M862" s="93"/>
      <c r="N862" s="93"/>
      <c r="O862" s="93"/>
      <c r="P862" s="93"/>
      <c r="Q862" s="93"/>
      <c r="R862" s="93"/>
      <c r="S862" s="93"/>
      <c r="T862" s="93"/>
      <c r="U862" s="93"/>
      <c r="V862" s="93"/>
      <c r="W862" s="93"/>
    </row>
    <row r="863" spans="2:23" s="14" customFormat="1" ht="17.100000000000001" customHeight="1">
      <c r="B863" s="89"/>
      <c r="C863" s="90"/>
      <c r="D863" s="91"/>
      <c r="E863" s="92"/>
      <c r="F863" s="89"/>
      <c r="G863" s="89"/>
      <c r="H863" s="89"/>
      <c r="I863" s="89"/>
      <c r="J863" s="89"/>
      <c r="K863" s="89"/>
      <c r="L863" s="93"/>
      <c r="M863" s="93"/>
      <c r="N863" s="93"/>
      <c r="O863" s="93"/>
      <c r="P863" s="93"/>
      <c r="Q863" s="93"/>
      <c r="R863" s="93"/>
      <c r="S863" s="93"/>
      <c r="T863" s="93"/>
      <c r="U863" s="93"/>
      <c r="V863" s="93"/>
      <c r="W863" s="93"/>
    </row>
    <row r="864" spans="2:23" s="14" customFormat="1" ht="17.100000000000001" customHeight="1">
      <c r="B864" s="89"/>
      <c r="C864" s="90"/>
      <c r="D864" s="91"/>
      <c r="E864" s="92"/>
      <c r="F864" s="89"/>
      <c r="G864" s="89"/>
      <c r="H864" s="89"/>
      <c r="I864" s="89"/>
      <c r="J864" s="89"/>
      <c r="K864" s="89"/>
      <c r="L864" s="93"/>
      <c r="M864" s="93"/>
      <c r="N864" s="93"/>
      <c r="O864" s="93"/>
      <c r="P864" s="93"/>
      <c r="Q864" s="93"/>
      <c r="R864" s="93"/>
      <c r="S864" s="93"/>
      <c r="T864" s="93"/>
      <c r="U864" s="93"/>
      <c r="V864" s="93"/>
      <c r="W864" s="93"/>
    </row>
    <row r="865" spans="2:23" s="14" customFormat="1" ht="17.100000000000001" customHeight="1">
      <c r="B865" s="89"/>
      <c r="C865" s="90"/>
      <c r="D865" s="91"/>
      <c r="E865" s="92"/>
      <c r="F865" s="89"/>
      <c r="G865" s="89"/>
      <c r="H865" s="89"/>
      <c r="I865" s="89"/>
      <c r="J865" s="89"/>
      <c r="K865" s="89"/>
      <c r="L865" s="93"/>
      <c r="M865" s="93"/>
      <c r="N865" s="93"/>
      <c r="O865" s="93"/>
      <c r="P865" s="93"/>
      <c r="Q865" s="93"/>
      <c r="R865" s="93"/>
      <c r="S865" s="93"/>
      <c r="T865" s="93"/>
      <c r="U865" s="93"/>
      <c r="V865" s="93"/>
      <c r="W865" s="93"/>
    </row>
    <row r="866" spans="2:23" s="14" customFormat="1" ht="17.100000000000001" customHeight="1">
      <c r="B866" s="89"/>
      <c r="C866" s="90"/>
      <c r="D866" s="91"/>
      <c r="E866" s="92"/>
      <c r="F866" s="89"/>
      <c r="G866" s="89"/>
      <c r="H866" s="89"/>
      <c r="I866" s="89"/>
      <c r="J866" s="89"/>
      <c r="K866" s="89"/>
      <c r="L866" s="93"/>
      <c r="M866" s="93"/>
      <c r="N866" s="93"/>
      <c r="O866" s="93"/>
      <c r="P866" s="93"/>
      <c r="Q866" s="93"/>
      <c r="R866" s="93"/>
      <c r="S866" s="93"/>
      <c r="T866" s="93"/>
      <c r="U866" s="93"/>
      <c r="V866" s="93"/>
      <c r="W866" s="93"/>
    </row>
    <row r="867" spans="2:23" s="14" customFormat="1" ht="17.100000000000001" customHeight="1">
      <c r="B867" s="89"/>
      <c r="C867" s="90"/>
      <c r="D867" s="91"/>
      <c r="E867" s="92"/>
      <c r="F867" s="89"/>
      <c r="G867" s="89"/>
      <c r="H867" s="89"/>
      <c r="I867" s="89"/>
      <c r="J867" s="89"/>
      <c r="K867" s="89"/>
      <c r="L867" s="93"/>
      <c r="M867" s="93"/>
      <c r="N867" s="93"/>
      <c r="O867" s="93"/>
      <c r="P867" s="93"/>
      <c r="Q867" s="93"/>
      <c r="R867" s="93"/>
      <c r="S867" s="93"/>
      <c r="T867" s="93"/>
      <c r="U867" s="93"/>
      <c r="V867" s="93"/>
      <c r="W867" s="93"/>
    </row>
    <row r="868" spans="2:23" s="14" customFormat="1" ht="17.100000000000001" customHeight="1">
      <c r="B868" s="89"/>
      <c r="C868" s="90"/>
      <c r="D868" s="91"/>
      <c r="E868" s="92"/>
      <c r="F868" s="89"/>
      <c r="G868" s="89"/>
      <c r="H868" s="89"/>
      <c r="I868" s="89"/>
      <c r="J868" s="89"/>
      <c r="K868" s="89"/>
      <c r="L868" s="93"/>
      <c r="M868" s="93"/>
      <c r="N868" s="93"/>
      <c r="O868" s="93"/>
      <c r="P868" s="93"/>
      <c r="Q868" s="93"/>
      <c r="R868" s="93"/>
      <c r="S868" s="93"/>
      <c r="T868" s="93"/>
      <c r="U868" s="93"/>
      <c r="V868" s="93"/>
      <c r="W868" s="93"/>
    </row>
    <row r="869" spans="2:23" s="14" customFormat="1" ht="17.100000000000001" customHeight="1">
      <c r="B869" s="89"/>
      <c r="C869" s="90"/>
      <c r="D869" s="91"/>
      <c r="E869" s="92"/>
      <c r="F869" s="89"/>
      <c r="G869" s="89"/>
      <c r="H869" s="89"/>
      <c r="I869" s="89"/>
      <c r="J869" s="89"/>
      <c r="K869" s="89"/>
      <c r="L869" s="93"/>
      <c r="M869" s="93"/>
      <c r="N869" s="93"/>
      <c r="O869" s="93"/>
      <c r="P869" s="93"/>
      <c r="Q869" s="93"/>
      <c r="R869" s="93"/>
      <c r="S869" s="93"/>
      <c r="T869" s="93"/>
      <c r="U869" s="93"/>
      <c r="V869" s="93"/>
      <c r="W869" s="93"/>
    </row>
    <row r="870" spans="2:23" s="14" customFormat="1" ht="17.100000000000001" customHeight="1">
      <c r="B870" s="89"/>
      <c r="C870" s="90"/>
      <c r="D870" s="91"/>
      <c r="E870" s="92"/>
      <c r="F870" s="89"/>
      <c r="G870" s="89"/>
      <c r="H870" s="89"/>
      <c r="I870" s="89"/>
      <c r="J870" s="89"/>
      <c r="K870" s="89"/>
      <c r="L870" s="93"/>
      <c r="M870" s="93"/>
      <c r="N870" s="93"/>
      <c r="O870" s="93"/>
      <c r="P870" s="93"/>
      <c r="Q870" s="93"/>
      <c r="R870" s="93"/>
      <c r="S870" s="93"/>
      <c r="T870" s="93"/>
      <c r="U870" s="93"/>
      <c r="V870" s="93"/>
      <c r="W870" s="93"/>
    </row>
    <row r="871" spans="2:23" s="14" customFormat="1" ht="17.100000000000001" customHeight="1">
      <c r="B871" s="89"/>
      <c r="C871" s="90"/>
      <c r="D871" s="91"/>
      <c r="E871" s="92"/>
      <c r="F871" s="89"/>
      <c r="G871" s="89"/>
      <c r="H871" s="89"/>
      <c r="I871" s="89"/>
      <c r="J871" s="89"/>
      <c r="K871" s="89"/>
      <c r="L871" s="93"/>
      <c r="M871" s="93"/>
      <c r="N871" s="93"/>
      <c r="O871" s="93"/>
      <c r="P871" s="93"/>
      <c r="Q871" s="93"/>
      <c r="R871" s="93"/>
      <c r="S871" s="93"/>
      <c r="T871" s="93"/>
      <c r="U871" s="93"/>
      <c r="V871" s="93"/>
      <c r="W871" s="93"/>
    </row>
    <row r="872" spans="2:23" s="14" customFormat="1" ht="17.100000000000001" customHeight="1">
      <c r="B872" s="89"/>
      <c r="C872" s="90"/>
      <c r="D872" s="91"/>
      <c r="E872" s="92"/>
      <c r="F872" s="89"/>
      <c r="G872" s="89"/>
      <c r="H872" s="89"/>
      <c r="I872" s="89"/>
      <c r="J872" s="89"/>
      <c r="K872" s="89"/>
      <c r="L872" s="93"/>
      <c r="M872" s="93"/>
      <c r="N872" s="93"/>
      <c r="O872" s="93"/>
      <c r="P872" s="93"/>
      <c r="Q872" s="93"/>
      <c r="R872" s="93"/>
      <c r="S872" s="93"/>
      <c r="T872" s="93"/>
      <c r="U872" s="93"/>
      <c r="V872" s="93"/>
      <c r="W872" s="93"/>
    </row>
    <row r="873" spans="2:23" s="14" customFormat="1" ht="17.100000000000001" customHeight="1">
      <c r="B873" s="89"/>
      <c r="C873" s="90"/>
      <c r="D873" s="91"/>
      <c r="E873" s="92"/>
      <c r="F873" s="89"/>
      <c r="G873" s="89"/>
      <c r="H873" s="89"/>
      <c r="I873" s="89"/>
      <c r="J873" s="89"/>
      <c r="K873" s="89"/>
      <c r="L873" s="93"/>
      <c r="M873" s="93"/>
      <c r="N873" s="93"/>
      <c r="O873" s="93"/>
      <c r="P873" s="93"/>
      <c r="Q873" s="93"/>
      <c r="R873" s="93"/>
      <c r="S873" s="93"/>
      <c r="T873" s="93"/>
      <c r="U873" s="93"/>
      <c r="V873" s="93"/>
      <c r="W873" s="93"/>
    </row>
    <row r="874" spans="2:23" s="14" customFormat="1" ht="17.100000000000001" customHeight="1">
      <c r="B874" s="89"/>
      <c r="C874" s="90"/>
      <c r="D874" s="91"/>
      <c r="E874" s="92"/>
      <c r="F874" s="89"/>
      <c r="G874" s="89"/>
      <c r="H874" s="89"/>
      <c r="I874" s="89"/>
      <c r="J874" s="89"/>
      <c r="K874" s="89"/>
      <c r="L874" s="93"/>
      <c r="M874" s="93"/>
      <c r="N874" s="93"/>
      <c r="O874" s="93"/>
      <c r="P874" s="93"/>
      <c r="Q874" s="93"/>
      <c r="R874" s="93"/>
      <c r="S874" s="93"/>
      <c r="T874" s="93"/>
      <c r="U874" s="93"/>
      <c r="V874" s="93"/>
      <c r="W874" s="93"/>
    </row>
    <row r="875" spans="2:23" s="14" customFormat="1" ht="17.100000000000001" customHeight="1">
      <c r="B875" s="89"/>
      <c r="C875" s="90"/>
      <c r="D875" s="91"/>
      <c r="E875" s="92"/>
      <c r="F875" s="89"/>
      <c r="G875" s="89"/>
      <c r="H875" s="89"/>
      <c r="I875" s="89"/>
      <c r="J875" s="89"/>
      <c r="K875" s="89"/>
      <c r="L875" s="93"/>
      <c r="M875" s="93"/>
      <c r="N875" s="93"/>
      <c r="O875" s="93"/>
      <c r="P875" s="93"/>
      <c r="Q875" s="93"/>
      <c r="R875" s="93"/>
      <c r="S875" s="93"/>
      <c r="T875" s="93"/>
      <c r="U875" s="93"/>
      <c r="V875" s="93"/>
      <c r="W875" s="93"/>
    </row>
    <row r="876" spans="2:23" s="14" customFormat="1" ht="17.100000000000001" customHeight="1">
      <c r="B876" s="89"/>
      <c r="C876" s="90"/>
      <c r="D876" s="91"/>
      <c r="E876" s="92"/>
      <c r="F876" s="89"/>
      <c r="G876" s="89"/>
      <c r="H876" s="89"/>
      <c r="I876" s="89"/>
      <c r="J876" s="89"/>
      <c r="K876" s="89"/>
      <c r="L876" s="93"/>
      <c r="M876" s="93"/>
      <c r="N876" s="93"/>
      <c r="O876" s="93"/>
      <c r="P876" s="93"/>
      <c r="Q876" s="93"/>
      <c r="R876" s="93"/>
      <c r="S876" s="93"/>
      <c r="T876" s="93"/>
      <c r="U876" s="93"/>
      <c r="V876" s="93"/>
      <c r="W876" s="93"/>
    </row>
    <row r="877" spans="2:23" s="14" customFormat="1" ht="17.100000000000001" customHeight="1">
      <c r="B877" s="89"/>
      <c r="C877" s="90"/>
      <c r="D877" s="91"/>
      <c r="E877" s="92"/>
      <c r="F877" s="89"/>
      <c r="G877" s="89"/>
      <c r="H877" s="89"/>
      <c r="I877" s="89"/>
      <c r="J877" s="89"/>
      <c r="K877" s="89"/>
      <c r="L877" s="93"/>
      <c r="M877" s="93"/>
      <c r="N877" s="93"/>
      <c r="O877" s="93"/>
      <c r="P877" s="93"/>
      <c r="Q877" s="93"/>
      <c r="R877" s="93"/>
      <c r="S877" s="93"/>
      <c r="T877" s="93"/>
      <c r="U877" s="93"/>
      <c r="V877" s="93"/>
      <c r="W877" s="93"/>
    </row>
    <row r="878" spans="2:23" s="14" customFormat="1" ht="17.100000000000001" customHeight="1">
      <c r="B878" s="89"/>
      <c r="C878" s="90"/>
      <c r="D878" s="91"/>
      <c r="E878" s="92"/>
      <c r="F878" s="89"/>
      <c r="G878" s="89"/>
      <c r="H878" s="89"/>
      <c r="I878" s="89"/>
      <c r="J878" s="89"/>
      <c r="K878" s="89"/>
      <c r="L878" s="93"/>
      <c r="M878" s="93"/>
      <c r="N878" s="93"/>
      <c r="O878" s="93"/>
      <c r="P878" s="93"/>
      <c r="Q878" s="93"/>
      <c r="R878" s="93"/>
      <c r="S878" s="93"/>
      <c r="T878" s="93"/>
      <c r="U878" s="93"/>
      <c r="V878" s="93"/>
      <c r="W878" s="93"/>
    </row>
    <row r="879" spans="2:23" s="14" customFormat="1" ht="17.100000000000001" customHeight="1">
      <c r="B879" s="89"/>
      <c r="C879" s="90"/>
      <c r="D879" s="91"/>
      <c r="E879" s="92"/>
      <c r="F879" s="89"/>
      <c r="G879" s="89"/>
      <c r="H879" s="89"/>
      <c r="I879" s="89"/>
      <c r="J879" s="89"/>
      <c r="K879" s="89"/>
      <c r="L879" s="93"/>
      <c r="M879" s="93"/>
      <c r="N879" s="93"/>
      <c r="O879" s="93"/>
      <c r="P879" s="93"/>
      <c r="Q879" s="93"/>
      <c r="R879" s="93"/>
      <c r="S879" s="93"/>
      <c r="T879" s="93"/>
      <c r="U879" s="93"/>
      <c r="V879" s="93"/>
      <c r="W879" s="93"/>
    </row>
    <row r="880" spans="2:23" s="14" customFormat="1" ht="17.100000000000001" customHeight="1">
      <c r="B880" s="89"/>
      <c r="C880" s="90"/>
      <c r="D880" s="91"/>
      <c r="E880" s="92"/>
      <c r="F880" s="89"/>
      <c r="G880" s="89"/>
      <c r="H880" s="89"/>
      <c r="I880" s="89"/>
      <c r="J880" s="89"/>
      <c r="K880" s="89"/>
      <c r="L880" s="93"/>
      <c r="M880" s="93"/>
      <c r="N880" s="93"/>
      <c r="O880" s="93"/>
      <c r="P880" s="93"/>
      <c r="Q880" s="93"/>
      <c r="R880" s="93"/>
      <c r="S880" s="93"/>
      <c r="T880" s="93"/>
      <c r="U880" s="93"/>
      <c r="V880" s="93"/>
      <c r="W880" s="93"/>
    </row>
    <row r="881" spans="2:23" s="14" customFormat="1" ht="17.100000000000001" customHeight="1">
      <c r="B881" s="89"/>
      <c r="C881" s="90"/>
      <c r="D881" s="91"/>
      <c r="E881" s="92"/>
      <c r="F881" s="89"/>
      <c r="G881" s="89"/>
      <c r="H881" s="89"/>
      <c r="I881" s="89"/>
      <c r="J881" s="89"/>
      <c r="K881" s="89"/>
      <c r="L881" s="93"/>
      <c r="M881" s="93"/>
      <c r="N881" s="93"/>
      <c r="O881" s="93"/>
      <c r="P881" s="93"/>
      <c r="Q881" s="93"/>
      <c r="R881" s="93"/>
      <c r="S881" s="93"/>
      <c r="T881" s="93"/>
      <c r="U881" s="93"/>
      <c r="V881" s="93"/>
      <c r="W881" s="93"/>
    </row>
    <row r="882" spans="2:23" s="14" customFormat="1" ht="17.100000000000001" customHeight="1">
      <c r="B882" s="89"/>
      <c r="C882" s="90"/>
      <c r="D882" s="91"/>
      <c r="E882" s="92"/>
      <c r="F882" s="89"/>
      <c r="G882" s="89"/>
      <c r="H882" s="89"/>
      <c r="I882" s="89"/>
      <c r="J882" s="89"/>
      <c r="K882" s="89"/>
      <c r="L882" s="93"/>
      <c r="M882" s="93"/>
      <c r="N882" s="93"/>
      <c r="O882" s="93"/>
      <c r="P882" s="93"/>
      <c r="Q882" s="93"/>
      <c r="R882" s="93"/>
      <c r="S882" s="93"/>
      <c r="T882" s="93"/>
      <c r="U882" s="93"/>
      <c r="V882" s="93"/>
      <c r="W882" s="93"/>
    </row>
    <row r="883" spans="2:23" s="14" customFormat="1" ht="17.100000000000001" customHeight="1">
      <c r="B883" s="89"/>
      <c r="C883" s="90"/>
      <c r="D883" s="91"/>
      <c r="E883" s="92"/>
      <c r="F883" s="89"/>
      <c r="G883" s="89"/>
      <c r="H883" s="89"/>
      <c r="I883" s="89"/>
      <c r="J883" s="89"/>
      <c r="K883" s="89"/>
      <c r="L883" s="93"/>
      <c r="M883" s="93"/>
      <c r="N883" s="93"/>
      <c r="O883" s="93"/>
      <c r="P883" s="93"/>
      <c r="Q883" s="93"/>
      <c r="R883" s="93"/>
      <c r="S883" s="93"/>
      <c r="T883" s="93"/>
      <c r="U883" s="93"/>
      <c r="V883" s="93"/>
      <c r="W883" s="93"/>
    </row>
    <row r="884" spans="2:23" s="14" customFormat="1" ht="17.100000000000001" customHeight="1">
      <c r="B884" s="89"/>
      <c r="C884" s="90"/>
      <c r="D884" s="91"/>
      <c r="E884" s="92"/>
      <c r="F884" s="89"/>
      <c r="G884" s="89"/>
      <c r="H884" s="89"/>
      <c r="I884" s="89"/>
      <c r="J884" s="89"/>
      <c r="K884" s="89"/>
      <c r="L884" s="93"/>
      <c r="M884" s="93"/>
      <c r="N884" s="93"/>
      <c r="O884" s="93"/>
      <c r="P884" s="93"/>
      <c r="Q884" s="93"/>
      <c r="R884" s="93"/>
      <c r="S884" s="93"/>
      <c r="T884" s="93"/>
      <c r="U884" s="93"/>
      <c r="V884" s="93"/>
      <c r="W884" s="93"/>
    </row>
    <row r="885" spans="2:23" s="14" customFormat="1" ht="17.100000000000001" customHeight="1">
      <c r="B885" s="89"/>
      <c r="C885" s="90"/>
      <c r="D885" s="91"/>
      <c r="E885" s="92"/>
      <c r="F885" s="89"/>
      <c r="G885" s="89"/>
      <c r="H885" s="89"/>
      <c r="I885" s="89"/>
      <c r="J885" s="89"/>
      <c r="K885" s="89"/>
      <c r="L885" s="93"/>
      <c r="M885" s="93"/>
      <c r="N885" s="93"/>
      <c r="O885" s="93"/>
      <c r="P885" s="93"/>
      <c r="Q885" s="93"/>
      <c r="R885" s="93"/>
      <c r="S885" s="93"/>
      <c r="T885" s="93"/>
      <c r="U885" s="93"/>
      <c r="V885" s="93"/>
      <c r="W885" s="93"/>
    </row>
    <row r="886" spans="2:23" s="14" customFormat="1" ht="17.100000000000001" customHeight="1">
      <c r="B886" s="89"/>
      <c r="C886" s="90"/>
      <c r="D886" s="91"/>
      <c r="E886" s="92"/>
      <c r="F886" s="89"/>
      <c r="G886" s="89"/>
      <c r="H886" s="89"/>
      <c r="I886" s="89"/>
      <c r="J886" s="89"/>
      <c r="K886" s="89"/>
      <c r="L886" s="93"/>
      <c r="M886" s="93"/>
      <c r="N886" s="93"/>
      <c r="O886" s="93"/>
      <c r="P886" s="93"/>
      <c r="Q886" s="93"/>
      <c r="R886" s="93"/>
      <c r="S886" s="93"/>
      <c r="T886" s="93"/>
      <c r="U886" s="93"/>
      <c r="V886" s="93"/>
      <c r="W886" s="93"/>
    </row>
    <row r="887" spans="2:23" s="14" customFormat="1" ht="17.100000000000001" customHeight="1">
      <c r="B887" s="89"/>
      <c r="C887" s="90"/>
      <c r="D887" s="91"/>
      <c r="E887" s="92"/>
      <c r="F887" s="89"/>
      <c r="G887" s="89"/>
      <c r="H887" s="89"/>
      <c r="I887" s="89"/>
      <c r="J887" s="89"/>
      <c r="K887" s="89"/>
      <c r="L887" s="93"/>
      <c r="M887" s="93"/>
      <c r="N887" s="93"/>
      <c r="O887" s="93"/>
      <c r="P887" s="93"/>
      <c r="Q887" s="93"/>
      <c r="R887" s="93"/>
      <c r="S887" s="93"/>
      <c r="T887" s="93"/>
      <c r="U887" s="93"/>
      <c r="V887" s="93"/>
      <c r="W887" s="93"/>
    </row>
    <row r="888" spans="2:23" s="14" customFormat="1" ht="17.100000000000001" customHeight="1">
      <c r="B888" s="89"/>
      <c r="C888" s="90"/>
      <c r="D888" s="91"/>
      <c r="E888" s="92"/>
      <c r="F888" s="89"/>
      <c r="G888" s="89"/>
      <c r="H888" s="89"/>
      <c r="I888" s="89"/>
      <c r="J888" s="89"/>
      <c r="K888" s="89"/>
      <c r="L888" s="93"/>
      <c r="M888" s="93"/>
      <c r="N888" s="93"/>
      <c r="O888" s="93"/>
      <c r="P888" s="93"/>
      <c r="Q888" s="93"/>
      <c r="R888" s="93"/>
      <c r="S888" s="93"/>
      <c r="T888" s="93"/>
      <c r="U888" s="93"/>
      <c r="V888" s="93"/>
      <c r="W888" s="93"/>
    </row>
    <row r="889" spans="2:23" s="14" customFormat="1" ht="17.100000000000001" customHeight="1">
      <c r="B889" s="89"/>
      <c r="C889" s="90"/>
      <c r="D889" s="91"/>
      <c r="E889" s="92"/>
      <c r="F889" s="89"/>
      <c r="G889" s="89"/>
      <c r="H889" s="89"/>
      <c r="I889" s="89"/>
      <c r="J889" s="89"/>
      <c r="K889" s="89"/>
      <c r="L889" s="93"/>
      <c r="M889" s="93"/>
      <c r="N889" s="93"/>
      <c r="O889" s="93"/>
      <c r="P889" s="93"/>
      <c r="Q889" s="93"/>
      <c r="R889" s="93"/>
      <c r="S889" s="93"/>
      <c r="T889" s="93"/>
      <c r="U889" s="93"/>
      <c r="V889" s="93"/>
      <c r="W889" s="93"/>
    </row>
    <row r="890" spans="2:23" s="14" customFormat="1" ht="17.100000000000001" customHeight="1">
      <c r="B890" s="89"/>
      <c r="C890" s="90"/>
      <c r="D890" s="91"/>
      <c r="E890" s="92"/>
      <c r="F890" s="89"/>
      <c r="G890" s="89"/>
      <c r="H890" s="89"/>
      <c r="I890" s="89"/>
      <c r="J890" s="89"/>
      <c r="K890" s="89"/>
      <c r="L890" s="93"/>
      <c r="M890" s="93"/>
      <c r="N890" s="93"/>
      <c r="O890" s="93"/>
      <c r="P890" s="93"/>
      <c r="Q890" s="93"/>
      <c r="R890" s="93"/>
      <c r="S890" s="93"/>
      <c r="T890" s="93"/>
      <c r="U890" s="93"/>
      <c r="V890" s="93"/>
      <c r="W890" s="93"/>
    </row>
    <row r="891" spans="2:23" s="14" customFormat="1" ht="17.100000000000001" customHeight="1">
      <c r="B891" s="89"/>
      <c r="C891" s="90"/>
      <c r="D891" s="91"/>
      <c r="E891" s="92"/>
      <c r="F891" s="89"/>
      <c r="G891" s="89"/>
      <c r="H891" s="89"/>
      <c r="I891" s="89"/>
      <c r="J891" s="89"/>
      <c r="K891" s="89"/>
      <c r="L891" s="93"/>
      <c r="M891" s="93"/>
      <c r="N891" s="93"/>
      <c r="O891" s="93"/>
      <c r="P891" s="93"/>
      <c r="Q891" s="93"/>
      <c r="R891" s="93"/>
      <c r="S891" s="93"/>
      <c r="T891" s="93"/>
      <c r="U891" s="93"/>
      <c r="V891" s="93"/>
      <c r="W891" s="93"/>
    </row>
    <row r="892" spans="2:23" s="14" customFormat="1" ht="17.100000000000001" customHeight="1">
      <c r="B892" s="89"/>
      <c r="C892" s="90"/>
      <c r="D892" s="91"/>
      <c r="E892" s="92"/>
      <c r="F892" s="89"/>
      <c r="G892" s="89"/>
      <c r="H892" s="89"/>
      <c r="I892" s="89"/>
      <c r="J892" s="89"/>
      <c r="K892" s="89"/>
      <c r="L892" s="93"/>
      <c r="M892" s="93"/>
      <c r="N892" s="93"/>
      <c r="O892" s="93"/>
      <c r="P892" s="93"/>
      <c r="Q892" s="93"/>
      <c r="R892" s="93"/>
      <c r="S892" s="93"/>
      <c r="T892" s="93"/>
      <c r="U892" s="93"/>
      <c r="V892" s="93"/>
      <c r="W892" s="93"/>
    </row>
    <row r="893" spans="2:23" s="14" customFormat="1" ht="17.100000000000001" customHeight="1">
      <c r="B893" s="89"/>
      <c r="C893" s="90"/>
      <c r="D893" s="91"/>
      <c r="E893" s="92"/>
      <c r="F893" s="89"/>
      <c r="G893" s="89"/>
      <c r="H893" s="89"/>
      <c r="I893" s="89"/>
      <c r="J893" s="89"/>
      <c r="K893" s="89"/>
      <c r="L893" s="93"/>
      <c r="M893" s="93"/>
      <c r="N893" s="93"/>
      <c r="O893" s="93"/>
      <c r="P893" s="93"/>
      <c r="Q893" s="93"/>
      <c r="R893" s="93"/>
      <c r="S893" s="93"/>
      <c r="T893" s="93"/>
      <c r="U893" s="93"/>
      <c r="V893" s="93"/>
      <c r="W893" s="93"/>
    </row>
    <row r="894" spans="2:23" s="14" customFormat="1" ht="17.100000000000001" customHeight="1">
      <c r="B894" s="89"/>
      <c r="C894" s="90"/>
      <c r="D894" s="91"/>
      <c r="E894" s="92"/>
      <c r="F894" s="89"/>
      <c r="G894" s="89"/>
      <c r="H894" s="89"/>
      <c r="I894" s="89"/>
      <c r="J894" s="89"/>
      <c r="K894" s="89"/>
      <c r="L894" s="93"/>
      <c r="M894" s="93"/>
      <c r="N894" s="93"/>
      <c r="O894" s="93"/>
      <c r="P894" s="93"/>
      <c r="Q894" s="93"/>
      <c r="R894" s="93"/>
      <c r="S894" s="93"/>
      <c r="T894" s="93"/>
      <c r="U894" s="93"/>
      <c r="V894" s="93"/>
      <c r="W894" s="93"/>
    </row>
    <row r="895" spans="2:23" s="14" customFormat="1" ht="17.100000000000001" customHeight="1">
      <c r="B895" s="89"/>
      <c r="C895" s="90"/>
      <c r="D895" s="91"/>
      <c r="E895" s="92"/>
      <c r="F895" s="89"/>
      <c r="G895" s="89"/>
      <c r="H895" s="89"/>
      <c r="I895" s="89"/>
      <c r="J895" s="89"/>
      <c r="K895" s="89"/>
      <c r="L895" s="93"/>
      <c r="M895" s="93"/>
      <c r="N895" s="93"/>
      <c r="O895" s="93"/>
      <c r="P895" s="93"/>
      <c r="Q895" s="93"/>
      <c r="R895" s="93"/>
      <c r="S895" s="93"/>
      <c r="T895" s="93"/>
      <c r="U895" s="93"/>
      <c r="V895" s="93"/>
      <c r="W895" s="93"/>
    </row>
    <row r="896" spans="2:23" s="14" customFormat="1" ht="17.100000000000001" customHeight="1">
      <c r="B896" s="89"/>
      <c r="C896" s="90"/>
      <c r="D896" s="91"/>
      <c r="E896" s="92"/>
      <c r="F896" s="89"/>
      <c r="G896" s="89"/>
      <c r="H896" s="89"/>
      <c r="I896" s="89"/>
      <c r="J896" s="89"/>
      <c r="K896" s="89"/>
      <c r="L896" s="93"/>
      <c r="M896" s="93"/>
      <c r="N896" s="93"/>
      <c r="O896" s="93"/>
      <c r="P896" s="93"/>
      <c r="Q896" s="93"/>
      <c r="R896" s="93"/>
      <c r="S896" s="93"/>
      <c r="T896" s="93"/>
      <c r="U896" s="93"/>
      <c r="V896" s="93"/>
      <c r="W896" s="93"/>
    </row>
    <row r="897" spans="2:23" s="14" customFormat="1" ht="17.100000000000001" customHeight="1">
      <c r="B897" s="89"/>
      <c r="C897" s="90"/>
      <c r="D897" s="91"/>
      <c r="E897" s="92"/>
      <c r="F897" s="89"/>
      <c r="G897" s="89"/>
      <c r="H897" s="89"/>
      <c r="I897" s="89"/>
      <c r="J897" s="89"/>
      <c r="K897" s="89"/>
      <c r="L897" s="93"/>
      <c r="M897" s="93"/>
      <c r="N897" s="93"/>
      <c r="O897" s="93"/>
      <c r="P897" s="93"/>
      <c r="Q897" s="93"/>
      <c r="R897" s="93"/>
      <c r="S897" s="93"/>
      <c r="T897" s="93"/>
      <c r="U897" s="93"/>
      <c r="V897" s="93"/>
      <c r="W897" s="93"/>
    </row>
    <row r="898" spans="2:23" s="14" customFormat="1" ht="17.100000000000001" customHeight="1">
      <c r="B898" s="89"/>
      <c r="C898" s="90"/>
      <c r="D898" s="91"/>
      <c r="E898" s="92"/>
      <c r="F898" s="89"/>
      <c r="G898" s="89"/>
      <c r="H898" s="89"/>
      <c r="I898" s="89"/>
      <c r="J898" s="89"/>
      <c r="K898" s="89"/>
      <c r="L898" s="93"/>
      <c r="M898" s="93"/>
      <c r="N898" s="93"/>
      <c r="O898" s="93"/>
      <c r="P898" s="93"/>
      <c r="Q898" s="93"/>
      <c r="R898" s="93"/>
      <c r="S898" s="93"/>
      <c r="T898" s="93"/>
      <c r="U898" s="93"/>
      <c r="V898" s="93"/>
      <c r="W898" s="93"/>
    </row>
    <row r="899" spans="2:23" s="14" customFormat="1" ht="17.100000000000001" customHeight="1">
      <c r="B899" s="89"/>
      <c r="C899" s="90"/>
      <c r="D899" s="91"/>
      <c r="E899" s="92"/>
      <c r="F899" s="89"/>
      <c r="G899" s="89"/>
      <c r="H899" s="89"/>
      <c r="I899" s="89"/>
      <c r="J899" s="89"/>
      <c r="K899" s="89"/>
      <c r="L899" s="93"/>
      <c r="M899" s="93"/>
      <c r="N899" s="93"/>
      <c r="O899" s="93"/>
      <c r="P899" s="93"/>
      <c r="Q899" s="93"/>
      <c r="R899" s="93"/>
      <c r="S899" s="93"/>
      <c r="T899" s="93"/>
      <c r="U899" s="93"/>
      <c r="V899" s="93"/>
      <c r="W899" s="93"/>
    </row>
    <row r="900" spans="2:23" s="14" customFormat="1" ht="17.100000000000001" customHeight="1">
      <c r="B900" s="89"/>
      <c r="C900" s="90"/>
      <c r="D900" s="91"/>
      <c r="E900" s="92"/>
      <c r="F900" s="89"/>
      <c r="G900" s="89"/>
      <c r="H900" s="89"/>
      <c r="I900" s="89"/>
      <c r="J900" s="89"/>
      <c r="K900" s="89"/>
      <c r="L900" s="93"/>
      <c r="M900" s="93"/>
      <c r="N900" s="93"/>
      <c r="O900" s="93"/>
      <c r="P900" s="93"/>
      <c r="Q900" s="93"/>
      <c r="R900" s="93"/>
      <c r="S900" s="93"/>
      <c r="T900" s="93"/>
      <c r="U900" s="93"/>
      <c r="V900" s="93"/>
      <c r="W900" s="93"/>
    </row>
    <row r="901" spans="2:23" s="14" customFormat="1" ht="17.100000000000001" customHeight="1">
      <c r="B901" s="89"/>
      <c r="C901" s="90"/>
      <c r="D901" s="91"/>
      <c r="E901" s="92"/>
      <c r="F901" s="89"/>
      <c r="G901" s="89"/>
      <c r="H901" s="89"/>
      <c r="I901" s="89"/>
      <c r="J901" s="89"/>
      <c r="K901" s="89"/>
      <c r="L901" s="93"/>
      <c r="M901" s="93"/>
      <c r="N901" s="93"/>
      <c r="O901" s="93"/>
      <c r="P901" s="93"/>
      <c r="Q901" s="93"/>
      <c r="R901" s="93"/>
      <c r="S901" s="93"/>
      <c r="T901" s="93"/>
      <c r="U901" s="93"/>
      <c r="V901" s="93"/>
      <c r="W901" s="93"/>
    </row>
    <row r="902" spans="2:23" s="14" customFormat="1" ht="17.100000000000001" customHeight="1">
      <c r="B902" s="89"/>
      <c r="C902" s="90"/>
      <c r="D902" s="91"/>
      <c r="E902" s="92"/>
      <c r="F902" s="89"/>
      <c r="G902" s="89"/>
      <c r="H902" s="89"/>
      <c r="I902" s="89"/>
      <c r="J902" s="89"/>
      <c r="K902" s="89"/>
      <c r="L902" s="93"/>
      <c r="M902" s="93"/>
      <c r="N902" s="93"/>
      <c r="O902" s="93"/>
      <c r="P902" s="93"/>
      <c r="Q902" s="93"/>
      <c r="R902" s="93"/>
      <c r="S902" s="93"/>
      <c r="T902" s="93"/>
      <c r="U902" s="93"/>
      <c r="V902" s="93"/>
      <c r="W902" s="93"/>
    </row>
    <row r="903" spans="2:23" s="14" customFormat="1" ht="17.100000000000001" customHeight="1">
      <c r="B903" s="89"/>
      <c r="C903" s="90"/>
      <c r="D903" s="91"/>
      <c r="E903" s="92"/>
      <c r="F903" s="89"/>
      <c r="G903" s="89"/>
      <c r="H903" s="89"/>
      <c r="I903" s="89"/>
      <c r="J903" s="89"/>
      <c r="K903" s="89"/>
      <c r="L903" s="93"/>
      <c r="M903" s="93"/>
      <c r="N903" s="93"/>
      <c r="O903" s="93"/>
      <c r="P903" s="93"/>
      <c r="Q903" s="93"/>
      <c r="R903" s="93"/>
      <c r="S903" s="93"/>
      <c r="T903" s="93"/>
      <c r="U903" s="93"/>
      <c r="V903" s="93"/>
      <c r="W903" s="93"/>
    </row>
    <row r="904" spans="2:23" s="14" customFormat="1" ht="17.100000000000001" customHeight="1">
      <c r="B904" s="89"/>
      <c r="C904" s="90"/>
      <c r="D904" s="91"/>
      <c r="E904" s="92"/>
      <c r="F904" s="89"/>
      <c r="G904" s="89"/>
      <c r="H904" s="89"/>
      <c r="I904" s="89"/>
      <c r="J904" s="89"/>
      <c r="K904" s="89"/>
      <c r="L904" s="93"/>
      <c r="M904" s="93"/>
      <c r="N904" s="93"/>
      <c r="O904" s="93"/>
      <c r="P904" s="93"/>
      <c r="Q904" s="93"/>
      <c r="R904" s="93"/>
      <c r="S904" s="93"/>
      <c r="T904" s="93"/>
      <c r="U904" s="93"/>
      <c r="V904" s="93"/>
      <c r="W904" s="93"/>
    </row>
    <row r="905" spans="2:23" s="14" customFormat="1" ht="17.100000000000001" customHeight="1">
      <c r="B905" s="89"/>
      <c r="C905" s="90"/>
      <c r="D905" s="91"/>
      <c r="E905" s="92"/>
      <c r="F905" s="89"/>
      <c r="G905" s="89"/>
      <c r="H905" s="89"/>
      <c r="I905" s="89"/>
      <c r="J905" s="89"/>
      <c r="K905" s="89"/>
      <c r="L905" s="93"/>
      <c r="M905" s="93"/>
      <c r="N905" s="93"/>
      <c r="O905" s="93"/>
      <c r="P905" s="93"/>
      <c r="Q905" s="93"/>
      <c r="R905" s="93"/>
      <c r="S905" s="93"/>
      <c r="T905" s="93"/>
      <c r="U905" s="93"/>
      <c r="V905" s="93"/>
      <c r="W905" s="93"/>
    </row>
    <row r="906" spans="2:23" s="14" customFormat="1" ht="17.100000000000001" customHeight="1">
      <c r="B906" s="89"/>
      <c r="C906" s="90"/>
      <c r="D906" s="91"/>
      <c r="E906" s="92"/>
      <c r="F906" s="89"/>
      <c r="G906" s="89"/>
      <c r="H906" s="89"/>
      <c r="I906" s="89"/>
      <c r="J906" s="89"/>
      <c r="K906" s="89"/>
      <c r="L906" s="93"/>
      <c r="M906" s="93"/>
      <c r="N906" s="93"/>
      <c r="O906" s="93"/>
      <c r="P906" s="93"/>
      <c r="Q906" s="93"/>
      <c r="R906" s="93"/>
      <c r="S906" s="93"/>
      <c r="T906" s="93"/>
      <c r="U906" s="93"/>
      <c r="V906" s="93"/>
      <c r="W906" s="93"/>
    </row>
    <row r="907" spans="2:23" s="14" customFormat="1" ht="17.100000000000001" customHeight="1">
      <c r="B907" s="89"/>
      <c r="C907" s="90"/>
      <c r="D907" s="91"/>
      <c r="E907" s="92"/>
      <c r="F907" s="89"/>
      <c r="G907" s="89"/>
      <c r="H907" s="89"/>
      <c r="I907" s="89"/>
      <c r="J907" s="89"/>
      <c r="K907" s="89"/>
      <c r="L907" s="93"/>
      <c r="M907" s="93"/>
      <c r="N907" s="93"/>
      <c r="O907" s="93"/>
      <c r="P907" s="93"/>
      <c r="Q907" s="93"/>
      <c r="R907" s="93"/>
      <c r="S907" s="93"/>
      <c r="T907" s="93"/>
      <c r="U907" s="93"/>
      <c r="V907" s="93"/>
      <c r="W907" s="93"/>
    </row>
    <row r="908" spans="2:23" s="14" customFormat="1" ht="17.100000000000001" customHeight="1">
      <c r="B908" s="89"/>
      <c r="C908" s="90"/>
      <c r="D908" s="91"/>
      <c r="E908" s="92"/>
      <c r="F908" s="89"/>
      <c r="G908" s="89"/>
      <c r="H908" s="89"/>
      <c r="I908" s="89"/>
      <c r="J908" s="89"/>
      <c r="K908" s="89"/>
      <c r="L908" s="93"/>
      <c r="M908" s="93"/>
      <c r="N908" s="93"/>
      <c r="O908" s="93"/>
      <c r="P908" s="93"/>
      <c r="Q908" s="93"/>
      <c r="R908" s="93"/>
      <c r="S908" s="93"/>
      <c r="T908" s="93"/>
      <c r="U908" s="93"/>
      <c r="V908" s="93"/>
      <c r="W908" s="93"/>
    </row>
    <row r="909" spans="2:23" s="14" customFormat="1" ht="17.100000000000001" customHeight="1">
      <c r="B909" s="89"/>
      <c r="C909" s="90"/>
      <c r="D909" s="91"/>
      <c r="E909" s="92"/>
      <c r="F909" s="89"/>
      <c r="G909" s="89"/>
      <c r="H909" s="89"/>
      <c r="I909" s="89"/>
      <c r="J909" s="89"/>
      <c r="K909" s="89"/>
      <c r="L909" s="93"/>
      <c r="M909" s="93"/>
      <c r="N909" s="93"/>
      <c r="O909" s="93"/>
      <c r="P909" s="93"/>
      <c r="Q909" s="93"/>
      <c r="R909" s="93"/>
      <c r="S909" s="93"/>
      <c r="T909" s="93"/>
      <c r="U909" s="93"/>
      <c r="V909" s="93"/>
      <c r="W909" s="93"/>
    </row>
    <row r="910" spans="2:23" s="14" customFormat="1" ht="17.100000000000001" customHeight="1">
      <c r="B910" s="89"/>
      <c r="C910" s="90"/>
      <c r="D910" s="91"/>
      <c r="E910" s="92"/>
      <c r="F910" s="89"/>
      <c r="G910" s="89"/>
      <c r="H910" s="89"/>
      <c r="I910" s="89"/>
      <c r="J910" s="89"/>
      <c r="K910" s="89"/>
      <c r="L910" s="93"/>
      <c r="M910" s="93"/>
      <c r="N910" s="93"/>
      <c r="O910" s="93"/>
      <c r="P910" s="93"/>
      <c r="Q910" s="93"/>
      <c r="R910" s="93"/>
      <c r="S910" s="93"/>
      <c r="T910" s="93"/>
      <c r="U910" s="93"/>
      <c r="V910" s="93"/>
      <c r="W910" s="93"/>
    </row>
    <row r="911" spans="2:23" s="14" customFormat="1" ht="17.100000000000001" customHeight="1">
      <c r="B911" s="89"/>
      <c r="C911" s="90"/>
      <c r="D911" s="91"/>
      <c r="E911" s="92"/>
      <c r="F911" s="89"/>
      <c r="G911" s="89"/>
      <c r="H911" s="89"/>
      <c r="I911" s="89"/>
      <c r="J911" s="89"/>
      <c r="K911" s="89"/>
      <c r="L911" s="93"/>
      <c r="M911" s="93"/>
      <c r="N911" s="93"/>
      <c r="O911" s="93"/>
      <c r="P911" s="93"/>
      <c r="Q911" s="93"/>
      <c r="R911" s="93"/>
      <c r="S911" s="93"/>
      <c r="T911" s="93"/>
      <c r="U911" s="93"/>
      <c r="V911" s="93"/>
      <c r="W911" s="93"/>
    </row>
    <row r="912" spans="2:23" s="14" customFormat="1" ht="17.100000000000001" customHeight="1">
      <c r="B912" s="89"/>
      <c r="C912" s="90"/>
      <c r="D912" s="91"/>
      <c r="E912" s="92"/>
      <c r="F912" s="89"/>
      <c r="G912" s="89"/>
      <c r="H912" s="89"/>
      <c r="I912" s="89"/>
      <c r="J912" s="89"/>
      <c r="K912" s="89"/>
      <c r="L912" s="93"/>
      <c r="M912" s="93"/>
      <c r="N912" s="93"/>
      <c r="O912" s="93"/>
      <c r="P912" s="93"/>
      <c r="Q912" s="93"/>
      <c r="R912" s="93"/>
      <c r="S912" s="93"/>
      <c r="T912" s="93"/>
      <c r="U912" s="93"/>
      <c r="V912" s="93"/>
      <c r="W912" s="93"/>
    </row>
    <row r="913" spans="2:23" s="14" customFormat="1" ht="17.100000000000001" customHeight="1">
      <c r="B913" s="89"/>
      <c r="C913" s="90"/>
      <c r="D913" s="91"/>
      <c r="E913" s="92"/>
      <c r="F913" s="89"/>
      <c r="G913" s="89"/>
      <c r="H913" s="89"/>
      <c r="I913" s="89"/>
      <c r="J913" s="89"/>
      <c r="K913" s="89"/>
      <c r="L913" s="93"/>
      <c r="M913" s="93"/>
      <c r="N913" s="93"/>
      <c r="O913" s="93"/>
      <c r="P913" s="93"/>
      <c r="Q913" s="93"/>
      <c r="R913" s="93"/>
      <c r="S913" s="93"/>
      <c r="T913" s="93"/>
      <c r="U913" s="93"/>
      <c r="V913" s="93"/>
      <c r="W913" s="93"/>
    </row>
    <row r="914" spans="2:23" s="14" customFormat="1" ht="17.100000000000001" customHeight="1">
      <c r="B914" s="89"/>
      <c r="C914" s="90"/>
      <c r="D914" s="91"/>
      <c r="E914" s="92"/>
      <c r="F914" s="89"/>
      <c r="G914" s="89"/>
      <c r="H914" s="89"/>
      <c r="I914" s="89"/>
      <c r="J914" s="89"/>
      <c r="K914" s="89"/>
      <c r="L914" s="93"/>
      <c r="M914" s="93"/>
      <c r="N914" s="93"/>
      <c r="O914" s="93"/>
      <c r="P914" s="93"/>
      <c r="Q914" s="93"/>
      <c r="R914" s="93"/>
      <c r="S914" s="93"/>
      <c r="T914" s="93"/>
      <c r="U914" s="93"/>
      <c r="V914" s="93"/>
      <c r="W914" s="93"/>
    </row>
    <row r="915" spans="2:23" s="14" customFormat="1" ht="17.100000000000001" customHeight="1">
      <c r="B915" s="89"/>
      <c r="C915" s="90"/>
      <c r="D915" s="91"/>
      <c r="E915" s="92"/>
      <c r="F915" s="89"/>
      <c r="G915" s="89"/>
      <c r="H915" s="89"/>
      <c r="I915" s="89"/>
      <c r="J915" s="89"/>
      <c r="K915" s="89"/>
      <c r="L915" s="93"/>
      <c r="M915" s="93"/>
      <c r="N915" s="93"/>
      <c r="O915" s="93"/>
      <c r="P915" s="93"/>
      <c r="Q915" s="93"/>
      <c r="R915" s="93"/>
      <c r="S915" s="93"/>
      <c r="T915" s="93"/>
      <c r="U915" s="93"/>
      <c r="V915" s="93"/>
      <c r="W915" s="93"/>
    </row>
    <row r="916" spans="2:23" s="14" customFormat="1" ht="17.100000000000001" customHeight="1">
      <c r="B916" s="89"/>
      <c r="C916" s="90"/>
      <c r="D916" s="91"/>
      <c r="E916" s="92"/>
      <c r="F916" s="89"/>
      <c r="G916" s="89"/>
      <c r="H916" s="89"/>
      <c r="I916" s="89"/>
      <c r="J916" s="89"/>
      <c r="K916" s="89"/>
      <c r="L916" s="93"/>
      <c r="M916" s="93"/>
      <c r="N916" s="93"/>
      <c r="O916" s="93"/>
      <c r="P916" s="93"/>
      <c r="Q916" s="93"/>
      <c r="R916" s="93"/>
      <c r="S916" s="93"/>
      <c r="T916" s="93"/>
      <c r="U916" s="93"/>
      <c r="V916" s="93"/>
      <c r="W916" s="93"/>
    </row>
    <row r="917" spans="2:23" s="14" customFormat="1" ht="17.100000000000001" customHeight="1">
      <c r="B917" s="89"/>
      <c r="C917" s="90"/>
      <c r="D917" s="91"/>
      <c r="E917" s="92"/>
      <c r="F917" s="89"/>
      <c r="G917" s="89"/>
      <c r="H917" s="89"/>
      <c r="I917" s="89"/>
      <c r="J917" s="89"/>
      <c r="K917" s="89"/>
      <c r="L917" s="93"/>
      <c r="M917" s="93"/>
      <c r="N917" s="93"/>
      <c r="O917" s="93"/>
      <c r="P917" s="93"/>
      <c r="Q917" s="93"/>
      <c r="R917" s="93"/>
      <c r="S917" s="93"/>
      <c r="T917" s="93"/>
      <c r="U917" s="93"/>
      <c r="V917" s="93"/>
      <c r="W917" s="93"/>
    </row>
    <row r="918" spans="2:23" s="14" customFormat="1" ht="17.100000000000001" customHeight="1">
      <c r="B918" s="89"/>
      <c r="C918" s="90"/>
      <c r="D918" s="91"/>
      <c r="E918" s="92"/>
      <c r="F918" s="89"/>
      <c r="G918" s="89"/>
      <c r="H918" s="89"/>
      <c r="I918" s="89"/>
      <c r="J918" s="89"/>
      <c r="K918" s="89"/>
      <c r="L918" s="93"/>
      <c r="M918" s="93"/>
      <c r="N918" s="93"/>
      <c r="O918" s="93"/>
      <c r="P918" s="93"/>
      <c r="Q918" s="93"/>
      <c r="R918" s="93"/>
      <c r="S918" s="93"/>
      <c r="T918" s="93"/>
      <c r="U918" s="93"/>
      <c r="V918" s="93"/>
      <c r="W918" s="93"/>
    </row>
    <row r="919" spans="2:23" s="14" customFormat="1" ht="17.100000000000001" customHeight="1">
      <c r="B919" s="89"/>
      <c r="C919" s="90"/>
      <c r="D919" s="91"/>
      <c r="E919" s="92"/>
      <c r="F919" s="89"/>
      <c r="G919" s="89"/>
      <c r="H919" s="89"/>
      <c r="I919" s="89"/>
      <c r="J919" s="89"/>
      <c r="K919" s="89"/>
      <c r="L919" s="93"/>
      <c r="M919" s="93"/>
      <c r="N919" s="93"/>
      <c r="O919" s="93"/>
      <c r="P919" s="93"/>
      <c r="Q919" s="93"/>
      <c r="R919" s="93"/>
      <c r="S919" s="93"/>
      <c r="T919" s="93"/>
      <c r="U919" s="93"/>
      <c r="V919" s="93"/>
      <c r="W919" s="93"/>
    </row>
    <row r="920" spans="2:23" s="14" customFormat="1" ht="17.100000000000001" customHeight="1">
      <c r="B920" s="89"/>
      <c r="C920" s="90"/>
      <c r="D920" s="91"/>
      <c r="E920" s="92"/>
      <c r="F920" s="89"/>
      <c r="G920" s="89"/>
      <c r="H920" s="89"/>
      <c r="I920" s="89"/>
      <c r="J920" s="89"/>
      <c r="K920" s="89"/>
      <c r="L920" s="93"/>
      <c r="M920" s="93"/>
      <c r="N920" s="93"/>
      <c r="O920" s="93"/>
      <c r="P920" s="93"/>
      <c r="Q920" s="93"/>
      <c r="R920" s="93"/>
      <c r="S920" s="93"/>
      <c r="T920" s="93"/>
      <c r="U920" s="93"/>
      <c r="V920" s="93"/>
      <c r="W920" s="93"/>
    </row>
    <row r="921" spans="2:23" s="14" customFormat="1" ht="17.100000000000001" customHeight="1">
      <c r="B921" s="89"/>
      <c r="C921" s="90"/>
      <c r="D921" s="91"/>
      <c r="E921" s="92"/>
      <c r="F921" s="89"/>
      <c r="G921" s="89"/>
      <c r="H921" s="89"/>
      <c r="I921" s="89"/>
      <c r="J921" s="89"/>
      <c r="K921" s="89"/>
      <c r="L921" s="93"/>
      <c r="M921" s="93"/>
      <c r="N921" s="93"/>
      <c r="O921" s="93"/>
      <c r="P921" s="93"/>
      <c r="Q921" s="93"/>
      <c r="R921" s="93"/>
      <c r="S921" s="93"/>
      <c r="T921" s="93"/>
      <c r="U921" s="93"/>
      <c r="V921" s="93"/>
      <c r="W921" s="93"/>
    </row>
    <row r="922" spans="2:23" s="14" customFormat="1" ht="17.100000000000001" customHeight="1">
      <c r="B922" s="89"/>
      <c r="C922" s="90"/>
      <c r="D922" s="91"/>
      <c r="E922" s="92"/>
      <c r="F922" s="89"/>
      <c r="G922" s="89"/>
      <c r="H922" s="89"/>
      <c r="I922" s="89"/>
      <c r="J922" s="89"/>
      <c r="K922" s="89"/>
      <c r="L922" s="93"/>
      <c r="M922" s="93"/>
      <c r="N922" s="93"/>
      <c r="O922" s="93"/>
      <c r="P922" s="93"/>
      <c r="Q922" s="93"/>
      <c r="R922" s="93"/>
      <c r="S922" s="93"/>
      <c r="T922" s="93"/>
      <c r="U922" s="93"/>
      <c r="V922" s="93"/>
      <c r="W922" s="93"/>
    </row>
    <row r="923" spans="2:23" s="14" customFormat="1" ht="17.100000000000001" customHeight="1">
      <c r="B923" s="89"/>
      <c r="C923" s="90"/>
      <c r="D923" s="91"/>
      <c r="E923" s="92"/>
      <c r="F923" s="89"/>
      <c r="G923" s="89"/>
      <c r="H923" s="89"/>
      <c r="I923" s="89"/>
      <c r="J923" s="89"/>
      <c r="K923" s="89"/>
      <c r="L923" s="93"/>
      <c r="M923" s="93"/>
      <c r="N923" s="93"/>
      <c r="O923" s="93"/>
      <c r="P923" s="93"/>
      <c r="Q923" s="93"/>
      <c r="R923" s="93"/>
      <c r="S923" s="93"/>
      <c r="T923" s="93"/>
      <c r="U923" s="93"/>
      <c r="V923" s="93"/>
      <c r="W923" s="93"/>
    </row>
    <row r="924" spans="2:23" s="14" customFormat="1" ht="17.100000000000001" customHeight="1">
      <c r="B924" s="89"/>
      <c r="C924" s="90"/>
      <c r="D924" s="91"/>
      <c r="E924" s="92"/>
      <c r="F924" s="89"/>
      <c r="G924" s="89"/>
      <c r="H924" s="89"/>
      <c r="I924" s="89"/>
      <c r="J924" s="89"/>
      <c r="K924" s="89"/>
      <c r="L924" s="93"/>
      <c r="M924" s="93"/>
      <c r="N924" s="93"/>
      <c r="O924" s="93"/>
      <c r="P924" s="93"/>
      <c r="Q924" s="93"/>
      <c r="R924" s="93"/>
      <c r="S924" s="93"/>
      <c r="T924" s="93"/>
      <c r="U924" s="93"/>
      <c r="V924" s="93"/>
      <c r="W924" s="93"/>
    </row>
    <row r="925" spans="2:23" s="14" customFormat="1" ht="17.100000000000001" customHeight="1">
      <c r="B925" s="89"/>
      <c r="C925" s="90"/>
      <c r="D925" s="91"/>
      <c r="E925" s="92"/>
      <c r="F925" s="89"/>
      <c r="G925" s="89"/>
      <c r="H925" s="89"/>
      <c r="I925" s="89"/>
      <c r="J925" s="89"/>
      <c r="K925" s="89"/>
      <c r="L925" s="93"/>
      <c r="M925" s="93"/>
      <c r="N925" s="93"/>
      <c r="O925" s="93"/>
      <c r="P925" s="93"/>
      <c r="Q925" s="93"/>
      <c r="R925" s="93"/>
      <c r="S925" s="93"/>
      <c r="T925" s="93"/>
      <c r="U925" s="93"/>
      <c r="V925" s="93"/>
      <c r="W925" s="93"/>
    </row>
    <row r="926" spans="2:23" s="14" customFormat="1" ht="17.100000000000001" customHeight="1">
      <c r="B926" s="89"/>
      <c r="C926" s="90"/>
      <c r="D926" s="91"/>
      <c r="E926" s="92"/>
      <c r="F926" s="89"/>
      <c r="G926" s="89"/>
      <c r="H926" s="89"/>
      <c r="I926" s="89"/>
      <c r="J926" s="89"/>
      <c r="K926" s="89"/>
      <c r="L926" s="93"/>
      <c r="M926" s="93"/>
      <c r="N926" s="93"/>
      <c r="O926" s="93"/>
      <c r="P926" s="93"/>
      <c r="Q926" s="93"/>
      <c r="R926" s="93"/>
      <c r="S926" s="93"/>
      <c r="T926" s="93"/>
      <c r="U926" s="93"/>
      <c r="V926" s="93"/>
      <c r="W926" s="93"/>
    </row>
    <row r="927" spans="2:23" s="14" customFormat="1" ht="17.100000000000001" customHeight="1">
      <c r="B927" s="89"/>
      <c r="C927" s="90"/>
      <c r="D927" s="91"/>
      <c r="E927" s="92"/>
      <c r="F927" s="89"/>
      <c r="G927" s="89"/>
      <c r="H927" s="89"/>
      <c r="I927" s="89"/>
      <c r="J927" s="89"/>
      <c r="K927" s="89"/>
      <c r="L927" s="93"/>
      <c r="M927" s="93"/>
      <c r="N927" s="93"/>
      <c r="O927" s="93"/>
      <c r="P927" s="93"/>
      <c r="Q927" s="93"/>
      <c r="R927" s="93"/>
      <c r="S927" s="93"/>
      <c r="T927" s="93"/>
      <c r="U927" s="93"/>
      <c r="V927" s="93"/>
      <c r="W927" s="93"/>
    </row>
    <row r="928" spans="2:23" s="14" customFormat="1" ht="17.100000000000001" customHeight="1">
      <c r="B928" s="89"/>
      <c r="C928" s="90"/>
      <c r="D928" s="91"/>
      <c r="E928" s="92"/>
      <c r="F928" s="89"/>
      <c r="G928" s="89"/>
      <c r="H928" s="89"/>
      <c r="I928" s="89"/>
      <c r="J928" s="89"/>
      <c r="K928" s="89"/>
      <c r="L928" s="93"/>
      <c r="M928" s="93"/>
      <c r="N928" s="93"/>
      <c r="O928" s="93"/>
      <c r="P928" s="93"/>
      <c r="Q928" s="93"/>
      <c r="R928" s="93"/>
      <c r="S928" s="93"/>
      <c r="T928" s="93"/>
      <c r="U928" s="93"/>
      <c r="V928" s="93"/>
      <c r="W928" s="93"/>
    </row>
    <row r="929" spans="2:23" s="14" customFormat="1" ht="17.100000000000001" customHeight="1">
      <c r="B929" s="89"/>
      <c r="C929" s="90"/>
      <c r="D929" s="91"/>
      <c r="E929" s="92"/>
      <c r="F929" s="89"/>
      <c r="G929" s="89"/>
      <c r="H929" s="89"/>
      <c r="I929" s="89"/>
      <c r="J929" s="89"/>
      <c r="K929" s="89"/>
      <c r="L929" s="93"/>
      <c r="M929" s="93"/>
      <c r="N929" s="93"/>
      <c r="O929" s="93"/>
      <c r="P929" s="93"/>
      <c r="Q929" s="93"/>
      <c r="R929" s="93"/>
      <c r="S929" s="93"/>
      <c r="T929" s="93"/>
      <c r="U929" s="93"/>
      <c r="V929" s="93"/>
      <c r="W929" s="93"/>
    </row>
    <row r="930" spans="2:23" s="14" customFormat="1" ht="17.100000000000001" customHeight="1">
      <c r="B930" s="89"/>
      <c r="C930" s="90"/>
      <c r="D930" s="91"/>
      <c r="E930" s="92"/>
      <c r="F930" s="89"/>
      <c r="G930" s="89"/>
      <c r="H930" s="89"/>
      <c r="I930" s="89"/>
      <c r="J930" s="89"/>
      <c r="K930" s="89"/>
      <c r="L930" s="93"/>
      <c r="M930" s="93"/>
      <c r="N930" s="93"/>
      <c r="O930" s="93"/>
      <c r="P930" s="93"/>
      <c r="Q930" s="93"/>
      <c r="R930" s="93"/>
      <c r="S930" s="93"/>
      <c r="T930" s="93"/>
      <c r="U930" s="93"/>
      <c r="V930" s="93"/>
      <c r="W930" s="93"/>
    </row>
    <row r="931" spans="2:23" s="14" customFormat="1" ht="17.100000000000001" customHeight="1">
      <c r="B931" s="89"/>
      <c r="C931" s="90"/>
      <c r="D931" s="91"/>
      <c r="E931" s="92"/>
      <c r="F931" s="89"/>
      <c r="G931" s="89"/>
      <c r="H931" s="89"/>
      <c r="I931" s="89"/>
      <c r="J931" s="89"/>
      <c r="K931" s="89"/>
      <c r="L931" s="93"/>
      <c r="M931" s="93"/>
      <c r="N931" s="93"/>
      <c r="O931" s="93"/>
      <c r="P931" s="93"/>
      <c r="Q931" s="93"/>
      <c r="R931" s="93"/>
      <c r="S931" s="93"/>
      <c r="T931" s="93"/>
      <c r="U931" s="93"/>
      <c r="V931" s="93"/>
      <c r="W931" s="93"/>
    </row>
    <row r="932" spans="2:23" s="14" customFormat="1" ht="17.100000000000001" customHeight="1">
      <c r="B932" s="89"/>
      <c r="C932" s="90"/>
      <c r="D932" s="91"/>
      <c r="E932" s="92"/>
      <c r="F932" s="89"/>
      <c r="G932" s="89"/>
      <c r="H932" s="89"/>
      <c r="I932" s="89"/>
      <c r="J932" s="89"/>
      <c r="K932" s="89"/>
      <c r="L932" s="93"/>
      <c r="M932" s="93"/>
      <c r="N932" s="93"/>
      <c r="O932" s="93"/>
      <c r="P932" s="93"/>
      <c r="Q932" s="93"/>
      <c r="R932" s="93"/>
      <c r="S932" s="93"/>
      <c r="T932" s="93"/>
      <c r="U932" s="93"/>
      <c r="V932" s="93"/>
      <c r="W932" s="93"/>
    </row>
    <row r="933" spans="2:23" s="14" customFormat="1" ht="17.100000000000001" customHeight="1">
      <c r="B933" s="89"/>
      <c r="C933" s="90"/>
      <c r="D933" s="91"/>
      <c r="E933" s="92"/>
      <c r="F933" s="89"/>
      <c r="G933" s="89"/>
      <c r="H933" s="89"/>
      <c r="I933" s="89"/>
      <c r="J933" s="89"/>
      <c r="K933" s="89"/>
      <c r="L933" s="93"/>
      <c r="M933" s="93"/>
      <c r="N933" s="93"/>
      <c r="O933" s="93"/>
      <c r="P933" s="93"/>
      <c r="Q933" s="93"/>
      <c r="R933" s="93"/>
      <c r="S933" s="93"/>
      <c r="T933" s="93"/>
      <c r="U933" s="93"/>
      <c r="V933" s="93"/>
      <c r="W933" s="93"/>
    </row>
    <row r="934" spans="2:23" s="14" customFormat="1" ht="17.100000000000001" customHeight="1">
      <c r="B934" s="89"/>
      <c r="C934" s="90"/>
      <c r="D934" s="91"/>
      <c r="E934" s="92"/>
      <c r="F934" s="89"/>
      <c r="G934" s="89"/>
      <c r="H934" s="89"/>
      <c r="I934" s="89"/>
      <c r="J934" s="89"/>
      <c r="K934" s="89"/>
      <c r="L934" s="93"/>
      <c r="M934" s="93"/>
      <c r="N934" s="93"/>
      <c r="O934" s="93"/>
      <c r="P934" s="93"/>
      <c r="Q934" s="93"/>
      <c r="R934" s="93"/>
      <c r="S934" s="93"/>
      <c r="T934" s="93"/>
      <c r="U934" s="93"/>
      <c r="V934" s="93"/>
      <c r="W934" s="93"/>
    </row>
    <row r="935" spans="2:23" s="14" customFormat="1" ht="17.100000000000001" customHeight="1">
      <c r="B935" s="89"/>
      <c r="C935" s="90"/>
      <c r="D935" s="91"/>
      <c r="E935" s="92"/>
      <c r="F935" s="89"/>
      <c r="G935" s="89"/>
      <c r="H935" s="89"/>
      <c r="I935" s="89"/>
      <c r="J935" s="89"/>
      <c r="K935" s="89"/>
      <c r="L935" s="93"/>
      <c r="M935" s="93"/>
      <c r="N935" s="93"/>
      <c r="O935" s="93"/>
      <c r="P935" s="93"/>
      <c r="Q935" s="93"/>
      <c r="R935" s="93"/>
      <c r="S935" s="93"/>
      <c r="T935" s="93"/>
      <c r="U935" s="93"/>
      <c r="V935" s="93"/>
      <c r="W935" s="93"/>
    </row>
    <row r="936" spans="2:23" s="14" customFormat="1" ht="17.100000000000001" customHeight="1">
      <c r="B936" s="89"/>
      <c r="C936" s="90"/>
      <c r="D936" s="91"/>
      <c r="E936" s="92"/>
      <c r="F936" s="89"/>
      <c r="G936" s="89"/>
      <c r="H936" s="89"/>
      <c r="I936" s="89"/>
      <c r="J936" s="89"/>
      <c r="K936" s="89"/>
      <c r="L936" s="93"/>
      <c r="M936" s="93"/>
      <c r="N936" s="93"/>
      <c r="O936" s="93"/>
      <c r="P936" s="93"/>
      <c r="Q936" s="93"/>
      <c r="R936" s="93"/>
      <c r="S936" s="93"/>
      <c r="T936" s="93"/>
      <c r="U936" s="93"/>
      <c r="V936" s="93"/>
      <c r="W936" s="93"/>
    </row>
    <row r="937" spans="2:23" s="14" customFormat="1" ht="17.100000000000001" customHeight="1">
      <c r="B937" s="89"/>
      <c r="C937" s="90"/>
      <c r="D937" s="91"/>
      <c r="E937" s="92"/>
      <c r="F937" s="89"/>
      <c r="G937" s="89"/>
      <c r="H937" s="89"/>
      <c r="I937" s="89"/>
      <c r="J937" s="89"/>
      <c r="K937" s="89"/>
      <c r="L937" s="93"/>
      <c r="M937" s="93"/>
      <c r="N937" s="93"/>
      <c r="O937" s="93"/>
      <c r="P937" s="93"/>
      <c r="Q937" s="93"/>
      <c r="R937" s="93"/>
      <c r="S937" s="93"/>
      <c r="T937" s="93"/>
      <c r="U937" s="93"/>
      <c r="V937" s="93"/>
      <c r="W937" s="93"/>
    </row>
    <row r="938" spans="2:23" s="14" customFormat="1" ht="17.100000000000001" customHeight="1">
      <c r="B938" s="89"/>
      <c r="C938" s="90"/>
      <c r="D938" s="91"/>
      <c r="E938" s="92"/>
      <c r="F938" s="89"/>
      <c r="G938" s="89"/>
      <c r="H938" s="89"/>
      <c r="I938" s="89"/>
      <c r="J938" s="89"/>
      <c r="K938" s="89"/>
      <c r="L938" s="93"/>
      <c r="M938" s="93"/>
      <c r="N938" s="93"/>
      <c r="O938" s="93"/>
      <c r="P938" s="93"/>
      <c r="Q938" s="93"/>
      <c r="R938" s="93"/>
      <c r="S938" s="93"/>
      <c r="T938" s="93"/>
      <c r="U938" s="93"/>
      <c r="V938" s="93"/>
      <c r="W938" s="93"/>
    </row>
    <row r="939" spans="2:23" s="14" customFormat="1" ht="17.100000000000001" customHeight="1">
      <c r="B939" s="89"/>
      <c r="C939" s="90"/>
      <c r="D939" s="91"/>
      <c r="E939" s="92"/>
      <c r="F939" s="89"/>
      <c r="G939" s="89"/>
      <c r="H939" s="89"/>
      <c r="I939" s="89"/>
      <c r="J939" s="89"/>
      <c r="K939" s="89"/>
      <c r="L939" s="93"/>
      <c r="M939" s="93"/>
      <c r="N939" s="93"/>
      <c r="O939" s="93"/>
      <c r="P939" s="93"/>
      <c r="Q939" s="93"/>
      <c r="R939" s="93"/>
      <c r="S939" s="93"/>
      <c r="T939" s="93"/>
      <c r="U939" s="93"/>
      <c r="V939" s="93"/>
      <c r="W939" s="93"/>
    </row>
    <row r="940" spans="2:23" s="14" customFormat="1" ht="17.100000000000001" customHeight="1">
      <c r="B940" s="89"/>
      <c r="C940" s="90"/>
      <c r="D940" s="91"/>
      <c r="E940" s="92"/>
      <c r="F940" s="89"/>
      <c r="G940" s="89"/>
      <c r="H940" s="89"/>
      <c r="I940" s="89"/>
      <c r="J940" s="89"/>
      <c r="K940" s="89"/>
      <c r="L940" s="93"/>
      <c r="M940" s="93"/>
      <c r="N940" s="93"/>
      <c r="O940" s="93"/>
      <c r="P940" s="93"/>
      <c r="Q940" s="93"/>
      <c r="R940" s="93"/>
      <c r="S940" s="93"/>
      <c r="T940" s="93"/>
      <c r="U940" s="93"/>
      <c r="V940" s="93"/>
      <c r="W940" s="93"/>
    </row>
    <row r="941" spans="2:23" s="14" customFormat="1" ht="17.100000000000001" customHeight="1">
      <c r="B941" s="89"/>
      <c r="C941" s="90"/>
      <c r="D941" s="91"/>
      <c r="E941" s="92"/>
      <c r="F941" s="89"/>
      <c r="G941" s="89"/>
      <c r="H941" s="89"/>
      <c r="I941" s="89"/>
      <c r="J941" s="89"/>
      <c r="K941" s="89"/>
      <c r="L941" s="93"/>
      <c r="M941" s="93"/>
      <c r="N941" s="93"/>
      <c r="O941" s="93"/>
      <c r="P941" s="93"/>
      <c r="Q941" s="93"/>
      <c r="R941" s="93"/>
      <c r="S941" s="93"/>
      <c r="T941" s="93"/>
      <c r="U941" s="93"/>
      <c r="V941" s="93"/>
      <c r="W941" s="93"/>
    </row>
    <row r="942" spans="2:23" s="14" customFormat="1" ht="17.100000000000001" customHeight="1">
      <c r="B942" s="89"/>
      <c r="C942" s="90"/>
      <c r="D942" s="91"/>
      <c r="E942" s="92"/>
      <c r="F942" s="89"/>
      <c r="G942" s="89"/>
      <c r="H942" s="89"/>
      <c r="I942" s="89"/>
      <c r="J942" s="89"/>
      <c r="K942" s="89"/>
      <c r="L942" s="93"/>
      <c r="M942" s="93"/>
      <c r="N942" s="93"/>
      <c r="O942" s="93"/>
      <c r="P942" s="93"/>
      <c r="Q942" s="93"/>
      <c r="R942" s="93"/>
      <c r="S942" s="93"/>
      <c r="T942" s="93"/>
      <c r="U942" s="93"/>
      <c r="V942" s="93"/>
      <c r="W942" s="93"/>
    </row>
    <row r="943" spans="2:23" s="14" customFormat="1" ht="17.100000000000001" customHeight="1">
      <c r="B943" s="89"/>
      <c r="C943" s="90"/>
      <c r="D943" s="91"/>
      <c r="E943" s="92"/>
      <c r="F943" s="89"/>
      <c r="G943" s="89"/>
      <c r="H943" s="89"/>
      <c r="I943" s="89"/>
      <c r="J943" s="89"/>
      <c r="K943" s="89"/>
      <c r="L943" s="93"/>
      <c r="M943" s="93"/>
      <c r="N943" s="93"/>
      <c r="O943" s="93"/>
      <c r="P943" s="93"/>
      <c r="Q943" s="93"/>
      <c r="R943" s="93"/>
      <c r="S943" s="93"/>
      <c r="T943" s="93"/>
      <c r="U943" s="93"/>
      <c r="V943" s="93"/>
      <c r="W943" s="93"/>
    </row>
    <row r="944" spans="2:23" s="14" customFormat="1" ht="17.100000000000001" customHeight="1">
      <c r="B944" s="89"/>
      <c r="C944" s="90"/>
      <c r="D944" s="91"/>
      <c r="E944" s="92"/>
      <c r="F944" s="89"/>
      <c r="G944" s="89"/>
      <c r="H944" s="89"/>
      <c r="I944" s="89"/>
      <c r="J944" s="89"/>
      <c r="K944" s="89"/>
      <c r="L944" s="93"/>
      <c r="M944" s="93"/>
      <c r="N944" s="93"/>
      <c r="O944" s="93"/>
      <c r="P944" s="93"/>
      <c r="Q944" s="93"/>
      <c r="R944" s="93"/>
      <c r="S944" s="93"/>
      <c r="T944" s="93"/>
      <c r="U944" s="93"/>
      <c r="V944" s="93"/>
      <c r="W944" s="93"/>
    </row>
    <row r="945" spans="2:23" s="14" customFormat="1" ht="17.100000000000001" customHeight="1">
      <c r="B945" s="89"/>
      <c r="C945" s="90"/>
      <c r="D945" s="91"/>
      <c r="E945" s="92"/>
      <c r="F945" s="89"/>
      <c r="G945" s="89"/>
      <c r="H945" s="89"/>
      <c r="I945" s="89"/>
      <c r="J945" s="89"/>
      <c r="K945" s="89"/>
      <c r="L945" s="93"/>
      <c r="M945" s="93"/>
      <c r="N945" s="93"/>
      <c r="O945" s="93"/>
      <c r="P945" s="93"/>
      <c r="Q945" s="93"/>
      <c r="R945" s="93"/>
      <c r="S945" s="93"/>
      <c r="T945" s="93"/>
      <c r="U945" s="93"/>
      <c r="V945" s="93"/>
      <c r="W945" s="93"/>
    </row>
    <row r="946" spans="2:23" s="14" customFormat="1" ht="17.100000000000001" customHeight="1">
      <c r="B946" s="89"/>
      <c r="C946" s="90"/>
      <c r="D946" s="91"/>
      <c r="E946" s="92"/>
      <c r="F946" s="89"/>
      <c r="G946" s="89"/>
      <c r="H946" s="89"/>
      <c r="I946" s="89"/>
      <c r="J946" s="89"/>
      <c r="K946" s="89"/>
      <c r="L946" s="93"/>
      <c r="M946" s="93"/>
      <c r="N946" s="93"/>
      <c r="O946" s="93"/>
      <c r="P946" s="93"/>
      <c r="Q946" s="93"/>
      <c r="R946" s="93"/>
      <c r="S946" s="93"/>
      <c r="T946" s="93"/>
      <c r="U946" s="93"/>
      <c r="V946" s="93"/>
      <c r="W946" s="93"/>
    </row>
    <row r="947" spans="2:23" s="14" customFormat="1" ht="17.100000000000001" customHeight="1">
      <c r="B947" s="89"/>
      <c r="C947" s="90"/>
      <c r="D947" s="91"/>
      <c r="E947" s="92"/>
      <c r="F947" s="89"/>
      <c r="G947" s="89"/>
      <c r="H947" s="89"/>
      <c r="I947" s="89"/>
      <c r="J947" s="89"/>
      <c r="K947" s="89"/>
      <c r="L947" s="93"/>
      <c r="M947" s="93"/>
      <c r="N947" s="93"/>
      <c r="O947" s="93"/>
      <c r="P947" s="93"/>
      <c r="Q947" s="93"/>
      <c r="R947" s="93"/>
      <c r="S947" s="93"/>
      <c r="T947" s="93"/>
      <c r="U947" s="93"/>
      <c r="V947" s="93"/>
      <c r="W947" s="93"/>
    </row>
    <row r="948" spans="2:23" s="14" customFormat="1" ht="17.100000000000001" customHeight="1">
      <c r="B948" s="89"/>
      <c r="C948" s="90"/>
      <c r="D948" s="91"/>
      <c r="E948" s="92"/>
      <c r="F948" s="89"/>
      <c r="G948" s="89"/>
      <c r="H948" s="89"/>
      <c r="I948" s="89"/>
      <c r="J948" s="89"/>
      <c r="K948" s="89"/>
      <c r="L948" s="93"/>
      <c r="M948" s="93"/>
      <c r="N948" s="93"/>
      <c r="O948" s="93"/>
      <c r="P948" s="93"/>
      <c r="Q948" s="93"/>
      <c r="R948" s="93"/>
      <c r="S948" s="93"/>
      <c r="T948" s="93"/>
      <c r="U948" s="93"/>
      <c r="V948" s="93"/>
      <c r="W948" s="93"/>
    </row>
    <row r="949" spans="2:23" s="14" customFormat="1" ht="17.100000000000001" customHeight="1">
      <c r="B949" s="89"/>
      <c r="C949" s="90"/>
      <c r="D949" s="91"/>
      <c r="E949" s="92"/>
      <c r="F949" s="89"/>
      <c r="G949" s="89"/>
      <c r="H949" s="89"/>
      <c r="I949" s="89"/>
      <c r="J949" s="89"/>
      <c r="K949" s="89"/>
      <c r="L949" s="93"/>
      <c r="M949" s="93"/>
      <c r="N949" s="93"/>
      <c r="O949" s="93"/>
      <c r="P949" s="93"/>
      <c r="Q949" s="93"/>
      <c r="R949" s="93"/>
      <c r="S949" s="93"/>
      <c r="T949" s="93"/>
      <c r="U949" s="93"/>
      <c r="V949" s="93"/>
      <c r="W949" s="93"/>
    </row>
    <row r="950" spans="2:23" s="14" customFormat="1" ht="17.100000000000001" customHeight="1">
      <c r="B950" s="89"/>
      <c r="C950" s="90"/>
      <c r="D950" s="91"/>
      <c r="E950" s="92"/>
      <c r="F950" s="89"/>
      <c r="G950" s="89"/>
      <c r="H950" s="89"/>
      <c r="I950" s="89"/>
      <c r="J950" s="89"/>
      <c r="K950" s="89"/>
      <c r="L950" s="93"/>
      <c r="M950" s="93"/>
      <c r="N950" s="93"/>
      <c r="O950" s="93"/>
      <c r="P950" s="93"/>
      <c r="Q950" s="93"/>
      <c r="R950" s="93"/>
      <c r="S950" s="93"/>
      <c r="T950" s="93"/>
      <c r="U950" s="93"/>
      <c r="V950" s="93"/>
      <c r="W950" s="93"/>
    </row>
    <row r="951" spans="2:23" s="14" customFormat="1" ht="17.100000000000001" customHeight="1">
      <c r="B951" s="89"/>
      <c r="C951" s="90"/>
      <c r="D951" s="91"/>
      <c r="E951" s="92"/>
      <c r="F951" s="89"/>
      <c r="G951" s="89"/>
      <c r="H951" s="89"/>
      <c r="I951" s="89"/>
      <c r="J951" s="89"/>
      <c r="K951" s="89"/>
      <c r="L951" s="93"/>
      <c r="M951" s="93"/>
      <c r="N951" s="93"/>
      <c r="O951" s="93"/>
      <c r="P951" s="93"/>
      <c r="Q951" s="93"/>
      <c r="R951" s="93"/>
      <c r="S951" s="93"/>
      <c r="T951" s="93"/>
      <c r="U951" s="93"/>
      <c r="V951" s="93"/>
      <c r="W951" s="93"/>
    </row>
    <row r="952" spans="2:23" s="14" customFormat="1" ht="17.100000000000001" customHeight="1">
      <c r="B952" s="89"/>
      <c r="C952" s="90"/>
      <c r="D952" s="91"/>
      <c r="E952" s="92"/>
      <c r="F952" s="89"/>
      <c r="G952" s="89"/>
      <c r="H952" s="89"/>
      <c r="I952" s="89"/>
      <c r="J952" s="89"/>
      <c r="K952" s="89"/>
      <c r="L952" s="93"/>
      <c r="M952" s="93"/>
      <c r="N952" s="93"/>
      <c r="O952" s="93"/>
      <c r="P952" s="93"/>
      <c r="Q952" s="93"/>
      <c r="R952" s="93"/>
      <c r="S952" s="93"/>
      <c r="T952" s="93"/>
      <c r="U952" s="93"/>
      <c r="V952" s="93"/>
      <c r="W952" s="93"/>
    </row>
    <row r="953" spans="2:23" s="14" customFormat="1" ht="17.100000000000001" customHeight="1">
      <c r="B953" s="89"/>
      <c r="C953" s="90"/>
      <c r="D953" s="91"/>
      <c r="E953" s="92"/>
      <c r="F953" s="89"/>
      <c r="G953" s="89"/>
      <c r="H953" s="89"/>
      <c r="I953" s="89"/>
      <c r="J953" s="89"/>
      <c r="K953" s="89"/>
      <c r="L953" s="93"/>
      <c r="M953" s="93"/>
      <c r="N953" s="93"/>
      <c r="O953" s="93"/>
      <c r="P953" s="93"/>
      <c r="Q953" s="93"/>
      <c r="R953" s="93"/>
      <c r="S953" s="93"/>
      <c r="T953" s="93"/>
      <c r="U953" s="93"/>
      <c r="V953" s="93"/>
      <c r="W953" s="93"/>
    </row>
    <row r="954" spans="2:23" s="14" customFormat="1" ht="17.100000000000001" customHeight="1">
      <c r="B954" s="89"/>
      <c r="C954" s="90"/>
      <c r="D954" s="91"/>
      <c r="E954" s="92"/>
      <c r="F954" s="89"/>
      <c r="G954" s="89"/>
      <c r="H954" s="89"/>
      <c r="I954" s="89"/>
      <c r="J954" s="89"/>
      <c r="K954" s="89"/>
      <c r="L954" s="93"/>
      <c r="M954" s="93"/>
      <c r="N954" s="93"/>
      <c r="O954" s="93"/>
      <c r="P954" s="93"/>
      <c r="Q954" s="93"/>
      <c r="R954" s="93"/>
      <c r="S954" s="93"/>
      <c r="T954" s="93"/>
      <c r="U954" s="93"/>
      <c r="V954" s="93"/>
      <c r="W954" s="93"/>
    </row>
    <row r="955" spans="2:23" s="14" customFormat="1" ht="17.100000000000001" customHeight="1">
      <c r="B955" s="89"/>
      <c r="C955" s="90"/>
      <c r="D955" s="91"/>
      <c r="E955" s="92"/>
      <c r="F955" s="89"/>
      <c r="G955" s="89"/>
      <c r="H955" s="89"/>
      <c r="I955" s="89"/>
      <c r="J955" s="89"/>
      <c r="K955" s="89"/>
      <c r="L955" s="93"/>
      <c r="M955" s="93"/>
      <c r="N955" s="93"/>
      <c r="O955" s="93"/>
      <c r="P955" s="93"/>
      <c r="Q955" s="93"/>
      <c r="R955" s="93"/>
      <c r="S955" s="93"/>
      <c r="T955" s="93"/>
      <c r="U955" s="93"/>
      <c r="V955" s="93"/>
      <c r="W955" s="93"/>
    </row>
    <row r="956" spans="2:23" s="14" customFormat="1" ht="17.100000000000001" customHeight="1">
      <c r="B956" s="89"/>
      <c r="C956" s="90"/>
      <c r="D956" s="91"/>
      <c r="E956" s="92"/>
      <c r="F956" s="89"/>
      <c r="G956" s="89"/>
      <c r="H956" s="89"/>
      <c r="I956" s="89"/>
      <c r="J956" s="89"/>
      <c r="K956" s="89"/>
      <c r="L956" s="93"/>
      <c r="M956" s="93"/>
      <c r="N956" s="93"/>
      <c r="O956" s="93"/>
      <c r="P956" s="93"/>
      <c r="Q956" s="93"/>
      <c r="R956" s="93"/>
      <c r="S956" s="93"/>
      <c r="T956" s="93"/>
      <c r="U956" s="93"/>
      <c r="V956" s="93"/>
      <c r="W956" s="93"/>
    </row>
    <row r="957" spans="2:23" s="14" customFormat="1" ht="17.100000000000001" customHeight="1">
      <c r="B957" s="89"/>
      <c r="C957" s="90"/>
      <c r="D957" s="91"/>
      <c r="E957" s="92"/>
      <c r="F957" s="89"/>
      <c r="G957" s="89"/>
      <c r="H957" s="89"/>
      <c r="I957" s="89"/>
      <c r="J957" s="89"/>
      <c r="K957" s="89"/>
      <c r="L957" s="93"/>
      <c r="M957" s="93"/>
      <c r="N957" s="93"/>
      <c r="O957" s="93"/>
      <c r="P957" s="93"/>
      <c r="Q957" s="93"/>
      <c r="R957" s="93"/>
      <c r="S957" s="93"/>
      <c r="T957" s="93"/>
      <c r="U957" s="93"/>
      <c r="V957" s="93"/>
      <c r="W957" s="93"/>
    </row>
    <row r="958" spans="2:23" s="14" customFormat="1" ht="17.100000000000001" customHeight="1">
      <c r="B958" s="89"/>
      <c r="C958" s="90"/>
      <c r="D958" s="91"/>
      <c r="E958" s="92"/>
      <c r="F958" s="89"/>
      <c r="G958" s="89"/>
      <c r="H958" s="89"/>
      <c r="I958" s="89"/>
      <c r="J958" s="89"/>
      <c r="K958" s="89"/>
      <c r="L958" s="93"/>
      <c r="M958" s="93"/>
      <c r="N958" s="93"/>
      <c r="O958" s="93"/>
      <c r="P958" s="93"/>
      <c r="Q958" s="93"/>
      <c r="R958" s="93"/>
      <c r="S958" s="93"/>
      <c r="T958" s="93"/>
      <c r="U958" s="93"/>
      <c r="V958" s="93"/>
      <c r="W958" s="93"/>
    </row>
    <row r="959" spans="2:23" s="14" customFormat="1" ht="17.100000000000001" customHeight="1">
      <c r="B959" s="89"/>
      <c r="C959" s="90"/>
      <c r="D959" s="91"/>
      <c r="E959" s="92"/>
      <c r="F959" s="89"/>
      <c r="G959" s="89"/>
      <c r="H959" s="89"/>
      <c r="I959" s="89"/>
      <c r="J959" s="89"/>
      <c r="K959" s="89"/>
      <c r="L959" s="93"/>
      <c r="M959" s="93"/>
      <c r="N959" s="93"/>
      <c r="O959" s="93"/>
      <c r="P959" s="93"/>
      <c r="Q959" s="93"/>
      <c r="R959" s="93"/>
      <c r="S959" s="93"/>
      <c r="T959" s="93"/>
      <c r="U959" s="93"/>
      <c r="V959" s="93"/>
      <c r="W959" s="93"/>
    </row>
    <row r="960" spans="2:23" s="14" customFormat="1" ht="17.100000000000001" customHeight="1">
      <c r="B960" s="89"/>
      <c r="C960" s="90"/>
      <c r="D960" s="91"/>
      <c r="E960" s="92"/>
      <c r="F960" s="89"/>
      <c r="G960" s="89"/>
      <c r="H960" s="89"/>
      <c r="I960" s="89"/>
      <c r="J960" s="89"/>
      <c r="K960" s="89"/>
      <c r="L960" s="93"/>
      <c r="M960" s="93"/>
      <c r="N960" s="93"/>
      <c r="O960" s="93"/>
      <c r="P960" s="93"/>
      <c r="Q960" s="93"/>
      <c r="R960" s="93"/>
      <c r="S960" s="93"/>
      <c r="T960" s="93"/>
      <c r="U960" s="93"/>
      <c r="V960" s="93"/>
      <c r="W960" s="93"/>
    </row>
    <row r="961" spans="2:23" s="14" customFormat="1" ht="17.100000000000001" customHeight="1">
      <c r="B961" s="89"/>
      <c r="C961" s="90"/>
      <c r="D961" s="91"/>
      <c r="E961" s="92"/>
      <c r="F961" s="89"/>
      <c r="G961" s="89"/>
      <c r="H961" s="89"/>
      <c r="I961" s="89"/>
      <c r="J961" s="89"/>
      <c r="K961" s="89"/>
      <c r="L961" s="93"/>
      <c r="M961" s="93"/>
      <c r="N961" s="93"/>
      <c r="O961" s="93"/>
      <c r="P961" s="93"/>
      <c r="Q961" s="93"/>
      <c r="R961" s="93"/>
      <c r="S961" s="93"/>
      <c r="T961" s="93"/>
      <c r="U961" s="93"/>
      <c r="V961" s="93"/>
      <c r="W961" s="93"/>
    </row>
    <row r="962" spans="2:23" s="14" customFormat="1" ht="17.100000000000001" customHeight="1">
      <c r="B962" s="89"/>
      <c r="C962" s="90"/>
      <c r="D962" s="91"/>
      <c r="E962" s="92"/>
      <c r="F962" s="89"/>
      <c r="G962" s="89"/>
      <c r="H962" s="89"/>
      <c r="I962" s="89"/>
      <c r="J962" s="89"/>
      <c r="K962" s="89"/>
      <c r="L962" s="93"/>
      <c r="M962" s="93"/>
      <c r="N962" s="93"/>
      <c r="O962" s="93"/>
      <c r="P962" s="93"/>
      <c r="Q962" s="93"/>
      <c r="R962" s="93"/>
      <c r="S962" s="93"/>
      <c r="T962" s="93"/>
      <c r="U962" s="93"/>
      <c r="V962" s="93"/>
      <c r="W962" s="93"/>
    </row>
    <row r="963" spans="2:23" s="14" customFormat="1" ht="17.100000000000001" customHeight="1">
      <c r="B963" s="89"/>
      <c r="C963" s="90"/>
      <c r="D963" s="91"/>
      <c r="E963" s="92"/>
      <c r="F963" s="89"/>
      <c r="G963" s="89"/>
      <c r="H963" s="89"/>
      <c r="I963" s="89"/>
      <c r="J963" s="89"/>
      <c r="K963" s="89"/>
      <c r="L963" s="93"/>
      <c r="M963" s="93"/>
      <c r="N963" s="93"/>
      <c r="O963" s="93"/>
      <c r="P963" s="93"/>
      <c r="Q963" s="93"/>
      <c r="R963" s="93"/>
      <c r="S963" s="93"/>
      <c r="T963" s="93"/>
      <c r="U963" s="93"/>
      <c r="V963" s="93"/>
      <c r="W963" s="93"/>
    </row>
    <row r="964" spans="2:23" s="14" customFormat="1" ht="17.100000000000001" customHeight="1">
      <c r="B964" s="89"/>
      <c r="C964" s="90"/>
      <c r="D964" s="91"/>
      <c r="E964" s="92"/>
      <c r="F964" s="89"/>
      <c r="G964" s="89"/>
      <c r="H964" s="89"/>
      <c r="I964" s="89"/>
      <c r="J964" s="89"/>
      <c r="K964" s="89"/>
      <c r="L964" s="93"/>
      <c r="M964" s="93"/>
      <c r="N964" s="93"/>
      <c r="O964" s="93"/>
      <c r="P964" s="93"/>
      <c r="Q964" s="93"/>
      <c r="R964" s="93"/>
      <c r="S964" s="93"/>
      <c r="T964" s="93"/>
      <c r="U964" s="93"/>
      <c r="V964" s="93"/>
      <c r="W964" s="93"/>
    </row>
    <row r="965" spans="2:23" s="14" customFormat="1" ht="17.100000000000001" customHeight="1">
      <c r="B965" s="89"/>
      <c r="C965" s="90"/>
      <c r="D965" s="91"/>
      <c r="E965" s="92"/>
      <c r="F965" s="89"/>
      <c r="G965" s="89"/>
      <c r="H965" s="89"/>
      <c r="I965" s="89"/>
      <c r="J965" s="89"/>
      <c r="K965" s="89"/>
      <c r="L965" s="93"/>
      <c r="M965" s="93"/>
      <c r="N965" s="93"/>
      <c r="O965" s="93"/>
      <c r="P965" s="93"/>
      <c r="Q965" s="93"/>
      <c r="R965" s="93"/>
      <c r="S965" s="93"/>
      <c r="T965" s="93"/>
      <c r="U965" s="93"/>
      <c r="V965" s="93"/>
      <c r="W965" s="93"/>
    </row>
    <row r="966" spans="2:23" s="14" customFormat="1" ht="17.100000000000001" customHeight="1">
      <c r="B966" s="89"/>
      <c r="C966" s="90"/>
      <c r="D966" s="91"/>
      <c r="E966" s="92"/>
      <c r="F966" s="89"/>
      <c r="G966" s="89"/>
      <c r="H966" s="89"/>
      <c r="I966" s="89"/>
      <c r="J966" s="89"/>
      <c r="K966" s="89"/>
      <c r="L966" s="93"/>
      <c r="M966" s="93"/>
      <c r="N966" s="93"/>
      <c r="O966" s="93"/>
      <c r="P966" s="93"/>
      <c r="Q966" s="93"/>
      <c r="R966" s="93"/>
      <c r="S966" s="93"/>
      <c r="T966" s="93"/>
      <c r="U966" s="93"/>
      <c r="V966" s="93"/>
      <c r="W966" s="93"/>
    </row>
    <row r="967" spans="2:23" s="14" customFormat="1" ht="17.100000000000001" customHeight="1">
      <c r="B967" s="89"/>
      <c r="C967" s="90"/>
      <c r="D967" s="91"/>
      <c r="E967" s="92"/>
      <c r="F967" s="89"/>
      <c r="G967" s="89"/>
      <c r="H967" s="89"/>
      <c r="I967" s="89"/>
      <c r="J967" s="89"/>
      <c r="K967" s="89"/>
      <c r="L967" s="93"/>
      <c r="M967" s="93"/>
      <c r="N967" s="93"/>
      <c r="O967" s="93"/>
      <c r="P967" s="93"/>
      <c r="Q967" s="93"/>
      <c r="R967" s="93"/>
      <c r="S967" s="93"/>
      <c r="T967" s="93"/>
      <c r="U967" s="93"/>
      <c r="V967" s="93"/>
      <c r="W967" s="93"/>
    </row>
    <row r="968" spans="2:23" s="14" customFormat="1" ht="17.100000000000001" customHeight="1">
      <c r="B968" s="89"/>
      <c r="C968" s="90"/>
      <c r="D968" s="91"/>
      <c r="E968" s="92"/>
      <c r="F968" s="89"/>
      <c r="G968" s="89"/>
      <c r="H968" s="89"/>
      <c r="I968" s="89"/>
      <c r="J968" s="89"/>
      <c r="K968" s="89"/>
      <c r="L968" s="93"/>
      <c r="M968" s="93"/>
      <c r="N968" s="93"/>
      <c r="O968" s="93"/>
      <c r="P968" s="93"/>
      <c r="Q968" s="93"/>
      <c r="R968" s="93"/>
      <c r="S968" s="93"/>
      <c r="T968" s="93"/>
      <c r="U968" s="93"/>
      <c r="V968" s="93"/>
      <c r="W968" s="93"/>
    </row>
    <row r="969" spans="2:23" s="14" customFormat="1" ht="17.100000000000001" customHeight="1">
      <c r="B969" s="89"/>
      <c r="C969" s="90"/>
      <c r="D969" s="91"/>
      <c r="E969" s="92"/>
      <c r="F969" s="89"/>
      <c r="G969" s="89"/>
      <c r="H969" s="89"/>
      <c r="I969" s="89"/>
      <c r="J969" s="89"/>
      <c r="K969" s="89"/>
      <c r="L969" s="93"/>
      <c r="M969" s="93"/>
      <c r="N969" s="93"/>
      <c r="O969" s="93"/>
      <c r="P969" s="93"/>
      <c r="Q969" s="93"/>
      <c r="R969" s="93"/>
      <c r="S969" s="93"/>
      <c r="T969" s="93"/>
      <c r="U969" s="93"/>
      <c r="V969" s="93"/>
      <c r="W969" s="93"/>
    </row>
    <row r="970" spans="2:23" s="14" customFormat="1" ht="17.100000000000001" customHeight="1">
      <c r="B970" s="89"/>
      <c r="C970" s="90"/>
      <c r="D970" s="91"/>
      <c r="E970" s="92"/>
      <c r="F970" s="89"/>
      <c r="G970" s="89"/>
      <c r="H970" s="89"/>
      <c r="I970" s="89"/>
      <c r="J970" s="89"/>
      <c r="K970" s="89"/>
      <c r="L970" s="93"/>
      <c r="M970" s="93"/>
      <c r="N970" s="93"/>
      <c r="O970" s="93"/>
      <c r="P970" s="93"/>
      <c r="Q970" s="93"/>
      <c r="R970" s="93"/>
      <c r="S970" s="93"/>
      <c r="T970" s="93"/>
      <c r="U970" s="93"/>
      <c r="V970" s="93"/>
      <c r="W970" s="93"/>
    </row>
    <row r="971" spans="2:23" s="14" customFormat="1" ht="17.100000000000001" customHeight="1">
      <c r="B971" s="89"/>
      <c r="C971" s="90"/>
      <c r="D971" s="91"/>
      <c r="E971" s="92"/>
      <c r="F971" s="89"/>
      <c r="G971" s="89"/>
      <c r="H971" s="89"/>
      <c r="I971" s="89"/>
      <c r="J971" s="89"/>
      <c r="K971" s="89"/>
      <c r="L971" s="93"/>
      <c r="M971" s="93"/>
      <c r="N971" s="93"/>
      <c r="O971" s="93"/>
      <c r="P971" s="93"/>
      <c r="Q971" s="93"/>
      <c r="R971" s="93"/>
      <c r="S971" s="93"/>
      <c r="T971" s="93"/>
      <c r="U971" s="93"/>
      <c r="V971" s="93"/>
      <c r="W971" s="93"/>
    </row>
    <row r="972" spans="2:23" s="14" customFormat="1" ht="17.100000000000001" customHeight="1">
      <c r="B972" s="89"/>
      <c r="C972" s="90"/>
      <c r="D972" s="91"/>
      <c r="E972" s="92"/>
      <c r="F972" s="89"/>
      <c r="G972" s="89"/>
      <c r="H972" s="89"/>
      <c r="I972" s="89"/>
      <c r="J972" s="89"/>
      <c r="K972" s="89"/>
      <c r="L972" s="93"/>
      <c r="M972" s="93"/>
      <c r="N972" s="93"/>
      <c r="O972" s="93"/>
      <c r="P972" s="93"/>
      <c r="Q972" s="93"/>
      <c r="R972" s="93"/>
      <c r="S972" s="93"/>
      <c r="T972" s="93"/>
      <c r="U972" s="93"/>
      <c r="V972" s="93"/>
      <c r="W972" s="93"/>
    </row>
    <row r="973" spans="2:23" s="14" customFormat="1" ht="17.100000000000001" customHeight="1">
      <c r="B973" s="89"/>
      <c r="C973" s="90"/>
      <c r="D973" s="91"/>
      <c r="E973" s="92"/>
      <c r="F973" s="89"/>
      <c r="G973" s="89"/>
      <c r="H973" s="89"/>
      <c r="I973" s="89"/>
      <c r="J973" s="89"/>
      <c r="K973" s="89"/>
      <c r="L973" s="93"/>
      <c r="M973" s="93"/>
      <c r="N973" s="93"/>
      <c r="O973" s="93"/>
      <c r="P973" s="93"/>
      <c r="Q973" s="93"/>
      <c r="R973" s="93"/>
      <c r="S973" s="93"/>
      <c r="T973" s="93"/>
      <c r="U973" s="93"/>
      <c r="V973" s="93"/>
      <c r="W973" s="93"/>
    </row>
    <row r="974" spans="2:23" s="14" customFormat="1" ht="17.100000000000001" customHeight="1">
      <c r="B974" s="89"/>
      <c r="C974" s="90"/>
      <c r="D974" s="91"/>
      <c r="E974" s="92"/>
      <c r="F974" s="89"/>
      <c r="G974" s="89"/>
      <c r="H974" s="89"/>
      <c r="I974" s="89"/>
      <c r="J974" s="89"/>
      <c r="K974" s="89"/>
      <c r="L974" s="93"/>
      <c r="M974" s="93"/>
      <c r="N974" s="93"/>
      <c r="O974" s="93"/>
      <c r="P974" s="93"/>
      <c r="Q974" s="93"/>
      <c r="R974" s="93"/>
      <c r="S974" s="93"/>
      <c r="T974" s="93"/>
      <c r="U974" s="93"/>
      <c r="V974" s="93"/>
      <c r="W974" s="93"/>
    </row>
    <row r="975" spans="2:23" s="14" customFormat="1" ht="17.100000000000001" customHeight="1">
      <c r="B975" s="89"/>
      <c r="C975" s="90"/>
      <c r="D975" s="91"/>
      <c r="E975" s="92"/>
      <c r="F975" s="89"/>
      <c r="G975" s="89"/>
      <c r="H975" s="89"/>
      <c r="I975" s="89"/>
      <c r="J975" s="89"/>
      <c r="K975" s="89"/>
      <c r="L975" s="93"/>
      <c r="M975" s="93"/>
      <c r="N975" s="93"/>
      <c r="O975" s="93"/>
      <c r="P975" s="93"/>
      <c r="Q975" s="93"/>
      <c r="R975" s="93"/>
      <c r="S975" s="93"/>
      <c r="T975" s="93"/>
      <c r="U975" s="93"/>
      <c r="V975" s="93"/>
      <c r="W975" s="93"/>
    </row>
    <row r="976" spans="2:23" s="14" customFormat="1" ht="17.100000000000001" customHeight="1">
      <c r="B976" s="89"/>
      <c r="C976" s="90"/>
      <c r="D976" s="91"/>
      <c r="E976" s="92"/>
      <c r="F976" s="89"/>
      <c r="G976" s="89"/>
      <c r="H976" s="89"/>
      <c r="I976" s="89"/>
      <c r="J976" s="89"/>
      <c r="K976" s="89"/>
      <c r="L976" s="93"/>
      <c r="M976" s="93"/>
      <c r="N976" s="93"/>
      <c r="O976" s="93"/>
      <c r="P976" s="93"/>
      <c r="Q976" s="93"/>
      <c r="R976" s="93"/>
      <c r="S976" s="93"/>
      <c r="T976" s="93"/>
      <c r="U976" s="93"/>
      <c r="V976" s="93"/>
      <c r="W976" s="93"/>
    </row>
    <row r="977" spans="2:23" s="14" customFormat="1" ht="17.100000000000001" customHeight="1">
      <c r="B977" s="89"/>
      <c r="C977" s="90"/>
      <c r="D977" s="91"/>
      <c r="E977" s="92"/>
      <c r="F977" s="89"/>
      <c r="G977" s="89"/>
      <c r="H977" s="89"/>
      <c r="I977" s="89"/>
      <c r="J977" s="89"/>
      <c r="K977" s="89"/>
      <c r="L977" s="93"/>
      <c r="M977" s="93"/>
      <c r="N977" s="93"/>
      <c r="O977" s="93"/>
      <c r="P977" s="93"/>
      <c r="Q977" s="93"/>
      <c r="R977" s="93"/>
      <c r="S977" s="93"/>
      <c r="T977" s="93"/>
      <c r="U977" s="93"/>
      <c r="V977" s="93"/>
      <c r="W977" s="93"/>
    </row>
    <row r="978" spans="2:23" s="14" customFormat="1" ht="17.100000000000001" customHeight="1">
      <c r="B978" s="89"/>
      <c r="C978" s="90"/>
      <c r="D978" s="91"/>
      <c r="E978" s="92"/>
      <c r="F978" s="89"/>
      <c r="G978" s="89"/>
      <c r="H978" s="89"/>
      <c r="I978" s="89"/>
      <c r="J978" s="89"/>
      <c r="K978" s="89"/>
      <c r="L978" s="93"/>
      <c r="M978" s="93"/>
      <c r="N978" s="93"/>
      <c r="O978" s="93"/>
      <c r="P978" s="93"/>
      <c r="Q978" s="93"/>
      <c r="R978" s="93"/>
      <c r="S978" s="93"/>
      <c r="T978" s="93"/>
      <c r="U978" s="93"/>
      <c r="V978" s="93"/>
      <c r="W978" s="93"/>
    </row>
    <row r="979" spans="2:23" s="14" customFormat="1" ht="17.100000000000001" customHeight="1">
      <c r="B979" s="89"/>
      <c r="C979" s="90"/>
      <c r="D979" s="91"/>
      <c r="E979" s="92"/>
      <c r="F979" s="89"/>
      <c r="G979" s="89"/>
      <c r="H979" s="89"/>
      <c r="I979" s="89"/>
      <c r="J979" s="89"/>
      <c r="K979" s="89"/>
      <c r="L979" s="93"/>
      <c r="M979" s="93"/>
      <c r="N979" s="93"/>
      <c r="O979" s="93"/>
      <c r="P979" s="93"/>
      <c r="Q979" s="93"/>
      <c r="R979" s="93"/>
      <c r="S979" s="93"/>
      <c r="T979" s="93"/>
      <c r="U979" s="93"/>
      <c r="V979" s="93"/>
      <c r="W979" s="93"/>
    </row>
    <row r="980" spans="2:23" s="14" customFormat="1" ht="17.100000000000001" customHeight="1">
      <c r="B980" s="89"/>
      <c r="C980" s="90"/>
      <c r="D980" s="91"/>
      <c r="E980" s="92"/>
      <c r="F980" s="89"/>
      <c r="G980" s="89"/>
      <c r="H980" s="89"/>
      <c r="I980" s="89"/>
      <c r="J980" s="89"/>
      <c r="K980" s="89"/>
      <c r="L980" s="93"/>
      <c r="M980" s="93"/>
      <c r="N980" s="93"/>
      <c r="O980" s="93"/>
      <c r="P980" s="93"/>
      <c r="Q980" s="93"/>
      <c r="R980" s="93"/>
      <c r="S980" s="93"/>
      <c r="T980" s="93"/>
      <c r="U980" s="93"/>
      <c r="V980" s="93"/>
      <c r="W980" s="93"/>
    </row>
    <row r="981" spans="2:23" s="14" customFormat="1" ht="17.100000000000001" customHeight="1">
      <c r="B981" s="89"/>
      <c r="C981" s="90"/>
      <c r="D981" s="91"/>
      <c r="E981" s="92"/>
      <c r="F981" s="89"/>
      <c r="G981" s="89"/>
      <c r="H981" s="89"/>
      <c r="I981" s="89"/>
      <c r="J981" s="89"/>
      <c r="K981" s="89"/>
      <c r="L981" s="93"/>
      <c r="M981" s="93"/>
      <c r="N981" s="93"/>
      <c r="O981" s="93"/>
      <c r="P981" s="93"/>
      <c r="Q981" s="93"/>
      <c r="R981" s="93"/>
      <c r="S981" s="93"/>
      <c r="T981" s="93"/>
      <c r="U981" s="93"/>
      <c r="V981" s="93"/>
      <c r="W981" s="93"/>
    </row>
    <row r="982" spans="2:23" s="14" customFormat="1" ht="17.100000000000001" customHeight="1">
      <c r="B982" s="89"/>
      <c r="C982" s="90"/>
      <c r="D982" s="91"/>
      <c r="E982" s="92"/>
      <c r="F982" s="89"/>
      <c r="G982" s="89"/>
      <c r="H982" s="89"/>
      <c r="I982" s="89"/>
      <c r="J982" s="89"/>
      <c r="K982" s="89"/>
      <c r="L982" s="93"/>
      <c r="M982" s="93"/>
      <c r="N982" s="93"/>
      <c r="O982" s="93"/>
      <c r="P982" s="93"/>
      <c r="Q982" s="93"/>
      <c r="R982" s="93"/>
      <c r="S982" s="93"/>
      <c r="T982" s="93"/>
      <c r="U982" s="93"/>
      <c r="V982" s="93"/>
      <c r="W982" s="93"/>
    </row>
    <row r="983" spans="2:23" s="14" customFormat="1" ht="17.100000000000001" customHeight="1">
      <c r="B983" s="89"/>
      <c r="C983" s="90"/>
      <c r="D983" s="91"/>
      <c r="E983" s="92"/>
      <c r="F983" s="89"/>
      <c r="G983" s="89"/>
      <c r="H983" s="89"/>
      <c r="I983" s="89"/>
      <c r="J983" s="89"/>
      <c r="K983" s="89"/>
      <c r="L983" s="93"/>
      <c r="M983" s="93"/>
      <c r="N983" s="93"/>
      <c r="O983" s="93"/>
      <c r="P983" s="93"/>
      <c r="Q983" s="93"/>
      <c r="R983" s="93"/>
      <c r="S983" s="93"/>
      <c r="T983" s="93"/>
      <c r="U983" s="93"/>
      <c r="V983" s="93"/>
      <c r="W983" s="93"/>
    </row>
    <row r="984" spans="2:23" s="14" customFormat="1" ht="17.100000000000001" customHeight="1">
      <c r="B984" s="89"/>
      <c r="C984" s="90"/>
      <c r="D984" s="91"/>
      <c r="E984" s="92"/>
      <c r="F984" s="89"/>
      <c r="G984" s="89"/>
      <c r="H984" s="89"/>
      <c r="I984" s="89"/>
      <c r="J984" s="89"/>
      <c r="K984" s="89"/>
      <c r="L984" s="93"/>
      <c r="M984" s="93"/>
      <c r="N984" s="93"/>
      <c r="O984" s="93"/>
      <c r="P984" s="93"/>
      <c r="Q984" s="93"/>
      <c r="R984" s="93"/>
      <c r="S984" s="93"/>
      <c r="T984" s="93"/>
      <c r="U984" s="93"/>
      <c r="V984" s="93"/>
      <c r="W984" s="93"/>
    </row>
    <row r="985" spans="2:23" s="14" customFormat="1" ht="17.100000000000001" customHeight="1">
      <c r="B985" s="89"/>
      <c r="C985" s="90"/>
      <c r="D985" s="91"/>
      <c r="E985" s="92"/>
      <c r="F985" s="89"/>
      <c r="G985" s="89"/>
      <c r="H985" s="89"/>
      <c r="I985" s="89"/>
      <c r="J985" s="89"/>
      <c r="K985" s="89"/>
      <c r="L985" s="93"/>
      <c r="M985" s="93"/>
      <c r="N985" s="93"/>
      <c r="O985" s="93"/>
      <c r="P985" s="93"/>
      <c r="Q985" s="93"/>
      <c r="R985" s="93"/>
      <c r="S985" s="93"/>
      <c r="T985" s="93"/>
      <c r="U985" s="93"/>
      <c r="V985" s="93"/>
      <c r="W985" s="93"/>
    </row>
    <row r="986" spans="2:23" s="14" customFormat="1" ht="17.100000000000001" customHeight="1">
      <c r="B986" s="89"/>
      <c r="C986" s="90"/>
      <c r="D986" s="91"/>
      <c r="E986" s="92"/>
      <c r="F986" s="89"/>
      <c r="G986" s="89"/>
      <c r="H986" s="89"/>
      <c r="I986" s="89"/>
      <c r="J986" s="89"/>
      <c r="K986" s="89"/>
      <c r="L986" s="93"/>
      <c r="M986" s="93"/>
      <c r="N986" s="93"/>
      <c r="O986" s="93"/>
      <c r="P986" s="93"/>
      <c r="Q986" s="93"/>
      <c r="R986" s="93"/>
      <c r="S986" s="93"/>
      <c r="T986" s="93"/>
      <c r="U986" s="93"/>
      <c r="V986" s="93"/>
      <c r="W986" s="93"/>
    </row>
    <row r="987" spans="2:23" s="14" customFormat="1" ht="17.100000000000001" customHeight="1">
      <c r="B987" s="89"/>
      <c r="C987" s="90"/>
      <c r="D987" s="91"/>
      <c r="E987" s="92"/>
      <c r="F987" s="89"/>
      <c r="G987" s="89"/>
      <c r="H987" s="89"/>
      <c r="I987" s="89"/>
      <c r="J987" s="89"/>
      <c r="K987" s="89"/>
      <c r="L987" s="93"/>
      <c r="M987" s="93"/>
      <c r="N987" s="93"/>
      <c r="O987" s="93"/>
      <c r="P987" s="93"/>
      <c r="Q987" s="93"/>
      <c r="R987" s="93"/>
      <c r="S987" s="93"/>
      <c r="T987" s="93"/>
      <c r="U987" s="93"/>
      <c r="V987" s="93"/>
      <c r="W987" s="93"/>
    </row>
    <row r="988" spans="2:23" s="14" customFormat="1" ht="17.100000000000001" customHeight="1">
      <c r="B988" s="89"/>
      <c r="C988" s="90"/>
      <c r="D988" s="91"/>
      <c r="E988" s="92"/>
      <c r="F988" s="89"/>
      <c r="G988" s="89"/>
      <c r="H988" s="89"/>
      <c r="I988" s="89"/>
      <c r="J988" s="89"/>
      <c r="K988" s="89"/>
      <c r="L988" s="93"/>
      <c r="M988" s="93"/>
      <c r="N988" s="93"/>
      <c r="O988" s="93"/>
      <c r="P988" s="93"/>
      <c r="Q988" s="93"/>
      <c r="R988" s="93"/>
      <c r="S988" s="93"/>
      <c r="T988" s="93"/>
      <c r="U988" s="93"/>
      <c r="V988" s="93"/>
      <c r="W988" s="93"/>
    </row>
    <row r="989" spans="2:23" s="14" customFormat="1" ht="17.100000000000001" customHeight="1">
      <c r="B989" s="89"/>
      <c r="C989" s="90"/>
      <c r="D989" s="91"/>
      <c r="E989" s="92"/>
      <c r="F989" s="89"/>
      <c r="G989" s="89"/>
      <c r="H989" s="89"/>
      <c r="I989" s="89"/>
      <c r="J989" s="89"/>
      <c r="K989" s="89"/>
      <c r="L989" s="93"/>
      <c r="M989" s="93"/>
      <c r="N989" s="93"/>
      <c r="O989" s="93"/>
      <c r="P989" s="93"/>
      <c r="Q989" s="93"/>
      <c r="R989" s="93"/>
      <c r="S989" s="93"/>
      <c r="T989" s="93"/>
      <c r="U989" s="93"/>
      <c r="V989" s="93"/>
      <c r="W989" s="93"/>
    </row>
    <row r="990" spans="2:23" s="14" customFormat="1" ht="17.100000000000001" customHeight="1">
      <c r="B990" s="89"/>
      <c r="C990" s="90"/>
      <c r="D990" s="91"/>
      <c r="E990" s="92"/>
      <c r="F990" s="89"/>
      <c r="G990" s="89"/>
      <c r="H990" s="89"/>
      <c r="I990" s="89"/>
      <c r="J990" s="89"/>
      <c r="K990" s="89"/>
      <c r="L990" s="93"/>
      <c r="M990" s="93"/>
      <c r="N990" s="93"/>
      <c r="O990" s="93"/>
      <c r="P990" s="93"/>
      <c r="Q990" s="93"/>
      <c r="R990" s="93"/>
      <c r="S990" s="93"/>
      <c r="T990" s="93"/>
      <c r="U990" s="93"/>
      <c r="V990" s="93"/>
      <c r="W990" s="93"/>
    </row>
    <row r="991" spans="2:23" s="14" customFormat="1" ht="17.100000000000001" customHeight="1">
      <c r="B991" s="89"/>
      <c r="C991" s="90"/>
      <c r="D991" s="91"/>
      <c r="E991" s="92"/>
      <c r="F991" s="89"/>
      <c r="G991" s="89"/>
      <c r="H991" s="89"/>
      <c r="I991" s="89"/>
      <c r="J991" s="89"/>
      <c r="K991" s="89"/>
      <c r="L991" s="93"/>
      <c r="M991" s="93"/>
      <c r="N991" s="93"/>
      <c r="O991" s="93"/>
      <c r="P991" s="93"/>
      <c r="Q991" s="93"/>
      <c r="R991" s="93"/>
      <c r="S991" s="93"/>
      <c r="T991" s="93"/>
      <c r="U991" s="93"/>
      <c r="V991" s="93"/>
      <c r="W991" s="93"/>
    </row>
    <row r="992" spans="2:23" s="14" customFormat="1" ht="17.100000000000001" customHeight="1">
      <c r="B992" s="89"/>
      <c r="C992" s="90"/>
      <c r="D992" s="91"/>
      <c r="E992" s="92"/>
      <c r="F992" s="89"/>
      <c r="G992" s="89"/>
      <c r="H992" s="89"/>
      <c r="I992" s="89"/>
      <c r="J992" s="89"/>
      <c r="K992" s="89"/>
      <c r="L992" s="93"/>
      <c r="M992" s="93"/>
      <c r="N992" s="93"/>
      <c r="O992" s="93"/>
      <c r="P992" s="93"/>
      <c r="Q992" s="93"/>
      <c r="R992" s="93"/>
      <c r="S992" s="93"/>
      <c r="T992" s="93"/>
      <c r="U992" s="93"/>
      <c r="V992" s="93"/>
      <c r="W992" s="93"/>
    </row>
    <row r="993" spans="2:23" s="14" customFormat="1" ht="17.100000000000001" customHeight="1">
      <c r="B993" s="89"/>
      <c r="C993" s="90"/>
      <c r="D993" s="91"/>
      <c r="E993" s="92"/>
      <c r="F993" s="89"/>
      <c r="G993" s="89"/>
      <c r="H993" s="89"/>
      <c r="I993" s="89"/>
      <c r="J993" s="89"/>
      <c r="K993" s="89"/>
      <c r="L993" s="93"/>
      <c r="M993" s="93"/>
      <c r="N993" s="93"/>
      <c r="O993" s="93"/>
      <c r="P993" s="93"/>
      <c r="Q993" s="93"/>
      <c r="R993" s="93"/>
      <c r="S993" s="93"/>
      <c r="T993" s="93"/>
      <c r="U993" s="93"/>
      <c r="V993" s="93"/>
      <c r="W993" s="93"/>
    </row>
    <row r="994" spans="2:23" s="14" customFormat="1" ht="17.100000000000001" customHeight="1">
      <c r="B994" s="89"/>
      <c r="C994" s="90"/>
      <c r="D994" s="91"/>
      <c r="E994" s="92"/>
      <c r="F994" s="89"/>
      <c r="G994" s="89"/>
      <c r="H994" s="89"/>
      <c r="I994" s="89"/>
      <c r="J994" s="89"/>
      <c r="K994" s="89"/>
      <c r="L994" s="93"/>
      <c r="M994" s="93"/>
      <c r="N994" s="93"/>
      <c r="O994" s="93"/>
      <c r="P994" s="93"/>
      <c r="Q994" s="93"/>
      <c r="R994" s="93"/>
      <c r="S994" s="93"/>
      <c r="T994" s="93"/>
      <c r="U994" s="93"/>
      <c r="V994" s="93"/>
      <c r="W994" s="93"/>
    </row>
    <row r="995" spans="2:23" s="14" customFormat="1" ht="17.100000000000001" customHeight="1">
      <c r="B995" s="89"/>
      <c r="C995" s="90"/>
      <c r="D995" s="91"/>
      <c r="E995" s="92"/>
      <c r="F995" s="89"/>
      <c r="G995" s="89"/>
      <c r="H995" s="89"/>
      <c r="I995" s="89"/>
      <c r="J995" s="89"/>
      <c r="K995" s="89"/>
      <c r="L995" s="93"/>
      <c r="M995" s="93"/>
      <c r="N995" s="93"/>
      <c r="O995" s="93"/>
      <c r="P995" s="93"/>
      <c r="Q995" s="93"/>
      <c r="R995" s="93"/>
      <c r="S995" s="93"/>
      <c r="T995" s="93"/>
      <c r="U995" s="93"/>
      <c r="V995" s="93"/>
      <c r="W995" s="93"/>
    </row>
    <row r="996" spans="2:23" s="14" customFormat="1" ht="17.100000000000001" customHeight="1">
      <c r="B996" s="89"/>
      <c r="C996" s="90"/>
      <c r="D996" s="91"/>
      <c r="E996" s="92"/>
      <c r="F996" s="89"/>
      <c r="G996" s="89"/>
      <c r="H996" s="89"/>
      <c r="I996" s="89"/>
      <c r="J996" s="89"/>
      <c r="K996" s="89"/>
      <c r="L996" s="93"/>
      <c r="M996" s="93"/>
      <c r="N996" s="93"/>
      <c r="O996" s="93"/>
      <c r="P996" s="93"/>
      <c r="Q996" s="93"/>
      <c r="R996" s="93"/>
      <c r="S996" s="93"/>
      <c r="T996" s="93"/>
      <c r="U996" s="93"/>
      <c r="V996" s="93"/>
      <c r="W996" s="93"/>
    </row>
    <row r="997" spans="2:23" s="14" customFormat="1" ht="17.100000000000001" customHeight="1">
      <c r="B997" s="89"/>
      <c r="C997" s="90"/>
      <c r="D997" s="91"/>
      <c r="E997" s="92"/>
      <c r="F997" s="89"/>
      <c r="G997" s="89"/>
      <c r="H997" s="89"/>
      <c r="I997" s="89"/>
      <c r="J997" s="89"/>
      <c r="K997" s="89"/>
      <c r="L997" s="93"/>
      <c r="M997" s="93"/>
      <c r="N997" s="93"/>
      <c r="O997" s="93"/>
      <c r="P997" s="93"/>
      <c r="Q997" s="93"/>
      <c r="R997" s="93"/>
      <c r="S997" s="93"/>
      <c r="T997" s="93"/>
      <c r="U997" s="93"/>
      <c r="V997" s="93"/>
      <c r="W997" s="93"/>
    </row>
    <row r="998" spans="2:23" s="14" customFormat="1" ht="17.100000000000001" customHeight="1">
      <c r="B998" s="89"/>
      <c r="C998" s="90"/>
      <c r="D998" s="91"/>
      <c r="E998" s="92"/>
      <c r="F998" s="89"/>
      <c r="G998" s="89"/>
      <c r="H998" s="89"/>
      <c r="I998" s="89"/>
      <c r="J998" s="89"/>
      <c r="K998" s="89"/>
      <c r="L998" s="93"/>
      <c r="M998" s="93"/>
      <c r="N998" s="93"/>
      <c r="O998" s="93"/>
      <c r="P998" s="93"/>
      <c r="Q998" s="93"/>
      <c r="R998" s="93"/>
      <c r="S998" s="93"/>
      <c r="T998" s="93"/>
      <c r="U998" s="93"/>
      <c r="V998" s="93"/>
      <c r="W998" s="93"/>
    </row>
    <row r="999" spans="2:23" s="14" customFormat="1" ht="17.100000000000001" customHeight="1">
      <c r="B999" s="89"/>
      <c r="C999" s="90"/>
      <c r="D999" s="91"/>
      <c r="E999" s="92"/>
      <c r="F999" s="89"/>
      <c r="G999" s="89"/>
      <c r="H999" s="89"/>
      <c r="I999" s="89"/>
      <c r="J999" s="89"/>
      <c r="K999" s="89"/>
      <c r="L999" s="93"/>
      <c r="M999" s="93"/>
      <c r="N999" s="93"/>
      <c r="O999" s="93"/>
      <c r="P999" s="93"/>
      <c r="Q999" s="93"/>
      <c r="R999" s="93"/>
      <c r="S999" s="93"/>
      <c r="T999" s="93"/>
      <c r="U999" s="93"/>
      <c r="V999" s="93"/>
      <c r="W999" s="93"/>
    </row>
    <row r="1000" spans="2:23" s="14" customFormat="1" ht="17.100000000000001" customHeight="1">
      <c r="B1000" s="89"/>
      <c r="C1000" s="90"/>
      <c r="D1000" s="91"/>
      <c r="E1000" s="92"/>
      <c r="F1000" s="89"/>
      <c r="G1000" s="89"/>
      <c r="H1000" s="89"/>
      <c r="I1000" s="89"/>
      <c r="J1000" s="89"/>
      <c r="K1000" s="89"/>
      <c r="L1000" s="93"/>
      <c r="M1000" s="93"/>
      <c r="N1000" s="93"/>
      <c r="O1000" s="93"/>
      <c r="P1000" s="93"/>
      <c r="Q1000" s="93"/>
      <c r="R1000" s="93"/>
      <c r="S1000" s="93"/>
      <c r="T1000" s="93"/>
      <c r="U1000" s="93"/>
      <c r="V1000" s="93"/>
      <c r="W1000" s="93"/>
    </row>
    <row r="1001" spans="2:23" s="14" customFormat="1" ht="17.100000000000001" customHeight="1">
      <c r="B1001" s="89"/>
      <c r="C1001" s="90"/>
      <c r="D1001" s="91"/>
      <c r="E1001" s="92"/>
      <c r="F1001" s="89"/>
      <c r="G1001" s="89"/>
      <c r="H1001" s="89"/>
      <c r="I1001" s="89"/>
      <c r="J1001" s="89"/>
      <c r="K1001" s="89"/>
      <c r="L1001" s="93"/>
      <c r="M1001" s="93"/>
      <c r="N1001" s="93"/>
      <c r="O1001" s="93"/>
      <c r="P1001" s="93"/>
      <c r="Q1001" s="93"/>
      <c r="R1001" s="93"/>
      <c r="S1001" s="93"/>
      <c r="T1001" s="93"/>
      <c r="U1001" s="93"/>
      <c r="V1001" s="93"/>
      <c r="W1001" s="93"/>
    </row>
    <row r="1002" spans="2:23" s="14" customFormat="1" ht="17.100000000000001" customHeight="1">
      <c r="B1002" s="89"/>
      <c r="C1002" s="90"/>
      <c r="D1002" s="91"/>
      <c r="E1002" s="92"/>
      <c r="F1002" s="89"/>
      <c r="G1002" s="89"/>
      <c r="H1002" s="89"/>
      <c r="I1002" s="89"/>
      <c r="J1002" s="89"/>
      <c r="K1002" s="89"/>
      <c r="L1002" s="93"/>
      <c r="M1002" s="93"/>
      <c r="N1002" s="93"/>
      <c r="O1002" s="93"/>
      <c r="P1002" s="93"/>
      <c r="Q1002" s="93"/>
      <c r="R1002" s="93"/>
      <c r="S1002" s="93"/>
      <c r="T1002" s="93"/>
      <c r="U1002" s="93"/>
      <c r="V1002" s="93"/>
      <c r="W1002" s="93"/>
    </row>
    <row r="1003" spans="2:23" s="14" customFormat="1" ht="17.100000000000001" customHeight="1">
      <c r="B1003" s="89"/>
      <c r="C1003" s="90"/>
      <c r="D1003" s="91"/>
      <c r="E1003" s="92"/>
      <c r="F1003" s="89"/>
      <c r="G1003" s="89"/>
      <c r="H1003" s="89"/>
      <c r="I1003" s="89"/>
      <c r="J1003" s="89"/>
      <c r="K1003" s="89"/>
      <c r="L1003" s="93"/>
      <c r="M1003" s="93"/>
      <c r="N1003" s="93"/>
      <c r="O1003" s="93"/>
      <c r="P1003" s="93"/>
      <c r="Q1003" s="93"/>
      <c r="R1003" s="93"/>
      <c r="S1003" s="93"/>
      <c r="T1003" s="93"/>
      <c r="U1003" s="93"/>
      <c r="V1003" s="93"/>
      <c r="W1003" s="93"/>
    </row>
    <row r="1004" spans="2:23" s="14" customFormat="1" ht="17.100000000000001" customHeight="1">
      <c r="B1004" s="89"/>
      <c r="C1004" s="90"/>
      <c r="D1004" s="91"/>
      <c r="E1004" s="92"/>
      <c r="F1004" s="89"/>
      <c r="G1004" s="89"/>
      <c r="H1004" s="89"/>
      <c r="I1004" s="89"/>
      <c r="J1004" s="89"/>
      <c r="K1004" s="89"/>
      <c r="L1004" s="93"/>
      <c r="M1004" s="93"/>
      <c r="N1004" s="93"/>
      <c r="O1004" s="93"/>
      <c r="P1004" s="93"/>
      <c r="Q1004" s="93"/>
      <c r="R1004" s="93"/>
      <c r="S1004" s="93"/>
      <c r="T1004" s="93"/>
      <c r="U1004" s="93"/>
      <c r="V1004" s="93"/>
      <c r="W1004" s="93"/>
    </row>
    <row r="1005" spans="2:23" s="14" customFormat="1" ht="17.100000000000001" customHeight="1">
      <c r="B1005" s="89"/>
      <c r="C1005" s="90"/>
      <c r="D1005" s="91"/>
      <c r="E1005" s="92"/>
      <c r="F1005" s="89"/>
      <c r="G1005" s="89"/>
      <c r="H1005" s="89"/>
      <c r="I1005" s="89"/>
      <c r="J1005" s="89"/>
      <c r="K1005" s="89"/>
      <c r="L1005" s="93"/>
      <c r="M1005" s="93"/>
      <c r="N1005" s="93"/>
      <c r="O1005" s="93"/>
      <c r="P1005" s="93"/>
      <c r="Q1005" s="93"/>
      <c r="R1005" s="93"/>
      <c r="S1005" s="93"/>
      <c r="T1005" s="93"/>
      <c r="U1005" s="93"/>
      <c r="V1005" s="93"/>
      <c r="W1005" s="93"/>
    </row>
    <row r="1006" spans="2:23" s="14" customFormat="1" ht="17.100000000000001" customHeight="1">
      <c r="B1006" s="89"/>
      <c r="C1006" s="90"/>
      <c r="D1006" s="91"/>
      <c r="E1006" s="92"/>
      <c r="F1006" s="89"/>
      <c r="G1006" s="89"/>
      <c r="H1006" s="89"/>
      <c r="I1006" s="89"/>
      <c r="J1006" s="89"/>
      <c r="K1006" s="89"/>
      <c r="L1006" s="93"/>
      <c r="M1006" s="93"/>
      <c r="N1006" s="93"/>
      <c r="O1006" s="93"/>
      <c r="P1006" s="93"/>
      <c r="Q1006" s="93"/>
      <c r="R1006" s="93"/>
      <c r="S1006" s="93"/>
      <c r="T1006" s="93"/>
      <c r="U1006" s="93"/>
      <c r="V1006" s="93"/>
      <c r="W1006" s="93"/>
    </row>
    <row r="1007" spans="2:23" s="14" customFormat="1" ht="17.100000000000001" customHeight="1">
      <c r="B1007" s="89"/>
      <c r="C1007" s="90"/>
      <c r="D1007" s="91"/>
      <c r="E1007" s="92"/>
      <c r="F1007" s="89"/>
      <c r="G1007" s="89"/>
      <c r="H1007" s="89"/>
      <c r="I1007" s="89"/>
      <c r="J1007" s="89"/>
      <c r="K1007" s="89"/>
      <c r="L1007" s="93"/>
      <c r="M1007" s="93"/>
      <c r="N1007" s="93"/>
      <c r="O1007" s="93"/>
      <c r="P1007" s="93"/>
      <c r="Q1007" s="93"/>
      <c r="R1007" s="93"/>
      <c r="S1007" s="93"/>
      <c r="T1007" s="93"/>
      <c r="U1007" s="93"/>
      <c r="V1007" s="93"/>
      <c r="W1007" s="93"/>
    </row>
    <row r="1008" spans="2:23" s="14" customFormat="1" ht="17.100000000000001" customHeight="1">
      <c r="B1008" s="89"/>
      <c r="C1008" s="90"/>
      <c r="D1008" s="91"/>
      <c r="E1008" s="92"/>
      <c r="F1008" s="89"/>
      <c r="G1008" s="89"/>
      <c r="H1008" s="89"/>
      <c r="I1008" s="89"/>
      <c r="J1008" s="89"/>
      <c r="K1008" s="89"/>
      <c r="L1008" s="93"/>
      <c r="M1008" s="93"/>
      <c r="N1008" s="93"/>
      <c r="O1008" s="93"/>
      <c r="P1008" s="93"/>
      <c r="Q1008" s="93"/>
      <c r="R1008" s="93"/>
      <c r="S1008" s="93"/>
      <c r="T1008" s="93"/>
      <c r="U1008" s="93"/>
      <c r="V1008" s="93"/>
      <c r="W1008" s="93"/>
    </row>
    <row r="1009" spans="2:23" s="14" customFormat="1" ht="17.100000000000001" customHeight="1">
      <c r="B1009" s="89"/>
      <c r="C1009" s="90"/>
      <c r="D1009" s="91"/>
      <c r="E1009" s="92"/>
      <c r="F1009" s="89"/>
      <c r="G1009" s="89"/>
      <c r="H1009" s="89"/>
      <c r="I1009" s="89"/>
      <c r="J1009" s="89"/>
      <c r="K1009" s="89"/>
      <c r="L1009" s="93"/>
      <c r="M1009" s="93"/>
      <c r="N1009" s="93"/>
      <c r="O1009" s="93"/>
      <c r="P1009" s="93"/>
      <c r="Q1009" s="93"/>
      <c r="R1009" s="93"/>
      <c r="S1009" s="93"/>
      <c r="T1009" s="93"/>
      <c r="U1009" s="93"/>
      <c r="V1009" s="93"/>
      <c r="W1009" s="93"/>
    </row>
    <row r="1010" spans="2:23" s="14" customFormat="1" ht="17.100000000000001" customHeight="1">
      <c r="B1010" s="89"/>
      <c r="C1010" s="90"/>
      <c r="D1010" s="91"/>
      <c r="E1010" s="92"/>
      <c r="F1010" s="89"/>
      <c r="G1010" s="89"/>
      <c r="H1010" s="89"/>
      <c r="I1010" s="89"/>
      <c r="J1010" s="89"/>
      <c r="K1010" s="89"/>
      <c r="L1010" s="93"/>
      <c r="M1010" s="93"/>
      <c r="N1010" s="93"/>
      <c r="O1010" s="93"/>
      <c r="P1010" s="93"/>
      <c r="Q1010" s="93"/>
      <c r="R1010" s="93"/>
      <c r="S1010" s="93"/>
      <c r="T1010" s="93"/>
      <c r="U1010" s="93"/>
      <c r="V1010" s="93"/>
      <c r="W1010" s="93"/>
    </row>
    <row r="1011" spans="2:23" s="14" customFormat="1" ht="17.100000000000001" customHeight="1">
      <c r="B1011" s="89"/>
      <c r="C1011" s="90"/>
      <c r="D1011" s="91"/>
      <c r="E1011" s="92"/>
      <c r="F1011" s="89"/>
      <c r="G1011" s="89"/>
      <c r="H1011" s="89"/>
      <c r="I1011" s="89"/>
      <c r="J1011" s="89"/>
      <c r="K1011" s="89"/>
      <c r="L1011" s="93"/>
      <c r="M1011" s="93"/>
      <c r="N1011" s="93"/>
      <c r="O1011" s="93"/>
      <c r="P1011" s="93"/>
      <c r="Q1011" s="93"/>
      <c r="R1011" s="93"/>
      <c r="S1011" s="93"/>
      <c r="T1011" s="93"/>
      <c r="U1011" s="93"/>
      <c r="V1011" s="93"/>
      <c r="W1011" s="93"/>
    </row>
    <row r="1012" spans="2:23" s="14" customFormat="1" ht="17.100000000000001" customHeight="1">
      <c r="B1012" s="89"/>
      <c r="C1012" s="90"/>
      <c r="D1012" s="91"/>
      <c r="E1012" s="92"/>
      <c r="F1012" s="89"/>
      <c r="G1012" s="89"/>
      <c r="H1012" s="89"/>
      <c r="I1012" s="89"/>
      <c r="J1012" s="89"/>
      <c r="K1012" s="89"/>
      <c r="L1012" s="93"/>
      <c r="M1012" s="93"/>
      <c r="N1012" s="93"/>
      <c r="O1012" s="93"/>
      <c r="P1012" s="93"/>
      <c r="Q1012" s="93"/>
      <c r="R1012" s="93"/>
      <c r="S1012" s="93"/>
      <c r="T1012" s="93"/>
      <c r="U1012" s="93"/>
      <c r="V1012" s="93"/>
      <c r="W1012" s="93"/>
    </row>
    <row r="1013" spans="2:23" s="14" customFormat="1" ht="17.100000000000001" customHeight="1">
      <c r="B1013" s="89"/>
      <c r="C1013" s="90"/>
      <c r="D1013" s="91"/>
      <c r="E1013" s="92"/>
      <c r="F1013" s="89"/>
      <c r="G1013" s="89"/>
      <c r="H1013" s="89"/>
      <c r="I1013" s="89"/>
      <c r="J1013" s="89"/>
      <c r="K1013" s="89"/>
      <c r="L1013" s="93"/>
      <c r="M1013" s="93"/>
      <c r="N1013" s="93"/>
      <c r="O1013" s="93"/>
      <c r="P1013" s="93"/>
      <c r="Q1013" s="93"/>
      <c r="R1013" s="93"/>
      <c r="S1013" s="93"/>
      <c r="T1013" s="93"/>
      <c r="U1013" s="93"/>
      <c r="V1013" s="93"/>
      <c r="W1013" s="93"/>
    </row>
    <row r="1014" spans="2:23" s="14" customFormat="1" ht="17.100000000000001" customHeight="1">
      <c r="B1014" s="89"/>
      <c r="C1014" s="90"/>
      <c r="D1014" s="91"/>
      <c r="E1014" s="92"/>
      <c r="F1014" s="89"/>
      <c r="G1014" s="89"/>
      <c r="H1014" s="89"/>
      <c r="I1014" s="89"/>
      <c r="J1014" s="89"/>
      <c r="K1014" s="89"/>
      <c r="L1014" s="93"/>
      <c r="M1014" s="93"/>
      <c r="N1014" s="93"/>
      <c r="O1014" s="93"/>
      <c r="P1014" s="93"/>
      <c r="Q1014" s="93"/>
      <c r="R1014" s="93"/>
      <c r="S1014" s="93"/>
      <c r="T1014" s="93"/>
      <c r="U1014" s="93"/>
      <c r="V1014" s="93"/>
      <c r="W1014" s="93"/>
    </row>
    <row r="1015" spans="2:23" s="14" customFormat="1" ht="17.100000000000001" customHeight="1">
      <c r="B1015" s="89"/>
      <c r="C1015" s="90"/>
      <c r="D1015" s="91"/>
      <c r="E1015" s="92"/>
      <c r="F1015" s="89"/>
      <c r="G1015" s="89"/>
      <c r="H1015" s="89"/>
      <c r="I1015" s="89"/>
      <c r="J1015" s="89"/>
      <c r="K1015" s="89"/>
      <c r="L1015" s="93"/>
      <c r="M1015" s="93"/>
      <c r="N1015" s="93"/>
      <c r="O1015" s="93"/>
      <c r="P1015" s="93"/>
      <c r="Q1015" s="93"/>
      <c r="R1015" s="93"/>
      <c r="S1015" s="93"/>
      <c r="T1015" s="93"/>
      <c r="U1015" s="93"/>
      <c r="V1015" s="93"/>
      <c r="W1015" s="93"/>
    </row>
    <row r="1016" spans="2:23" s="14" customFormat="1" ht="17.100000000000001" customHeight="1">
      <c r="B1016" s="89"/>
      <c r="C1016" s="90"/>
      <c r="D1016" s="91"/>
      <c r="E1016" s="92"/>
      <c r="F1016" s="89"/>
      <c r="G1016" s="89"/>
      <c r="H1016" s="89"/>
      <c r="I1016" s="89"/>
      <c r="J1016" s="89"/>
      <c r="K1016" s="89"/>
      <c r="L1016" s="93"/>
      <c r="M1016" s="93"/>
      <c r="N1016" s="93"/>
      <c r="O1016" s="93"/>
      <c r="P1016" s="93"/>
      <c r="Q1016" s="93"/>
      <c r="R1016" s="93"/>
      <c r="S1016" s="93"/>
      <c r="T1016" s="93"/>
      <c r="U1016" s="93"/>
      <c r="V1016" s="93"/>
      <c r="W1016" s="93"/>
    </row>
    <row r="1017" spans="2:23" s="14" customFormat="1" ht="17.100000000000001" customHeight="1">
      <c r="B1017" s="89"/>
      <c r="C1017" s="90"/>
      <c r="D1017" s="91"/>
      <c r="E1017" s="92"/>
      <c r="F1017" s="89"/>
      <c r="G1017" s="89"/>
      <c r="H1017" s="89"/>
      <c r="I1017" s="89"/>
      <c r="J1017" s="89"/>
      <c r="K1017" s="89"/>
      <c r="L1017" s="93"/>
      <c r="M1017" s="93"/>
      <c r="N1017" s="93"/>
      <c r="O1017" s="93"/>
      <c r="P1017" s="93"/>
      <c r="Q1017" s="93"/>
      <c r="R1017" s="93"/>
      <c r="S1017" s="93"/>
      <c r="T1017" s="93"/>
      <c r="U1017" s="93"/>
      <c r="V1017" s="93"/>
      <c r="W1017" s="93"/>
    </row>
    <row r="1018" spans="2:23" s="14" customFormat="1" ht="17.100000000000001" customHeight="1">
      <c r="B1018" s="89"/>
      <c r="C1018" s="90"/>
      <c r="D1018" s="91"/>
      <c r="E1018" s="92"/>
      <c r="F1018" s="89"/>
      <c r="G1018" s="89"/>
      <c r="H1018" s="89"/>
      <c r="I1018" s="89"/>
      <c r="J1018" s="89"/>
      <c r="K1018" s="89"/>
      <c r="L1018" s="93"/>
      <c r="M1018" s="93"/>
      <c r="N1018" s="93"/>
      <c r="O1018" s="93"/>
      <c r="P1018" s="93"/>
      <c r="Q1018" s="93"/>
      <c r="R1018" s="93"/>
      <c r="S1018" s="93"/>
      <c r="T1018" s="93"/>
      <c r="U1018" s="93"/>
      <c r="V1018" s="93"/>
      <c r="W1018" s="93"/>
    </row>
    <row r="1019" spans="2:23" s="14" customFormat="1" ht="17.100000000000001" customHeight="1">
      <c r="B1019" s="89"/>
      <c r="C1019" s="90"/>
      <c r="D1019" s="91"/>
      <c r="E1019" s="92"/>
      <c r="F1019" s="89"/>
      <c r="G1019" s="89"/>
      <c r="H1019" s="89"/>
      <c r="I1019" s="89"/>
      <c r="J1019" s="89"/>
      <c r="K1019" s="89"/>
      <c r="L1019" s="93"/>
      <c r="M1019" s="93"/>
      <c r="N1019" s="93"/>
      <c r="O1019" s="93"/>
      <c r="P1019" s="93"/>
      <c r="Q1019" s="93"/>
      <c r="R1019" s="93"/>
      <c r="S1019" s="93"/>
      <c r="T1019" s="93"/>
      <c r="U1019" s="93"/>
      <c r="V1019" s="93"/>
      <c r="W1019" s="93"/>
    </row>
    <row r="1020" spans="2:23" s="14" customFormat="1" ht="17.100000000000001" customHeight="1">
      <c r="B1020" s="89"/>
      <c r="C1020" s="90"/>
      <c r="D1020" s="91"/>
      <c r="E1020" s="92"/>
      <c r="F1020" s="89"/>
      <c r="G1020" s="89"/>
      <c r="H1020" s="89"/>
      <c r="I1020" s="89"/>
      <c r="J1020" s="89"/>
      <c r="K1020" s="89"/>
      <c r="L1020" s="93"/>
      <c r="M1020" s="93"/>
      <c r="N1020" s="93"/>
      <c r="O1020" s="93"/>
      <c r="P1020" s="93"/>
      <c r="Q1020" s="93"/>
      <c r="R1020" s="93"/>
      <c r="S1020" s="93"/>
      <c r="T1020" s="93"/>
      <c r="U1020" s="93"/>
      <c r="V1020" s="93"/>
      <c r="W1020" s="93"/>
    </row>
    <row r="1021" spans="2:23" s="14" customFormat="1" ht="17.100000000000001" customHeight="1">
      <c r="B1021" s="89"/>
      <c r="C1021" s="90"/>
      <c r="D1021" s="91"/>
      <c r="E1021" s="92"/>
      <c r="F1021" s="89"/>
      <c r="G1021" s="89"/>
      <c r="H1021" s="89"/>
      <c r="I1021" s="89"/>
      <c r="J1021" s="89"/>
      <c r="K1021" s="89"/>
      <c r="L1021" s="93"/>
      <c r="M1021" s="93"/>
      <c r="N1021" s="93"/>
      <c r="O1021" s="93"/>
      <c r="P1021" s="93"/>
      <c r="Q1021" s="93"/>
      <c r="R1021" s="93"/>
      <c r="S1021" s="93"/>
      <c r="T1021" s="93"/>
      <c r="U1021" s="93"/>
      <c r="V1021" s="93"/>
      <c r="W1021" s="93"/>
    </row>
    <row r="1022" spans="2:23" s="14" customFormat="1" ht="17.100000000000001" customHeight="1">
      <c r="B1022" s="89"/>
      <c r="C1022" s="90"/>
      <c r="D1022" s="91"/>
      <c r="E1022" s="92"/>
      <c r="F1022" s="89"/>
      <c r="G1022" s="89"/>
      <c r="H1022" s="89"/>
      <c r="I1022" s="89"/>
      <c r="J1022" s="89"/>
      <c r="K1022" s="89"/>
      <c r="L1022" s="93"/>
      <c r="M1022" s="93"/>
      <c r="N1022" s="93"/>
      <c r="O1022" s="93"/>
      <c r="P1022" s="93"/>
      <c r="Q1022" s="93"/>
      <c r="R1022" s="93"/>
      <c r="S1022" s="93"/>
      <c r="T1022" s="93"/>
      <c r="U1022" s="93"/>
      <c r="V1022" s="93"/>
      <c r="W1022" s="93"/>
    </row>
    <row r="1023" spans="2:23" s="14" customFormat="1" ht="17.100000000000001" customHeight="1">
      <c r="B1023" s="89"/>
      <c r="C1023" s="90"/>
      <c r="D1023" s="91"/>
      <c r="E1023" s="92"/>
      <c r="F1023" s="89"/>
      <c r="G1023" s="89"/>
      <c r="H1023" s="89"/>
      <c r="I1023" s="89"/>
      <c r="J1023" s="89"/>
      <c r="K1023" s="89"/>
      <c r="L1023" s="93"/>
      <c r="M1023" s="93"/>
      <c r="N1023" s="93"/>
      <c r="O1023" s="93"/>
      <c r="P1023" s="93"/>
      <c r="Q1023" s="93"/>
      <c r="R1023" s="93"/>
      <c r="S1023" s="93"/>
      <c r="T1023" s="93"/>
      <c r="U1023" s="93"/>
      <c r="V1023" s="93"/>
      <c r="W1023" s="93"/>
    </row>
    <row r="1024" spans="2:23" s="14" customFormat="1" ht="17.100000000000001" customHeight="1">
      <c r="B1024" s="89"/>
      <c r="C1024" s="90"/>
      <c r="D1024" s="91"/>
      <c r="E1024" s="92"/>
      <c r="F1024" s="89"/>
      <c r="G1024" s="89"/>
      <c r="H1024" s="89"/>
      <c r="I1024" s="89"/>
      <c r="J1024" s="89"/>
      <c r="K1024" s="89"/>
      <c r="L1024" s="93"/>
      <c r="M1024" s="93"/>
      <c r="N1024" s="93"/>
      <c r="O1024" s="93"/>
      <c r="P1024" s="93"/>
      <c r="Q1024" s="93"/>
      <c r="R1024" s="93"/>
      <c r="S1024" s="93"/>
      <c r="T1024" s="93"/>
      <c r="U1024" s="93"/>
      <c r="V1024" s="93"/>
      <c r="W1024" s="93"/>
    </row>
    <row r="1025" spans="2:23" s="14" customFormat="1" ht="17.100000000000001" customHeight="1">
      <c r="B1025" s="89"/>
      <c r="C1025" s="90"/>
      <c r="D1025" s="91"/>
      <c r="E1025" s="92"/>
      <c r="F1025" s="89"/>
      <c r="G1025" s="89"/>
      <c r="H1025" s="89"/>
      <c r="I1025" s="89"/>
      <c r="J1025" s="89"/>
      <c r="K1025" s="89"/>
      <c r="L1025" s="93"/>
      <c r="M1025" s="93"/>
      <c r="N1025" s="93"/>
      <c r="O1025" s="93"/>
      <c r="P1025" s="93"/>
      <c r="Q1025" s="93"/>
      <c r="R1025" s="93"/>
      <c r="S1025" s="93"/>
      <c r="T1025" s="93"/>
      <c r="U1025" s="93"/>
      <c r="V1025" s="93"/>
      <c r="W1025" s="93"/>
    </row>
    <row r="1026" spans="2:23" s="14" customFormat="1" ht="17.100000000000001" customHeight="1">
      <c r="B1026" s="89"/>
      <c r="C1026" s="90"/>
      <c r="D1026" s="91"/>
      <c r="E1026" s="92"/>
      <c r="F1026" s="89"/>
      <c r="G1026" s="89"/>
      <c r="H1026" s="89"/>
      <c r="I1026" s="89"/>
      <c r="J1026" s="89"/>
      <c r="K1026" s="89"/>
      <c r="L1026" s="93"/>
      <c r="M1026" s="93"/>
      <c r="N1026" s="93"/>
      <c r="O1026" s="93"/>
      <c r="P1026" s="93"/>
      <c r="Q1026" s="93"/>
      <c r="R1026" s="93"/>
      <c r="S1026" s="93"/>
      <c r="T1026" s="93"/>
      <c r="U1026" s="93"/>
      <c r="V1026" s="93"/>
      <c r="W1026" s="93"/>
    </row>
    <row r="1027" spans="2:23" s="14" customFormat="1" ht="17.100000000000001" customHeight="1">
      <c r="B1027" s="89"/>
      <c r="C1027" s="90"/>
      <c r="D1027" s="91"/>
      <c r="E1027" s="92"/>
      <c r="F1027" s="89"/>
      <c r="G1027" s="89"/>
      <c r="H1027" s="89"/>
      <c r="I1027" s="89"/>
      <c r="J1027" s="89"/>
      <c r="K1027" s="89"/>
      <c r="L1027" s="93"/>
      <c r="M1027" s="93"/>
      <c r="N1027" s="93"/>
      <c r="O1027" s="93"/>
      <c r="P1027" s="93"/>
      <c r="Q1027" s="93"/>
      <c r="R1027" s="93"/>
      <c r="S1027" s="93"/>
      <c r="T1027" s="93"/>
      <c r="U1027" s="93"/>
      <c r="V1027" s="93"/>
      <c r="W1027" s="93"/>
    </row>
    <row r="1028" spans="2:23" s="14" customFormat="1" ht="17.100000000000001" customHeight="1">
      <c r="B1028" s="89"/>
      <c r="C1028" s="90"/>
      <c r="D1028" s="91"/>
      <c r="E1028" s="92"/>
      <c r="F1028" s="89"/>
      <c r="G1028" s="89"/>
      <c r="H1028" s="89"/>
      <c r="I1028" s="89"/>
      <c r="J1028" s="89"/>
      <c r="K1028" s="89"/>
      <c r="L1028" s="93"/>
      <c r="M1028" s="93"/>
      <c r="N1028" s="93"/>
      <c r="O1028" s="93"/>
      <c r="P1028" s="93"/>
      <c r="Q1028" s="93"/>
      <c r="R1028" s="93"/>
      <c r="S1028" s="93"/>
      <c r="T1028" s="93"/>
      <c r="U1028" s="93"/>
      <c r="V1028" s="93"/>
      <c r="W1028" s="93"/>
    </row>
    <row r="1029" spans="2:23" s="14" customFormat="1" ht="17.100000000000001" customHeight="1">
      <c r="B1029" s="89"/>
      <c r="C1029" s="90"/>
      <c r="D1029" s="91"/>
      <c r="E1029" s="92"/>
      <c r="F1029" s="89"/>
      <c r="G1029" s="89"/>
      <c r="H1029" s="89"/>
      <c r="I1029" s="89"/>
      <c r="J1029" s="89"/>
      <c r="K1029" s="89"/>
      <c r="L1029" s="93"/>
      <c r="M1029" s="93"/>
      <c r="N1029" s="93"/>
      <c r="O1029" s="93"/>
      <c r="P1029" s="93"/>
      <c r="Q1029" s="93"/>
      <c r="R1029" s="93"/>
      <c r="S1029" s="93"/>
      <c r="T1029" s="93"/>
      <c r="U1029" s="93"/>
      <c r="V1029" s="93"/>
      <c r="W1029" s="93"/>
    </row>
    <row r="1030" spans="2:23" s="14" customFormat="1" ht="17.100000000000001" customHeight="1">
      <c r="B1030" s="89"/>
      <c r="C1030" s="90"/>
      <c r="D1030" s="91"/>
      <c r="E1030" s="92"/>
      <c r="F1030" s="89"/>
      <c r="G1030" s="89"/>
      <c r="H1030" s="89"/>
      <c r="I1030" s="89"/>
      <c r="J1030" s="89"/>
      <c r="K1030" s="89"/>
      <c r="L1030" s="93"/>
      <c r="M1030" s="93"/>
      <c r="N1030" s="93"/>
      <c r="O1030" s="93"/>
      <c r="P1030" s="93"/>
      <c r="Q1030" s="93"/>
      <c r="R1030" s="93"/>
      <c r="S1030" s="93"/>
      <c r="T1030" s="93"/>
      <c r="U1030" s="93"/>
      <c r="V1030" s="93"/>
      <c r="W1030" s="93"/>
    </row>
    <row r="1031" spans="2:23" s="14" customFormat="1" ht="17.100000000000001" customHeight="1">
      <c r="B1031" s="89"/>
      <c r="C1031" s="90"/>
      <c r="D1031" s="91"/>
      <c r="E1031" s="92"/>
      <c r="F1031" s="89"/>
      <c r="G1031" s="89"/>
      <c r="H1031" s="89"/>
      <c r="I1031" s="89"/>
      <c r="J1031" s="89"/>
      <c r="K1031" s="89"/>
      <c r="L1031" s="93"/>
      <c r="M1031" s="93"/>
      <c r="N1031" s="93"/>
      <c r="O1031" s="93"/>
      <c r="P1031" s="93"/>
      <c r="Q1031" s="93"/>
      <c r="R1031" s="93"/>
      <c r="S1031" s="93"/>
      <c r="T1031" s="93"/>
      <c r="U1031" s="93"/>
      <c r="V1031" s="93"/>
      <c r="W1031" s="93"/>
    </row>
    <row r="1032" spans="2:23" s="14" customFormat="1" ht="17.100000000000001" customHeight="1">
      <c r="B1032" s="89"/>
      <c r="C1032" s="90"/>
      <c r="D1032" s="91"/>
      <c r="E1032" s="92"/>
      <c r="F1032" s="89"/>
      <c r="G1032" s="89"/>
      <c r="H1032" s="89"/>
      <c r="I1032" s="89"/>
      <c r="J1032" s="89"/>
      <c r="K1032" s="89"/>
      <c r="L1032" s="93"/>
      <c r="M1032" s="93"/>
      <c r="N1032" s="93"/>
      <c r="O1032" s="93"/>
      <c r="P1032" s="93"/>
      <c r="Q1032" s="93"/>
      <c r="R1032" s="93"/>
      <c r="S1032" s="93"/>
      <c r="T1032" s="93"/>
      <c r="U1032" s="93"/>
      <c r="V1032" s="93"/>
      <c r="W1032" s="93"/>
    </row>
    <row r="1033" spans="2:23" s="14" customFormat="1" ht="17.100000000000001" customHeight="1">
      <c r="B1033" s="89"/>
      <c r="C1033" s="90"/>
      <c r="D1033" s="91"/>
      <c r="E1033" s="92"/>
      <c r="F1033" s="89"/>
      <c r="G1033" s="89"/>
      <c r="H1033" s="89"/>
      <c r="I1033" s="89"/>
      <c r="J1033" s="89"/>
      <c r="K1033" s="89"/>
      <c r="L1033" s="93"/>
      <c r="M1033" s="93"/>
      <c r="N1033" s="93"/>
      <c r="O1033" s="93"/>
      <c r="P1033" s="93"/>
      <c r="Q1033" s="93"/>
      <c r="R1033" s="93"/>
      <c r="S1033" s="93"/>
      <c r="T1033" s="93"/>
      <c r="U1033" s="93"/>
      <c r="V1033" s="93"/>
      <c r="W1033" s="93"/>
    </row>
    <row r="1034" spans="2:23" s="14" customFormat="1" ht="17.100000000000001" customHeight="1">
      <c r="B1034" s="89"/>
      <c r="C1034" s="90"/>
      <c r="D1034" s="91"/>
      <c r="E1034" s="92"/>
      <c r="F1034" s="89"/>
      <c r="G1034" s="89"/>
      <c r="H1034" s="89"/>
      <c r="I1034" s="89"/>
      <c r="J1034" s="89"/>
      <c r="K1034" s="89"/>
      <c r="L1034" s="93"/>
      <c r="M1034" s="93"/>
      <c r="N1034" s="93"/>
      <c r="O1034" s="93"/>
      <c r="P1034" s="93"/>
      <c r="Q1034" s="93"/>
      <c r="R1034" s="93"/>
      <c r="S1034" s="93"/>
      <c r="T1034" s="93"/>
      <c r="U1034" s="93"/>
      <c r="V1034" s="93"/>
      <c r="W1034" s="93"/>
    </row>
    <row r="1035" spans="2:23" s="14" customFormat="1" ht="17.100000000000001" customHeight="1">
      <c r="B1035" s="89"/>
      <c r="C1035" s="90"/>
      <c r="D1035" s="91"/>
      <c r="E1035" s="92"/>
      <c r="F1035" s="89"/>
      <c r="G1035" s="89"/>
      <c r="H1035" s="89"/>
      <c r="I1035" s="89"/>
      <c r="J1035" s="89"/>
      <c r="K1035" s="89"/>
      <c r="L1035" s="93"/>
      <c r="M1035" s="93"/>
      <c r="N1035" s="93"/>
      <c r="O1035" s="93"/>
      <c r="P1035" s="93"/>
      <c r="Q1035" s="93"/>
      <c r="R1035" s="93"/>
      <c r="S1035" s="93"/>
      <c r="T1035" s="93"/>
      <c r="U1035" s="93"/>
      <c r="V1035" s="93"/>
      <c r="W1035" s="93"/>
    </row>
    <row r="1036" spans="2:23" s="14" customFormat="1" ht="17.100000000000001" customHeight="1">
      <c r="B1036" s="89"/>
      <c r="C1036" s="90"/>
      <c r="D1036" s="91"/>
      <c r="E1036" s="92"/>
      <c r="F1036" s="89"/>
      <c r="G1036" s="89"/>
      <c r="H1036" s="89"/>
      <c r="I1036" s="89"/>
      <c r="J1036" s="89"/>
      <c r="K1036" s="89"/>
      <c r="L1036" s="93"/>
      <c r="M1036" s="93"/>
      <c r="N1036" s="93"/>
      <c r="O1036" s="93"/>
      <c r="P1036" s="93"/>
      <c r="Q1036" s="93"/>
      <c r="R1036" s="93"/>
      <c r="S1036" s="93"/>
      <c r="T1036" s="93"/>
      <c r="U1036" s="93"/>
      <c r="V1036" s="93"/>
      <c r="W1036" s="93"/>
    </row>
    <row r="1037" spans="2:23" s="14" customFormat="1" ht="17.100000000000001" customHeight="1">
      <c r="B1037" s="89"/>
      <c r="C1037" s="90"/>
      <c r="D1037" s="91"/>
      <c r="E1037" s="92"/>
      <c r="F1037" s="89"/>
      <c r="G1037" s="89"/>
      <c r="H1037" s="89"/>
      <c r="I1037" s="89"/>
      <c r="J1037" s="89"/>
      <c r="K1037" s="89"/>
      <c r="L1037" s="93"/>
      <c r="M1037" s="93"/>
      <c r="N1037" s="93"/>
      <c r="O1037" s="93"/>
      <c r="P1037" s="93"/>
      <c r="Q1037" s="93"/>
      <c r="R1037" s="93"/>
      <c r="S1037" s="93"/>
      <c r="T1037" s="93"/>
      <c r="U1037" s="93"/>
      <c r="V1037" s="93"/>
      <c r="W1037" s="93"/>
    </row>
    <row r="1038" spans="2:23" s="14" customFormat="1" ht="17.100000000000001" customHeight="1">
      <c r="B1038" s="89"/>
      <c r="C1038" s="90"/>
      <c r="D1038" s="91"/>
      <c r="E1038" s="92"/>
      <c r="F1038" s="89"/>
      <c r="G1038" s="89"/>
      <c r="H1038" s="89"/>
      <c r="I1038" s="89"/>
      <c r="J1038" s="89"/>
      <c r="K1038" s="89"/>
      <c r="L1038" s="93"/>
      <c r="M1038" s="93"/>
      <c r="N1038" s="93"/>
      <c r="O1038" s="93"/>
      <c r="P1038" s="93"/>
      <c r="Q1038" s="93"/>
      <c r="R1038" s="93"/>
      <c r="S1038" s="93"/>
      <c r="T1038" s="93"/>
      <c r="U1038" s="93"/>
      <c r="V1038" s="93"/>
      <c r="W1038" s="93"/>
    </row>
    <row r="1039" spans="2:23" s="14" customFormat="1" ht="17.100000000000001" customHeight="1">
      <c r="B1039" s="89"/>
      <c r="C1039" s="90"/>
      <c r="D1039" s="91"/>
      <c r="E1039" s="92"/>
      <c r="F1039" s="89"/>
      <c r="G1039" s="89"/>
      <c r="H1039" s="89"/>
      <c r="I1039" s="89"/>
      <c r="J1039" s="89"/>
      <c r="K1039" s="89"/>
      <c r="L1039" s="93"/>
      <c r="M1039" s="93"/>
      <c r="N1039" s="93"/>
      <c r="O1039" s="93"/>
      <c r="P1039" s="93"/>
      <c r="Q1039" s="93"/>
      <c r="R1039" s="93"/>
      <c r="S1039" s="93"/>
      <c r="T1039" s="93"/>
      <c r="U1039" s="93"/>
      <c r="V1039" s="93"/>
      <c r="W1039" s="93"/>
    </row>
    <row r="1040" spans="2:23" s="14" customFormat="1" ht="17.100000000000001" customHeight="1">
      <c r="B1040" s="89"/>
      <c r="C1040" s="90"/>
      <c r="D1040" s="91"/>
      <c r="E1040" s="92"/>
      <c r="F1040" s="89"/>
      <c r="G1040" s="89"/>
      <c r="H1040" s="89"/>
      <c r="I1040" s="89"/>
      <c r="J1040" s="89"/>
      <c r="K1040" s="89"/>
      <c r="L1040" s="93"/>
      <c r="M1040" s="93"/>
      <c r="N1040" s="93"/>
      <c r="O1040" s="93"/>
      <c r="P1040" s="93"/>
      <c r="Q1040" s="93"/>
      <c r="R1040" s="93"/>
      <c r="S1040" s="93"/>
      <c r="T1040" s="93"/>
      <c r="U1040" s="93"/>
      <c r="V1040" s="93"/>
      <c r="W1040" s="93"/>
    </row>
    <row r="1041" spans="2:23" s="14" customFormat="1" ht="17.100000000000001" customHeight="1">
      <c r="B1041" s="89"/>
      <c r="C1041" s="90"/>
      <c r="D1041" s="91"/>
      <c r="E1041" s="92"/>
      <c r="F1041" s="89"/>
      <c r="G1041" s="89"/>
      <c r="H1041" s="89"/>
      <c r="I1041" s="89"/>
      <c r="J1041" s="89"/>
      <c r="K1041" s="89"/>
      <c r="L1041" s="93"/>
      <c r="M1041" s="93"/>
      <c r="N1041" s="93"/>
      <c r="O1041" s="93"/>
      <c r="P1041" s="93"/>
      <c r="Q1041" s="93"/>
      <c r="R1041" s="93"/>
      <c r="S1041" s="93"/>
      <c r="T1041" s="93"/>
      <c r="U1041" s="93"/>
      <c r="V1041" s="93"/>
      <c r="W1041" s="93"/>
    </row>
    <row r="1042" spans="2:23" s="14" customFormat="1" ht="17.100000000000001" customHeight="1">
      <c r="B1042" s="89"/>
      <c r="C1042" s="90"/>
      <c r="D1042" s="91"/>
      <c r="E1042" s="92"/>
      <c r="F1042" s="89"/>
      <c r="G1042" s="89"/>
      <c r="H1042" s="89"/>
      <c r="I1042" s="89"/>
      <c r="J1042" s="89"/>
      <c r="K1042" s="89"/>
      <c r="L1042" s="93"/>
      <c r="M1042" s="93"/>
      <c r="N1042" s="93"/>
      <c r="O1042" s="93"/>
      <c r="P1042" s="93"/>
      <c r="Q1042" s="93"/>
      <c r="R1042" s="93"/>
      <c r="S1042" s="93"/>
      <c r="T1042" s="93"/>
      <c r="U1042" s="93"/>
      <c r="V1042" s="93"/>
      <c r="W1042" s="93"/>
    </row>
    <row r="1043" spans="2:23" s="14" customFormat="1" ht="17.100000000000001" customHeight="1">
      <c r="B1043" s="89"/>
      <c r="C1043" s="90"/>
      <c r="D1043" s="91"/>
      <c r="E1043" s="92"/>
      <c r="F1043" s="89"/>
      <c r="G1043" s="89"/>
      <c r="H1043" s="89"/>
      <c r="I1043" s="89"/>
      <c r="J1043" s="89"/>
      <c r="K1043" s="89"/>
      <c r="L1043" s="93"/>
      <c r="M1043" s="93"/>
      <c r="N1043" s="93"/>
      <c r="O1043" s="93"/>
      <c r="P1043" s="93"/>
      <c r="Q1043" s="93"/>
      <c r="R1043" s="93"/>
      <c r="S1043" s="93"/>
      <c r="T1043" s="93"/>
      <c r="U1043" s="93"/>
      <c r="V1043" s="93"/>
      <c r="W1043" s="93"/>
    </row>
    <row r="1044" spans="2:23" s="14" customFormat="1" ht="17.100000000000001" customHeight="1">
      <c r="B1044" s="89"/>
      <c r="C1044" s="90"/>
      <c r="D1044" s="91"/>
      <c r="E1044" s="92"/>
      <c r="F1044" s="89"/>
      <c r="G1044" s="89"/>
      <c r="H1044" s="89"/>
      <c r="I1044" s="89"/>
      <c r="J1044" s="89"/>
      <c r="K1044" s="89"/>
      <c r="L1044" s="93"/>
      <c r="M1044" s="93"/>
      <c r="N1044" s="93"/>
      <c r="O1044" s="93"/>
      <c r="P1044" s="93"/>
      <c r="Q1044" s="93"/>
      <c r="R1044" s="93"/>
      <c r="S1044" s="93"/>
      <c r="T1044" s="93"/>
      <c r="U1044" s="93"/>
      <c r="V1044" s="93"/>
      <c r="W1044" s="93"/>
    </row>
    <row r="1045" spans="2:23" s="14" customFormat="1" ht="17.100000000000001" customHeight="1">
      <c r="B1045" s="89"/>
      <c r="C1045" s="90"/>
      <c r="D1045" s="91"/>
      <c r="E1045" s="92"/>
      <c r="F1045" s="89"/>
      <c r="G1045" s="89"/>
      <c r="H1045" s="89"/>
      <c r="I1045" s="89"/>
      <c r="J1045" s="89"/>
      <c r="K1045" s="89"/>
      <c r="L1045" s="93"/>
      <c r="M1045" s="93"/>
      <c r="N1045" s="93"/>
      <c r="O1045" s="93"/>
      <c r="P1045" s="93"/>
      <c r="Q1045" s="93"/>
      <c r="R1045" s="93"/>
      <c r="S1045" s="93"/>
      <c r="T1045" s="93"/>
      <c r="U1045" s="93"/>
      <c r="V1045" s="93"/>
      <c r="W1045" s="93"/>
    </row>
    <row r="1046" spans="2:23" s="14" customFormat="1" ht="17.100000000000001" customHeight="1">
      <c r="B1046" s="89"/>
      <c r="C1046" s="90"/>
      <c r="D1046" s="91"/>
      <c r="E1046" s="92"/>
      <c r="F1046" s="89"/>
      <c r="G1046" s="89"/>
      <c r="H1046" s="89"/>
      <c r="I1046" s="89"/>
      <c r="J1046" s="89"/>
      <c r="K1046" s="89"/>
      <c r="L1046" s="93"/>
      <c r="M1046" s="93"/>
      <c r="N1046" s="93"/>
      <c r="O1046" s="93"/>
      <c r="P1046" s="93"/>
      <c r="Q1046" s="93"/>
      <c r="R1046" s="93"/>
      <c r="S1046" s="93"/>
      <c r="T1046" s="93"/>
      <c r="U1046" s="93"/>
      <c r="V1046" s="93"/>
      <c r="W1046" s="93"/>
    </row>
    <row r="1047" spans="2:23" s="14" customFormat="1" ht="17.100000000000001" customHeight="1">
      <c r="B1047" s="89"/>
      <c r="C1047" s="90"/>
      <c r="D1047" s="91"/>
      <c r="E1047" s="92"/>
      <c r="F1047" s="89"/>
      <c r="G1047" s="89"/>
      <c r="H1047" s="89"/>
      <c r="I1047" s="89"/>
      <c r="J1047" s="89"/>
      <c r="K1047" s="89"/>
      <c r="L1047" s="93"/>
      <c r="M1047" s="93"/>
      <c r="N1047" s="93"/>
      <c r="O1047" s="93"/>
      <c r="P1047" s="93"/>
      <c r="Q1047" s="93"/>
      <c r="R1047" s="93"/>
      <c r="S1047" s="93"/>
      <c r="T1047" s="93"/>
      <c r="U1047" s="93"/>
      <c r="V1047" s="93"/>
      <c r="W1047" s="93"/>
    </row>
    <row r="1048" spans="2:23" s="14" customFormat="1" ht="17.100000000000001" customHeight="1">
      <c r="B1048" s="89"/>
      <c r="C1048" s="90"/>
      <c r="D1048" s="91"/>
      <c r="E1048" s="92"/>
      <c r="F1048" s="89"/>
      <c r="G1048" s="89"/>
      <c r="H1048" s="89"/>
      <c r="I1048" s="89"/>
      <c r="J1048" s="89"/>
      <c r="K1048" s="89"/>
      <c r="L1048" s="93"/>
      <c r="M1048" s="93"/>
      <c r="N1048" s="93"/>
      <c r="O1048" s="93"/>
      <c r="P1048" s="93"/>
      <c r="Q1048" s="93"/>
      <c r="R1048" s="93"/>
      <c r="S1048" s="93"/>
      <c r="T1048" s="93"/>
      <c r="U1048" s="93"/>
      <c r="V1048" s="93"/>
      <c r="W1048" s="93"/>
    </row>
    <row r="1049" spans="2:23" s="14" customFormat="1" ht="17.100000000000001" customHeight="1">
      <c r="B1049" s="89"/>
      <c r="C1049" s="90"/>
      <c r="D1049" s="91"/>
      <c r="E1049" s="92"/>
      <c r="F1049" s="89"/>
      <c r="G1049" s="89"/>
      <c r="H1049" s="89"/>
      <c r="I1049" s="89"/>
      <c r="J1049" s="89"/>
      <c r="K1049" s="89"/>
      <c r="L1049" s="93"/>
      <c r="M1049" s="93"/>
      <c r="N1049" s="93"/>
      <c r="O1049" s="93"/>
      <c r="P1049" s="93"/>
      <c r="Q1049" s="93"/>
      <c r="R1049" s="93"/>
      <c r="S1049" s="93"/>
      <c r="T1049" s="93"/>
      <c r="U1049" s="93"/>
      <c r="V1049" s="93"/>
      <c r="W1049" s="93"/>
    </row>
    <row r="1050" spans="2:23" s="14" customFormat="1" ht="17.100000000000001" customHeight="1">
      <c r="B1050" s="89"/>
      <c r="C1050" s="90"/>
      <c r="D1050" s="91"/>
      <c r="E1050" s="92"/>
      <c r="F1050" s="89"/>
      <c r="G1050" s="89"/>
      <c r="H1050" s="89"/>
      <c r="I1050" s="89"/>
      <c r="J1050" s="89"/>
      <c r="K1050" s="89"/>
      <c r="L1050" s="93"/>
      <c r="M1050" s="93"/>
      <c r="N1050" s="93"/>
      <c r="O1050" s="93"/>
      <c r="P1050" s="93"/>
      <c r="Q1050" s="93"/>
      <c r="R1050" s="93"/>
      <c r="S1050" s="93"/>
      <c r="T1050" s="93"/>
      <c r="U1050" s="93"/>
      <c r="V1050" s="93"/>
      <c r="W1050" s="93"/>
    </row>
    <row r="1051" spans="2:23" s="14" customFormat="1" ht="17.100000000000001" customHeight="1">
      <c r="B1051" s="89"/>
      <c r="C1051" s="90"/>
      <c r="D1051" s="91"/>
      <c r="E1051" s="92"/>
      <c r="F1051" s="89"/>
      <c r="G1051" s="89"/>
      <c r="H1051" s="89"/>
      <c r="I1051" s="89"/>
      <c r="J1051" s="89"/>
      <c r="K1051" s="89"/>
      <c r="L1051" s="93"/>
      <c r="M1051" s="93"/>
      <c r="N1051" s="93"/>
      <c r="O1051" s="93"/>
      <c r="P1051" s="93"/>
      <c r="Q1051" s="93"/>
      <c r="R1051" s="93"/>
      <c r="S1051" s="93"/>
      <c r="T1051" s="93"/>
      <c r="U1051" s="93"/>
      <c r="V1051" s="93"/>
      <c r="W1051" s="93"/>
    </row>
  </sheetData>
  <dataConsolidate/>
  <mergeCells count="3">
    <mergeCell ref="C5:E5"/>
    <mergeCell ref="F5:K6"/>
    <mergeCell ref="C6:E6"/>
  </mergeCells>
  <phoneticPr fontId="31" type="noConversion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1073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074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161925</xdr:rowOff>
                  </from>
                  <to>
                    <xdr:col>4</xdr:col>
                    <xdr:colOff>9525</xdr:colOff>
                    <xdr:row>7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1"/>
  <dimension ref="A1:Y1040"/>
  <sheetViews>
    <sheetView showGridLines="0" zoomScaleNormal="100" workbookViewId="0">
      <selection activeCell="K10" sqref="K10"/>
    </sheetView>
  </sheetViews>
  <sheetFormatPr defaultColWidth="9.140625" defaultRowHeight="17.100000000000001" customHeight="1"/>
  <cols>
    <col min="1" max="1" width="4.42578125" style="2" customWidth="1"/>
    <col min="2" max="2" width="25.7109375" style="4" bestFit="1" customWidth="1"/>
    <col min="3" max="3" width="19.7109375" style="44" customWidth="1"/>
    <col min="4" max="4" width="10.7109375" style="39" customWidth="1"/>
    <col min="5" max="5" width="7" style="35" customWidth="1"/>
    <col min="6" max="7" width="7.7109375" style="4" customWidth="1"/>
    <col min="8" max="8" width="8.7109375" style="4" customWidth="1"/>
    <col min="9" max="9" width="7.7109375" style="4" customWidth="1"/>
    <col min="10" max="10" width="6.7109375" style="4" customWidth="1"/>
    <col min="11" max="11" width="48.5703125" style="4" customWidth="1"/>
    <col min="12" max="12" width="12.28515625" style="2" bestFit="1" customWidth="1"/>
    <col min="13" max="13" width="14.140625" style="2" bestFit="1" customWidth="1"/>
    <col min="14" max="16384" width="9.140625" style="2"/>
  </cols>
  <sheetData>
    <row r="1" spans="1:15" s="29" customFormat="1" ht="22.5" customHeight="1" thickBot="1">
      <c r="A1" s="97" t="s">
        <v>539</v>
      </c>
      <c r="B1" s="98"/>
      <c r="C1" s="99"/>
      <c r="D1" s="100"/>
      <c r="E1" s="101"/>
      <c r="F1" s="102" t="s">
        <v>543</v>
      </c>
      <c r="G1" s="103"/>
      <c r="H1" s="103"/>
      <c r="I1" s="104" t="s">
        <v>540</v>
      </c>
      <c r="J1" s="105"/>
      <c r="K1" s="106" t="s">
        <v>590</v>
      </c>
      <c r="L1" s="45"/>
      <c r="M1" s="46"/>
      <c r="N1" s="47"/>
    </row>
    <row r="2" spans="1:15" s="29" customFormat="1" ht="17.100000000000001" customHeight="1" thickBot="1">
      <c r="A2" s="107" t="s">
        <v>592</v>
      </c>
      <c r="B2" s="108"/>
      <c r="C2" s="109" t="s">
        <v>541</v>
      </c>
      <c r="D2" s="110"/>
      <c r="E2" s="111"/>
      <c r="F2" s="112"/>
      <c r="G2" s="112"/>
      <c r="H2" s="112"/>
      <c r="I2" s="112"/>
      <c r="J2" s="113"/>
      <c r="K2" s="114" t="s">
        <v>542</v>
      </c>
      <c r="L2" s="48"/>
      <c r="M2" s="49" t="s">
        <v>21</v>
      </c>
      <c r="N2" s="50"/>
    </row>
    <row r="3" spans="1:1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51" t="s">
        <v>22</v>
      </c>
      <c r="M3" s="49" t="s">
        <v>23</v>
      </c>
      <c r="N3" s="52"/>
      <c r="O3" s="18"/>
    </row>
    <row r="4" spans="1:15" s="8" customFormat="1" ht="15">
      <c r="A4" s="19" t="s">
        <v>0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9" t="s">
        <v>24</v>
      </c>
      <c r="M4" s="53" t="s">
        <v>25</v>
      </c>
      <c r="N4" s="54">
        <f>N2*N3</f>
        <v>0</v>
      </c>
    </row>
    <row r="5" spans="1:15" s="8" customFormat="1" ht="13.5">
      <c r="A5" s="19" t="s">
        <v>41</v>
      </c>
      <c r="B5" s="9"/>
      <c r="C5" s="158" t="s">
        <v>699</v>
      </c>
      <c r="D5" s="159"/>
      <c r="E5" s="160"/>
      <c r="F5" s="161"/>
      <c r="G5" s="162"/>
      <c r="H5" s="162"/>
      <c r="I5" s="162"/>
      <c r="J5" s="162"/>
      <c r="K5" s="163"/>
      <c r="L5" s="51" t="s">
        <v>26</v>
      </c>
      <c r="M5" s="53" t="s">
        <v>23</v>
      </c>
      <c r="N5" s="54"/>
    </row>
    <row r="6" spans="1:15" s="8" customFormat="1" ht="13.5">
      <c r="A6" s="19" t="s">
        <v>19</v>
      </c>
      <c r="B6" s="9"/>
      <c r="C6" s="158" t="s">
        <v>630</v>
      </c>
      <c r="D6" s="159"/>
      <c r="E6" s="160"/>
      <c r="F6" s="164"/>
      <c r="G6" s="165"/>
      <c r="H6" s="165"/>
      <c r="I6" s="165"/>
      <c r="J6" s="165"/>
      <c r="K6" s="166"/>
      <c r="L6" s="49" t="s">
        <v>24</v>
      </c>
      <c r="M6" s="53" t="s">
        <v>25</v>
      </c>
      <c r="N6" s="54">
        <f>N2*N5</f>
        <v>0</v>
      </c>
    </row>
    <row r="7" spans="1:15" s="8" customFormat="1" ht="13.5">
      <c r="A7" s="10"/>
      <c r="B7" s="20" t="s">
        <v>2</v>
      </c>
      <c r="C7" s="42" t="s">
        <v>619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</row>
    <row r="8" spans="1:1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</row>
    <row r="9" spans="1:15" ht="11.25">
      <c r="A9" s="69">
        <v>1</v>
      </c>
      <c r="B9" s="68" t="s">
        <v>626</v>
      </c>
      <c r="C9" s="69" t="s">
        <v>627</v>
      </c>
      <c r="D9" s="69" t="s">
        <v>531</v>
      </c>
      <c r="E9" s="69">
        <v>20</v>
      </c>
      <c r="F9" s="69" t="s">
        <v>585</v>
      </c>
      <c r="G9" s="69" t="s">
        <v>586</v>
      </c>
      <c r="H9" s="69"/>
      <c r="I9" s="69"/>
      <c r="J9" s="69"/>
      <c r="K9" s="69" t="s">
        <v>643</v>
      </c>
    </row>
    <row r="10" spans="1:15" ht="11.25">
      <c r="A10" s="69">
        <v>2</v>
      </c>
      <c r="B10" s="68" t="s">
        <v>700</v>
      </c>
      <c r="C10" s="70" t="s">
        <v>701</v>
      </c>
      <c r="D10" s="71" t="s">
        <v>663</v>
      </c>
      <c r="E10" s="71"/>
      <c r="F10" s="72"/>
      <c r="G10" s="69"/>
      <c r="H10" s="71"/>
      <c r="I10" s="71"/>
      <c r="J10" s="71"/>
      <c r="K10" s="70"/>
      <c r="L10" s="8"/>
      <c r="M10" s="14"/>
      <c r="N10" s="15"/>
    </row>
    <row r="11" spans="1:15" ht="11.25">
      <c r="A11" s="69"/>
      <c r="B11" s="68"/>
      <c r="C11" s="70"/>
      <c r="D11" s="71"/>
      <c r="E11" s="71"/>
      <c r="F11" s="72"/>
      <c r="G11" s="69"/>
      <c r="H11" s="71"/>
      <c r="I11" s="71"/>
      <c r="J11" s="71"/>
      <c r="K11" s="70"/>
      <c r="L11" s="8"/>
    </row>
    <row r="12" spans="1:15" ht="11.25">
      <c r="A12" s="69"/>
      <c r="B12" s="68"/>
      <c r="C12" s="70"/>
      <c r="D12" s="71"/>
      <c r="E12" s="71"/>
      <c r="F12" s="73"/>
      <c r="G12" s="69"/>
      <c r="H12" s="71"/>
      <c r="I12" s="71"/>
      <c r="J12" s="71"/>
      <c r="K12" s="70"/>
      <c r="L12" s="8"/>
      <c r="M12" s="14"/>
      <c r="N12" s="15"/>
    </row>
    <row r="13" spans="1:15" ht="11.25">
      <c r="A13" s="69"/>
      <c r="B13" s="68"/>
      <c r="C13" s="70"/>
      <c r="D13" s="69"/>
      <c r="E13" s="71"/>
      <c r="F13" s="73"/>
      <c r="G13" s="69"/>
      <c r="H13" s="71"/>
      <c r="I13" s="71"/>
      <c r="J13" s="71"/>
      <c r="K13" s="70"/>
      <c r="L13" s="8"/>
      <c r="M13" s="3"/>
      <c r="N13" s="1"/>
    </row>
    <row r="14" spans="1:15" ht="11.25">
      <c r="A14" s="69"/>
      <c r="B14" s="68"/>
      <c r="C14" s="70"/>
      <c r="D14" s="69"/>
      <c r="E14" s="69"/>
      <c r="F14" s="69"/>
      <c r="G14" s="69"/>
      <c r="H14" s="69"/>
      <c r="I14" s="69"/>
      <c r="J14" s="69"/>
      <c r="K14" s="74"/>
      <c r="L14" s="8"/>
    </row>
    <row r="15" spans="1:15" ht="11.25">
      <c r="A15" s="69"/>
      <c r="B15" s="68"/>
      <c r="C15" s="70"/>
      <c r="D15" s="69"/>
      <c r="E15" s="69"/>
      <c r="F15" s="69"/>
      <c r="G15" s="69"/>
      <c r="H15" s="69"/>
      <c r="I15" s="69"/>
      <c r="J15" s="69"/>
      <c r="K15" s="74"/>
      <c r="L15" s="8"/>
    </row>
    <row r="16" spans="1:15" ht="11.25">
      <c r="A16" s="69"/>
      <c r="B16" s="68"/>
      <c r="C16" s="70"/>
      <c r="D16" s="69"/>
      <c r="E16" s="69"/>
      <c r="F16" s="69"/>
      <c r="G16" s="69"/>
      <c r="H16" s="69"/>
      <c r="I16" s="69"/>
      <c r="J16" s="69"/>
      <c r="K16" s="74"/>
      <c r="L16" s="8"/>
    </row>
    <row r="17" spans="1:12" ht="11.25">
      <c r="A17" s="69"/>
      <c r="B17" s="68"/>
      <c r="C17" s="70"/>
      <c r="D17" s="69"/>
      <c r="E17" s="69"/>
      <c r="F17" s="69"/>
      <c r="G17" s="69"/>
      <c r="H17" s="69"/>
      <c r="I17" s="69"/>
      <c r="J17" s="69"/>
      <c r="K17" s="74"/>
      <c r="L17" s="8"/>
    </row>
    <row r="18" spans="1:12" ht="11.25">
      <c r="A18" s="69"/>
      <c r="B18" s="68"/>
      <c r="C18" s="70"/>
      <c r="D18" s="69"/>
      <c r="E18" s="69"/>
      <c r="F18" s="69"/>
      <c r="G18" s="69"/>
      <c r="H18" s="69"/>
      <c r="I18" s="69"/>
      <c r="J18" s="69"/>
      <c r="K18" s="74"/>
      <c r="L18" s="8"/>
    </row>
    <row r="19" spans="1:12" ht="11.25">
      <c r="A19" s="69"/>
      <c r="B19" s="68"/>
      <c r="C19" s="70"/>
      <c r="D19" s="69"/>
      <c r="E19" s="69"/>
      <c r="F19" s="69"/>
      <c r="G19" s="69"/>
      <c r="H19" s="69"/>
      <c r="I19" s="69"/>
      <c r="J19" s="69"/>
      <c r="K19" s="74"/>
      <c r="L19" s="8"/>
    </row>
    <row r="20" spans="1:12" ht="11.25">
      <c r="A20" s="69"/>
      <c r="B20" s="68"/>
      <c r="C20" s="70"/>
      <c r="D20" s="69"/>
      <c r="E20" s="69"/>
      <c r="F20" s="69"/>
      <c r="G20" s="69"/>
      <c r="H20" s="69"/>
      <c r="I20" s="69"/>
      <c r="J20" s="69"/>
      <c r="K20" s="74"/>
      <c r="L20" s="8"/>
    </row>
    <row r="21" spans="1:12" ht="11.25">
      <c r="A21" s="69"/>
      <c r="B21" s="68"/>
      <c r="C21" s="70"/>
      <c r="D21" s="69"/>
      <c r="E21" s="69"/>
      <c r="F21" s="69"/>
      <c r="G21" s="69"/>
      <c r="H21" s="69"/>
      <c r="I21" s="69"/>
      <c r="J21" s="69"/>
      <c r="K21" s="74"/>
      <c r="L21" s="8"/>
    </row>
    <row r="22" spans="1:12" ht="11.25">
      <c r="A22" s="69"/>
      <c r="B22" s="68"/>
      <c r="C22" s="70"/>
      <c r="D22" s="69"/>
      <c r="E22" s="69"/>
      <c r="F22" s="69"/>
      <c r="G22" s="69"/>
      <c r="H22" s="69"/>
      <c r="I22" s="69"/>
      <c r="J22" s="69"/>
      <c r="K22" s="74"/>
      <c r="L22" s="8"/>
    </row>
    <row r="23" spans="1:12" ht="11.25">
      <c r="A23" s="69"/>
      <c r="B23" s="69"/>
      <c r="C23" s="70"/>
      <c r="D23" s="69"/>
      <c r="E23" s="69"/>
      <c r="F23" s="69"/>
      <c r="G23" s="69"/>
      <c r="H23" s="69"/>
      <c r="I23" s="69"/>
      <c r="J23" s="69"/>
      <c r="K23" s="74"/>
      <c r="L23" s="8"/>
    </row>
    <row r="24" spans="1:12" ht="11.25">
      <c r="A24" s="69"/>
      <c r="B24" s="69"/>
      <c r="C24" s="70"/>
      <c r="D24" s="69"/>
      <c r="E24" s="69"/>
      <c r="F24" s="69"/>
      <c r="G24" s="69"/>
      <c r="H24" s="69"/>
      <c r="I24" s="69"/>
      <c r="J24" s="69"/>
      <c r="K24" s="74"/>
      <c r="L24" s="8"/>
    </row>
    <row r="25" spans="1:12" ht="11.25">
      <c r="A25" s="69"/>
      <c r="B25" s="75"/>
      <c r="C25" s="76"/>
      <c r="D25" s="76"/>
      <c r="E25" s="76"/>
      <c r="F25" s="69"/>
      <c r="G25" s="69"/>
      <c r="H25" s="69"/>
      <c r="I25" s="69"/>
      <c r="J25" s="69"/>
      <c r="K25" s="74"/>
      <c r="L25" s="60"/>
    </row>
    <row r="26" spans="1:12" ht="11.25">
      <c r="A26" s="69"/>
      <c r="B26" s="69"/>
      <c r="C26" s="69"/>
      <c r="D26" s="69"/>
      <c r="E26" s="69"/>
      <c r="F26" s="69"/>
      <c r="G26" s="69"/>
      <c r="H26" s="69"/>
      <c r="I26" s="69"/>
      <c r="J26" s="69"/>
      <c r="K26" s="74"/>
      <c r="L26" s="8"/>
    </row>
    <row r="27" spans="1:12" ht="11.25">
      <c r="A27" s="69"/>
      <c r="B27" s="69"/>
      <c r="C27" s="69"/>
      <c r="D27" s="69"/>
      <c r="E27" s="69"/>
      <c r="F27" s="69"/>
      <c r="G27" s="69"/>
      <c r="H27" s="69"/>
      <c r="I27" s="69"/>
      <c r="J27" s="69"/>
      <c r="K27" s="74"/>
      <c r="L27" s="8"/>
    </row>
    <row r="28" spans="1:12" ht="11.25">
      <c r="A28" s="69"/>
      <c r="B28" s="69"/>
      <c r="C28" s="74"/>
      <c r="D28" s="69"/>
      <c r="E28" s="69"/>
      <c r="F28" s="69"/>
      <c r="G28" s="69"/>
      <c r="H28" s="69"/>
      <c r="I28" s="69"/>
      <c r="J28" s="69"/>
      <c r="K28" s="74"/>
      <c r="L28" s="8"/>
    </row>
    <row r="29" spans="1:12" ht="11.25">
      <c r="A29" s="69"/>
      <c r="B29" s="69"/>
      <c r="C29" s="74"/>
      <c r="D29" s="69"/>
      <c r="E29" s="69"/>
      <c r="F29" s="69"/>
      <c r="G29" s="69"/>
      <c r="H29" s="69"/>
      <c r="I29" s="69"/>
      <c r="J29" s="69"/>
      <c r="K29" s="74"/>
      <c r="L29" s="8"/>
    </row>
    <row r="30" spans="1:12" ht="11.25">
      <c r="A30" s="69"/>
      <c r="B30" s="69"/>
      <c r="C30" s="74"/>
      <c r="D30" s="69"/>
      <c r="E30" s="69"/>
      <c r="F30" s="69"/>
      <c r="G30" s="69"/>
      <c r="H30" s="69"/>
      <c r="I30" s="69"/>
      <c r="J30" s="69"/>
      <c r="K30" s="74"/>
      <c r="L30" s="8"/>
    </row>
    <row r="31" spans="1:12" ht="11.25">
      <c r="A31" s="69"/>
      <c r="B31" s="69"/>
      <c r="C31" s="74"/>
      <c r="D31" s="69"/>
      <c r="E31" s="69"/>
      <c r="F31" s="69"/>
      <c r="G31" s="69"/>
      <c r="H31" s="69"/>
      <c r="I31" s="69"/>
      <c r="J31" s="69"/>
      <c r="K31" s="74"/>
      <c r="L31" s="8"/>
    </row>
    <row r="32" spans="1:12" ht="11.25">
      <c r="A32" s="69"/>
      <c r="B32" s="69"/>
      <c r="C32" s="74"/>
      <c r="D32" s="69"/>
      <c r="E32" s="69"/>
      <c r="F32" s="69"/>
      <c r="G32" s="69"/>
      <c r="H32" s="69"/>
      <c r="I32" s="69"/>
      <c r="J32" s="69"/>
      <c r="K32" s="74"/>
      <c r="L32" s="8"/>
    </row>
    <row r="33" spans="1:25" ht="11.25">
      <c r="A33" s="69"/>
      <c r="B33" s="69"/>
      <c r="C33" s="74"/>
      <c r="D33" s="69"/>
      <c r="E33" s="69"/>
      <c r="F33" s="69"/>
      <c r="G33" s="69"/>
      <c r="H33" s="69"/>
      <c r="I33" s="69"/>
      <c r="J33" s="69"/>
      <c r="K33" s="74"/>
      <c r="L33" s="8"/>
    </row>
    <row r="34" spans="1:25" ht="11.25">
      <c r="A34" s="69"/>
      <c r="B34" s="77"/>
      <c r="C34" s="74"/>
      <c r="D34" s="69"/>
      <c r="E34" s="69"/>
      <c r="F34" s="69"/>
      <c r="G34" s="69"/>
      <c r="H34" s="69"/>
      <c r="I34" s="69"/>
      <c r="J34" s="69"/>
      <c r="K34" s="74"/>
      <c r="L34" s="8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</row>
    <row r="35" spans="1:25" ht="11.25">
      <c r="A35" s="69"/>
      <c r="B35" s="77"/>
      <c r="C35" s="74"/>
      <c r="D35" s="69"/>
      <c r="E35" s="69"/>
      <c r="F35" s="69"/>
      <c r="G35" s="69"/>
      <c r="H35" s="69"/>
      <c r="I35" s="69"/>
      <c r="J35" s="69"/>
      <c r="K35" s="74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</row>
    <row r="36" spans="1:25" ht="11.25">
      <c r="A36" s="69"/>
      <c r="B36" s="77"/>
      <c r="C36" s="74"/>
      <c r="D36" s="69"/>
      <c r="E36" s="69"/>
      <c r="F36" s="69"/>
      <c r="G36" s="69"/>
      <c r="H36" s="69"/>
      <c r="I36" s="69"/>
      <c r="J36" s="69"/>
      <c r="K36" s="74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</row>
    <row r="37" spans="1:25" ht="11.25">
      <c r="A37" s="86"/>
      <c r="B37" s="87"/>
      <c r="C37" s="88"/>
      <c r="D37" s="86"/>
      <c r="E37" s="86"/>
      <c r="F37" s="86"/>
      <c r="G37" s="86"/>
      <c r="H37" s="86"/>
      <c r="I37" s="86"/>
      <c r="J37" s="86"/>
      <c r="K37" s="88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</row>
    <row r="38" spans="1:25" s="85" customFormat="1" ht="234.75" customHeight="1">
      <c r="A38" s="79" t="s">
        <v>587</v>
      </c>
      <c r="B38" s="80"/>
      <c r="C38" s="81"/>
      <c r="D38" s="82"/>
      <c r="E38" s="83"/>
      <c r="F38" s="84"/>
      <c r="G38" s="84"/>
      <c r="H38" s="84"/>
      <c r="I38" s="84"/>
      <c r="J38" s="84"/>
      <c r="K38" s="84"/>
    </row>
    <row r="39" spans="1:25" s="14" customFormat="1" ht="17.100000000000001" customHeight="1">
      <c r="B39" s="136" t="s">
        <v>637</v>
      </c>
      <c r="C39" s="154"/>
      <c r="D39" s="155"/>
      <c r="E39" s="156"/>
      <c r="F39" s="96"/>
      <c r="G39" s="96"/>
      <c r="H39" s="96"/>
      <c r="I39" s="96"/>
      <c r="J39" s="96"/>
      <c r="K39" s="96"/>
      <c r="L39" s="95"/>
      <c r="M39" s="95"/>
      <c r="N39" s="95"/>
      <c r="O39" s="95"/>
      <c r="P39" s="95"/>
      <c r="Q39" s="95"/>
      <c r="R39" s="95"/>
      <c r="S39" s="95"/>
      <c r="T39" s="95"/>
      <c r="U39" s="95"/>
      <c r="V39" s="95"/>
      <c r="W39" s="95"/>
    </row>
    <row r="40" spans="1:25" s="14" customFormat="1" ht="17.100000000000001" customHeight="1">
      <c r="B40" s="140" t="s">
        <v>627</v>
      </c>
      <c r="C40" s="154"/>
      <c r="D40" s="155"/>
      <c r="E40" s="156"/>
      <c r="F40" s="96"/>
      <c r="G40" s="96"/>
      <c r="H40" s="96"/>
      <c r="I40" s="96"/>
      <c r="J40" s="96"/>
      <c r="K40" s="96"/>
      <c r="L40" s="95"/>
      <c r="M40" s="95"/>
      <c r="N40" s="95"/>
      <c r="O40" s="95"/>
      <c r="P40" s="95"/>
      <c r="Q40" s="95"/>
      <c r="R40" s="95"/>
      <c r="S40" s="95"/>
      <c r="T40" s="95"/>
      <c r="U40" s="95"/>
      <c r="V40" s="95"/>
      <c r="W40" s="95"/>
    </row>
    <row r="41" spans="1:25" s="14" customFormat="1" ht="17.100000000000001" customHeight="1">
      <c r="B41" s="141" t="s">
        <v>635</v>
      </c>
      <c r="C41" s="90"/>
      <c r="D41" s="91"/>
      <c r="E41" s="92"/>
      <c r="F41" s="89"/>
      <c r="G41" s="89"/>
      <c r="H41" s="89"/>
      <c r="I41" s="89"/>
      <c r="J41" s="89"/>
      <c r="K41" s="89"/>
      <c r="L41" s="93"/>
      <c r="M41" s="93"/>
      <c r="N41" s="93"/>
      <c r="O41" s="93"/>
      <c r="P41" s="93"/>
      <c r="Q41" s="93"/>
      <c r="R41" s="93"/>
      <c r="S41" s="93"/>
      <c r="T41" s="93"/>
      <c r="U41" s="93"/>
      <c r="V41" s="93"/>
      <c r="W41" s="93"/>
    </row>
    <row r="42" spans="1:25" s="14" customFormat="1" ht="17.100000000000001" customHeight="1">
      <c r="B42" s="141" t="s">
        <v>634</v>
      </c>
      <c r="C42" s="90"/>
      <c r="D42" s="91"/>
      <c r="E42" s="92"/>
      <c r="F42" s="89"/>
      <c r="G42" s="89"/>
      <c r="H42" s="89"/>
      <c r="I42" s="89"/>
      <c r="J42" s="89"/>
      <c r="K42" s="89"/>
      <c r="L42" s="93"/>
      <c r="M42" s="93"/>
      <c r="N42" s="93"/>
      <c r="O42" s="93"/>
      <c r="P42" s="93"/>
      <c r="Q42" s="93"/>
      <c r="R42" s="93"/>
      <c r="S42" s="93"/>
      <c r="T42" s="93"/>
      <c r="U42" s="93"/>
      <c r="V42" s="93"/>
      <c r="W42" s="93"/>
    </row>
    <row r="43" spans="1:25" s="14" customFormat="1" ht="17.100000000000001" customHeight="1">
      <c r="B43" s="141" t="s">
        <v>636</v>
      </c>
      <c r="C43" s="90"/>
      <c r="D43" s="91"/>
      <c r="E43" s="92"/>
      <c r="F43" s="89"/>
      <c r="G43" s="89"/>
      <c r="H43" s="89"/>
      <c r="I43" s="89"/>
      <c r="J43" s="89"/>
      <c r="K43" s="89"/>
      <c r="L43" s="93"/>
      <c r="M43" s="93"/>
      <c r="N43" s="93"/>
      <c r="O43" s="93"/>
      <c r="P43" s="93"/>
      <c r="Q43" s="93"/>
      <c r="R43" s="93"/>
      <c r="S43" s="93"/>
      <c r="T43" s="93"/>
      <c r="U43" s="93"/>
      <c r="V43" s="93"/>
      <c r="W43" s="93"/>
    </row>
    <row r="44" spans="1:25" s="14" customFormat="1" ht="17.100000000000001" customHeight="1">
      <c r="B44" s="89"/>
      <c r="C44" s="90"/>
      <c r="D44" s="91"/>
      <c r="E44" s="92"/>
      <c r="F44" s="89"/>
      <c r="G44" s="89"/>
      <c r="H44" s="89"/>
      <c r="I44" s="89"/>
      <c r="J44" s="89"/>
      <c r="K44" s="89"/>
      <c r="L44" s="93"/>
      <c r="M44" s="93"/>
      <c r="N44" s="93"/>
      <c r="O44" s="93"/>
      <c r="P44" s="93"/>
      <c r="Q44" s="93"/>
      <c r="R44" s="93"/>
      <c r="S44" s="93"/>
      <c r="T44" s="93"/>
      <c r="U44" s="93"/>
      <c r="V44" s="93"/>
      <c r="W44" s="93"/>
    </row>
    <row r="45" spans="1:25" s="14" customFormat="1" ht="17.100000000000001" customHeight="1">
      <c r="B45" s="89"/>
      <c r="C45" s="90"/>
      <c r="D45" s="91"/>
      <c r="E45" s="92"/>
      <c r="F45" s="89"/>
      <c r="G45" s="89"/>
      <c r="H45" s="89"/>
      <c r="I45" s="89"/>
      <c r="J45" s="89"/>
      <c r="K45" s="89"/>
      <c r="L45" s="93"/>
      <c r="M45" s="93"/>
      <c r="N45" s="93"/>
      <c r="O45" s="93"/>
      <c r="P45" s="93"/>
      <c r="Q45" s="93"/>
      <c r="R45" s="93"/>
      <c r="S45" s="93"/>
      <c r="T45" s="93"/>
      <c r="U45" s="93"/>
      <c r="V45" s="93"/>
      <c r="W45" s="93"/>
    </row>
    <row r="46" spans="1:25" s="14" customFormat="1" ht="17.100000000000001" customHeight="1">
      <c r="B46" s="89"/>
      <c r="C46" s="90"/>
      <c r="D46" s="91"/>
      <c r="E46" s="92"/>
      <c r="F46" s="89"/>
      <c r="G46" s="89"/>
      <c r="H46" s="89"/>
      <c r="I46" s="89"/>
      <c r="J46" s="89"/>
      <c r="K46" s="89"/>
      <c r="L46" s="93"/>
      <c r="M46" s="93"/>
      <c r="N46" s="93"/>
      <c r="O46" s="93"/>
      <c r="P46" s="93"/>
      <c r="Q46" s="93"/>
      <c r="R46" s="93"/>
      <c r="S46" s="93"/>
      <c r="T46" s="93"/>
      <c r="U46" s="93"/>
      <c r="V46" s="93"/>
      <c r="W46" s="93"/>
    </row>
    <row r="47" spans="1:25" s="14" customFormat="1" ht="17.100000000000001" customHeight="1">
      <c r="B47" s="89"/>
      <c r="C47" s="90"/>
      <c r="D47" s="91"/>
      <c r="E47" s="92"/>
      <c r="F47" s="89"/>
      <c r="G47" s="89"/>
      <c r="H47" s="89"/>
      <c r="I47" s="89"/>
      <c r="J47" s="89"/>
      <c r="K47" s="89"/>
      <c r="L47" s="93"/>
      <c r="M47" s="93"/>
      <c r="N47" s="93"/>
      <c r="O47" s="93"/>
      <c r="P47" s="93"/>
      <c r="Q47" s="93"/>
      <c r="R47" s="93"/>
      <c r="S47" s="93"/>
      <c r="T47" s="93"/>
      <c r="U47" s="93"/>
      <c r="V47" s="93"/>
      <c r="W47" s="93"/>
    </row>
    <row r="48" spans="1:25" s="14" customFormat="1" ht="17.100000000000001" customHeight="1">
      <c r="B48" s="89"/>
      <c r="C48" s="90"/>
      <c r="D48" s="91"/>
      <c r="E48" s="92"/>
      <c r="F48" s="89"/>
      <c r="G48" s="89"/>
      <c r="H48" s="89"/>
      <c r="I48" s="89"/>
      <c r="J48" s="89"/>
      <c r="K48" s="89"/>
      <c r="L48" s="93"/>
      <c r="M48" s="93"/>
      <c r="N48" s="93"/>
      <c r="O48" s="93"/>
      <c r="P48" s="93"/>
      <c r="Q48" s="93"/>
      <c r="R48" s="93"/>
      <c r="S48" s="93"/>
      <c r="T48" s="93"/>
      <c r="U48" s="93"/>
      <c r="V48" s="93"/>
      <c r="W48" s="93"/>
    </row>
    <row r="49" spans="2:23" s="14" customFormat="1" ht="17.100000000000001" customHeight="1">
      <c r="B49" s="89"/>
      <c r="C49" s="90"/>
      <c r="D49" s="91"/>
      <c r="E49" s="92"/>
      <c r="F49" s="89"/>
      <c r="G49" s="89"/>
      <c r="H49" s="89"/>
      <c r="I49" s="89"/>
      <c r="J49" s="89"/>
      <c r="K49" s="89"/>
      <c r="L49" s="93"/>
      <c r="M49" s="93"/>
      <c r="N49" s="93"/>
      <c r="O49" s="93"/>
      <c r="P49" s="93"/>
      <c r="Q49" s="93"/>
      <c r="R49" s="93"/>
      <c r="S49" s="93"/>
      <c r="T49" s="93"/>
      <c r="U49" s="93"/>
      <c r="V49" s="93"/>
      <c r="W49" s="93"/>
    </row>
    <row r="50" spans="2:23" s="14" customFormat="1" ht="17.100000000000001" customHeight="1">
      <c r="B50" s="89"/>
      <c r="C50" s="90"/>
      <c r="D50" s="91"/>
      <c r="E50" s="92"/>
      <c r="F50" s="89"/>
      <c r="G50" s="89"/>
      <c r="H50" s="89"/>
      <c r="I50" s="89"/>
      <c r="J50" s="89"/>
      <c r="K50" s="89"/>
      <c r="L50" s="93"/>
      <c r="M50" s="93"/>
      <c r="N50" s="93"/>
      <c r="O50" s="93"/>
      <c r="P50" s="93"/>
      <c r="Q50" s="93"/>
      <c r="R50" s="93"/>
      <c r="S50" s="93"/>
      <c r="T50" s="93"/>
      <c r="U50" s="93"/>
      <c r="V50" s="93"/>
      <c r="W50" s="93"/>
    </row>
    <row r="51" spans="2:23" s="14" customFormat="1" ht="17.100000000000001" customHeight="1">
      <c r="B51" s="89"/>
      <c r="C51" s="90"/>
      <c r="D51" s="91"/>
      <c r="E51" s="92"/>
      <c r="F51" s="89"/>
      <c r="G51" s="89"/>
      <c r="H51" s="89"/>
      <c r="I51" s="89"/>
      <c r="J51" s="89"/>
      <c r="K51" s="89"/>
      <c r="L51" s="93"/>
      <c r="M51" s="93"/>
      <c r="N51" s="93"/>
      <c r="O51" s="93"/>
      <c r="P51" s="93"/>
      <c r="Q51" s="93"/>
      <c r="R51" s="93"/>
      <c r="S51" s="93"/>
      <c r="T51" s="93"/>
      <c r="U51" s="93"/>
      <c r="V51" s="93"/>
      <c r="W51" s="93"/>
    </row>
    <row r="52" spans="2:23" s="14" customFormat="1" ht="17.100000000000001" customHeight="1">
      <c r="B52" s="89"/>
      <c r="C52" s="90"/>
      <c r="D52" s="91"/>
      <c r="E52" s="92"/>
      <c r="F52" s="89"/>
      <c r="G52" s="89"/>
      <c r="H52" s="89"/>
      <c r="I52" s="89"/>
      <c r="J52" s="89"/>
      <c r="K52" s="89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</row>
    <row r="53" spans="2:23" s="14" customFormat="1" ht="17.100000000000001" customHeight="1">
      <c r="B53" s="89"/>
      <c r="C53" s="90"/>
      <c r="D53" s="91"/>
      <c r="E53" s="92"/>
      <c r="F53" s="89"/>
      <c r="G53" s="89"/>
      <c r="H53" s="89"/>
      <c r="I53" s="89"/>
      <c r="J53" s="89"/>
      <c r="K53" s="89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</row>
    <row r="54" spans="2:23" s="14" customFormat="1" ht="17.100000000000001" customHeight="1">
      <c r="B54" s="89"/>
      <c r="C54" s="90"/>
      <c r="D54" s="91"/>
      <c r="E54" s="92"/>
      <c r="F54" s="89"/>
      <c r="G54" s="89"/>
      <c r="H54" s="89"/>
      <c r="I54" s="89"/>
      <c r="J54" s="89"/>
      <c r="K54" s="89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</row>
    <row r="55" spans="2:23" s="14" customFormat="1" ht="17.100000000000001" customHeight="1">
      <c r="B55" s="89"/>
      <c r="C55" s="90"/>
      <c r="D55" s="91"/>
      <c r="E55" s="92"/>
      <c r="F55" s="89"/>
      <c r="G55" s="89"/>
      <c r="H55" s="89"/>
      <c r="I55" s="89"/>
      <c r="J55" s="89"/>
      <c r="K55" s="89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</row>
    <row r="56" spans="2:23" s="14" customFormat="1" ht="17.100000000000001" customHeight="1">
      <c r="B56" s="89"/>
      <c r="C56" s="90"/>
      <c r="D56" s="91"/>
      <c r="E56" s="92"/>
      <c r="F56" s="89"/>
      <c r="G56" s="89"/>
      <c r="H56" s="89"/>
      <c r="I56" s="89"/>
      <c r="J56" s="89"/>
      <c r="K56" s="89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</row>
    <row r="57" spans="2:23" s="14" customFormat="1" ht="17.100000000000001" customHeight="1">
      <c r="B57" s="89"/>
      <c r="C57" s="90"/>
      <c r="D57" s="91"/>
      <c r="E57" s="92"/>
      <c r="F57" s="89"/>
      <c r="G57" s="89"/>
      <c r="H57" s="89"/>
      <c r="I57" s="89"/>
      <c r="J57" s="89"/>
      <c r="K57" s="89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</row>
    <row r="58" spans="2:23" s="14" customFormat="1" ht="17.100000000000001" customHeight="1">
      <c r="B58" s="89"/>
      <c r="C58" s="90"/>
      <c r="D58" s="91"/>
      <c r="E58" s="92"/>
      <c r="F58" s="89"/>
      <c r="G58" s="89"/>
      <c r="H58" s="89"/>
      <c r="I58" s="89"/>
      <c r="J58" s="89"/>
      <c r="K58" s="89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</row>
    <row r="59" spans="2:23" s="14" customFormat="1" ht="17.100000000000001" customHeight="1">
      <c r="B59" s="89"/>
      <c r="C59" s="90"/>
      <c r="D59" s="91"/>
      <c r="E59" s="92"/>
      <c r="F59" s="89"/>
      <c r="G59" s="89"/>
      <c r="H59" s="89"/>
      <c r="I59" s="89"/>
      <c r="J59" s="89"/>
      <c r="K59" s="89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</row>
    <row r="60" spans="2:23" s="14" customFormat="1" ht="17.100000000000001" customHeight="1">
      <c r="B60" s="89"/>
      <c r="C60" s="90"/>
      <c r="D60" s="91"/>
      <c r="E60" s="92"/>
      <c r="F60" s="89"/>
      <c r="G60" s="89"/>
      <c r="H60" s="89"/>
      <c r="I60" s="89"/>
      <c r="J60" s="89"/>
      <c r="K60" s="89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</row>
    <row r="61" spans="2:23" s="14" customFormat="1" ht="17.100000000000001" customHeight="1">
      <c r="B61" s="89"/>
      <c r="C61" s="90"/>
      <c r="D61" s="91"/>
      <c r="E61" s="92"/>
      <c r="F61" s="89"/>
      <c r="G61" s="89"/>
      <c r="H61" s="89"/>
      <c r="I61" s="89"/>
      <c r="J61" s="89"/>
      <c r="K61" s="89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</row>
    <row r="62" spans="2:23" s="14" customFormat="1" ht="17.100000000000001" customHeight="1">
      <c r="B62" s="89"/>
      <c r="C62" s="90"/>
      <c r="D62" s="91"/>
      <c r="E62" s="92"/>
      <c r="F62" s="89"/>
      <c r="G62" s="89"/>
      <c r="H62" s="89"/>
      <c r="I62" s="89"/>
      <c r="J62" s="89"/>
      <c r="K62" s="89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</row>
    <row r="63" spans="2:23" s="14" customFormat="1" ht="17.100000000000001" customHeight="1">
      <c r="B63" s="89"/>
      <c r="C63" s="90"/>
      <c r="D63" s="91"/>
      <c r="E63" s="92"/>
      <c r="F63" s="89"/>
      <c r="G63" s="89"/>
      <c r="H63" s="89"/>
      <c r="I63" s="89"/>
      <c r="J63" s="89"/>
      <c r="K63" s="89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</row>
    <row r="64" spans="2:23" s="14" customFormat="1" ht="17.100000000000001" customHeight="1">
      <c r="B64" s="89"/>
      <c r="C64" s="90"/>
      <c r="D64" s="91"/>
      <c r="E64" s="92"/>
      <c r="F64" s="89"/>
      <c r="G64" s="89"/>
      <c r="H64" s="89"/>
      <c r="I64" s="89"/>
      <c r="J64" s="89"/>
      <c r="K64" s="89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</row>
    <row r="65" spans="2:23" s="14" customFormat="1" ht="17.100000000000001" customHeight="1">
      <c r="B65" s="89"/>
      <c r="C65" s="90"/>
      <c r="D65" s="91"/>
      <c r="E65" s="92"/>
      <c r="F65" s="89"/>
      <c r="G65" s="89"/>
      <c r="H65" s="89"/>
      <c r="I65" s="89"/>
      <c r="J65" s="89"/>
      <c r="K65" s="89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</row>
    <row r="66" spans="2:23" s="14" customFormat="1" ht="17.100000000000001" customHeight="1">
      <c r="B66" s="89"/>
      <c r="C66" s="90"/>
      <c r="D66" s="91"/>
      <c r="E66" s="92"/>
      <c r="F66" s="89"/>
      <c r="G66" s="89"/>
      <c r="H66" s="89"/>
      <c r="I66" s="89"/>
      <c r="J66" s="89"/>
      <c r="K66" s="89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</row>
    <row r="67" spans="2:23" s="14" customFormat="1" ht="17.100000000000001" customHeight="1">
      <c r="B67" s="89"/>
      <c r="C67" s="90"/>
      <c r="D67" s="91"/>
      <c r="E67" s="92"/>
      <c r="F67" s="89"/>
      <c r="G67" s="89"/>
      <c r="H67" s="89"/>
      <c r="I67" s="89"/>
      <c r="J67" s="89"/>
      <c r="K67" s="89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</row>
    <row r="68" spans="2:23" s="14" customFormat="1" ht="17.100000000000001" customHeight="1">
      <c r="B68" s="89"/>
      <c r="C68" s="90"/>
      <c r="D68" s="91"/>
      <c r="E68" s="92"/>
      <c r="F68" s="89"/>
      <c r="G68" s="89"/>
      <c r="H68" s="89"/>
      <c r="I68" s="89"/>
      <c r="J68" s="89"/>
      <c r="K68" s="89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</row>
    <row r="69" spans="2:23" s="14" customFormat="1" ht="17.100000000000001" customHeight="1">
      <c r="B69" s="89"/>
      <c r="C69" s="90"/>
      <c r="D69" s="91"/>
      <c r="E69" s="92"/>
      <c r="F69" s="89"/>
      <c r="G69" s="89"/>
      <c r="H69" s="89"/>
      <c r="I69" s="89"/>
      <c r="J69" s="89"/>
      <c r="K69" s="89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</row>
    <row r="70" spans="2:23" s="14" customFormat="1" ht="17.100000000000001" customHeight="1">
      <c r="B70" s="89"/>
      <c r="C70" s="90"/>
      <c r="D70" s="91"/>
      <c r="E70" s="92"/>
      <c r="F70" s="89"/>
      <c r="G70" s="89"/>
      <c r="H70" s="89"/>
      <c r="I70" s="89"/>
      <c r="J70" s="89"/>
      <c r="K70" s="89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</row>
    <row r="71" spans="2:23" s="14" customFormat="1" ht="17.100000000000001" customHeight="1">
      <c r="B71" s="89"/>
      <c r="C71" s="90"/>
      <c r="D71" s="91"/>
      <c r="E71" s="92"/>
      <c r="F71" s="89"/>
      <c r="G71" s="89"/>
      <c r="H71" s="89"/>
      <c r="I71" s="89"/>
      <c r="J71" s="89"/>
      <c r="K71" s="89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</row>
    <row r="72" spans="2:23" s="14" customFormat="1" ht="17.100000000000001" customHeight="1">
      <c r="B72" s="89"/>
      <c r="C72" s="90"/>
      <c r="D72" s="91"/>
      <c r="E72" s="92"/>
      <c r="F72" s="89"/>
      <c r="G72" s="89"/>
      <c r="H72" s="89"/>
      <c r="I72" s="89"/>
      <c r="J72" s="89"/>
      <c r="K72" s="89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</row>
    <row r="73" spans="2:23" s="14" customFormat="1" ht="17.100000000000001" customHeight="1">
      <c r="B73" s="89"/>
      <c r="C73" s="90"/>
      <c r="D73" s="91"/>
      <c r="E73" s="92"/>
      <c r="F73" s="89"/>
      <c r="G73" s="89"/>
      <c r="H73" s="89"/>
      <c r="I73" s="89"/>
      <c r="J73" s="89"/>
      <c r="K73" s="89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</row>
    <row r="74" spans="2:23" s="14" customFormat="1" ht="17.100000000000001" customHeight="1">
      <c r="B74" s="89"/>
      <c r="C74" s="90"/>
      <c r="D74" s="91"/>
      <c r="E74" s="92"/>
      <c r="F74" s="89"/>
      <c r="G74" s="89"/>
      <c r="H74" s="89"/>
      <c r="I74" s="89"/>
      <c r="J74" s="89"/>
      <c r="K74" s="89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</row>
    <row r="75" spans="2:23" s="14" customFormat="1" ht="17.100000000000001" customHeight="1">
      <c r="B75" s="89"/>
      <c r="C75" s="90"/>
      <c r="D75" s="91"/>
      <c r="E75" s="92"/>
      <c r="F75" s="89"/>
      <c r="G75" s="89"/>
      <c r="H75" s="89"/>
      <c r="I75" s="89"/>
      <c r="J75" s="89"/>
      <c r="K75" s="89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</row>
    <row r="76" spans="2:23" s="14" customFormat="1" ht="17.100000000000001" customHeight="1">
      <c r="B76" s="89"/>
      <c r="C76" s="90"/>
      <c r="D76" s="91"/>
      <c r="E76" s="92"/>
      <c r="F76" s="89"/>
      <c r="G76" s="89"/>
      <c r="H76" s="89"/>
      <c r="I76" s="89"/>
      <c r="J76" s="89"/>
      <c r="K76" s="89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</row>
    <row r="77" spans="2:23" s="14" customFormat="1" ht="17.100000000000001" customHeight="1">
      <c r="B77" s="89"/>
      <c r="C77" s="90"/>
      <c r="D77" s="91"/>
      <c r="E77" s="92"/>
      <c r="F77" s="89"/>
      <c r="G77" s="89"/>
      <c r="H77" s="89"/>
      <c r="I77" s="89"/>
      <c r="J77" s="89"/>
      <c r="K77" s="89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</row>
    <row r="78" spans="2:23" s="14" customFormat="1" ht="17.100000000000001" customHeight="1">
      <c r="B78" s="89"/>
      <c r="C78" s="90"/>
      <c r="D78" s="91"/>
      <c r="E78" s="92"/>
      <c r="F78" s="89"/>
      <c r="G78" s="89"/>
      <c r="H78" s="89"/>
      <c r="I78" s="89"/>
      <c r="J78" s="89"/>
      <c r="K78" s="89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</row>
    <row r="79" spans="2:23" s="14" customFormat="1" ht="17.100000000000001" customHeight="1">
      <c r="B79" s="89"/>
      <c r="C79" s="90"/>
      <c r="D79" s="91"/>
      <c r="E79" s="92"/>
      <c r="F79" s="89"/>
      <c r="G79" s="89"/>
      <c r="H79" s="89"/>
      <c r="I79" s="89"/>
      <c r="J79" s="89"/>
      <c r="K79" s="89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</row>
    <row r="80" spans="2:23" s="14" customFormat="1" ht="17.100000000000001" customHeight="1">
      <c r="B80" s="89"/>
      <c r="C80" s="90"/>
      <c r="D80" s="91"/>
      <c r="E80" s="92"/>
      <c r="F80" s="89"/>
      <c r="G80" s="89"/>
      <c r="H80" s="89"/>
      <c r="I80" s="89"/>
      <c r="J80" s="89"/>
      <c r="K80" s="89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</row>
    <row r="81" spans="2:23" s="14" customFormat="1" ht="17.100000000000001" customHeight="1">
      <c r="B81" s="89"/>
      <c r="C81" s="90"/>
      <c r="D81" s="91"/>
      <c r="E81" s="92"/>
      <c r="F81" s="89"/>
      <c r="G81" s="89"/>
      <c r="H81" s="89"/>
      <c r="I81" s="89"/>
      <c r="J81" s="89"/>
      <c r="K81" s="89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</row>
    <row r="82" spans="2:23" s="14" customFormat="1" ht="17.100000000000001" customHeight="1">
      <c r="B82" s="89"/>
      <c r="C82" s="90"/>
      <c r="D82" s="91"/>
      <c r="E82" s="92"/>
      <c r="F82" s="89"/>
      <c r="G82" s="89"/>
      <c r="H82" s="89"/>
      <c r="I82" s="89"/>
      <c r="J82" s="89"/>
      <c r="K82" s="89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</row>
    <row r="83" spans="2:23" s="14" customFormat="1" ht="17.100000000000001" customHeight="1">
      <c r="B83" s="89"/>
      <c r="C83" s="90"/>
      <c r="D83" s="91"/>
      <c r="E83" s="92"/>
      <c r="F83" s="89"/>
      <c r="G83" s="89"/>
      <c r="H83" s="89"/>
      <c r="I83" s="89"/>
      <c r="J83" s="89"/>
      <c r="K83" s="89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</row>
    <row r="84" spans="2:23" s="14" customFormat="1" ht="17.100000000000001" customHeight="1">
      <c r="B84" s="89"/>
      <c r="C84" s="90"/>
      <c r="D84" s="91"/>
      <c r="E84" s="92"/>
      <c r="F84" s="89"/>
      <c r="G84" s="89"/>
      <c r="H84" s="89"/>
      <c r="I84" s="89"/>
      <c r="J84" s="89"/>
      <c r="K84" s="89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</row>
    <row r="85" spans="2:23" s="14" customFormat="1" ht="17.100000000000001" customHeight="1">
      <c r="B85" s="89"/>
      <c r="C85" s="90"/>
      <c r="D85" s="91"/>
      <c r="E85" s="92"/>
      <c r="F85" s="89"/>
      <c r="G85" s="89"/>
      <c r="H85" s="89"/>
      <c r="I85" s="89"/>
      <c r="J85" s="89"/>
      <c r="K85" s="89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</row>
    <row r="86" spans="2:23" s="14" customFormat="1" ht="17.100000000000001" customHeight="1">
      <c r="B86" s="89"/>
      <c r="C86" s="90"/>
      <c r="D86" s="91"/>
      <c r="E86" s="92"/>
      <c r="F86" s="89"/>
      <c r="G86" s="89"/>
      <c r="H86" s="89"/>
      <c r="I86" s="89"/>
      <c r="J86" s="89"/>
      <c r="K86" s="89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</row>
    <row r="87" spans="2:23" s="14" customFormat="1" ht="17.100000000000001" customHeight="1">
      <c r="B87" s="89"/>
      <c r="C87" s="90"/>
      <c r="D87" s="91"/>
      <c r="E87" s="92"/>
      <c r="F87" s="89"/>
      <c r="G87" s="89"/>
      <c r="H87" s="89"/>
      <c r="I87" s="89"/>
      <c r="J87" s="89"/>
      <c r="K87" s="89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</row>
    <row r="88" spans="2:23" s="14" customFormat="1" ht="17.100000000000001" customHeight="1">
      <c r="B88" s="89"/>
      <c r="C88" s="90"/>
      <c r="D88" s="91"/>
      <c r="E88" s="92"/>
      <c r="F88" s="89"/>
      <c r="G88" s="89"/>
      <c r="H88" s="89"/>
      <c r="I88" s="89"/>
      <c r="J88" s="89"/>
      <c r="K88" s="89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</row>
    <row r="89" spans="2:23" s="14" customFormat="1" ht="17.100000000000001" customHeight="1">
      <c r="B89" s="89"/>
      <c r="C89" s="90"/>
      <c r="D89" s="91"/>
      <c r="E89" s="92"/>
      <c r="F89" s="89"/>
      <c r="G89" s="89"/>
      <c r="H89" s="89"/>
      <c r="I89" s="89"/>
      <c r="J89" s="89"/>
      <c r="K89" s="89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</row>
    <row r="90" spans="2:23" s="14" customFormat="1" ht="17.100000000000001" customHeight="1">
      <c r="B90" s="89"/>
      <c r="C90" s="90"/>
      <c r="D90" s="91"/>
      <c r="E90" s="92"/>
      <c r="F90" s="89"/>
      <c r="G90" s="89"/>
      <c r="H90" s="89"/>
      <c r="I90" s="89"/>
      <c r="J90" s="89"/>
      <c r="K90" s="89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</row>
    <row r="91" spans="2:23" s="14" customFormat="1" ht="17.100000000000001" customHeight="1">
      <c r="B91" s="89"/>
      <c r="C91" s="90"/>
      <c r="D91" s="91"/>
      <c r="E91" s="92"/>
      <c r="F91" s="89"/>
      <c r="G91" s="89"/>
      <c r="H91" s="89"/>
      <c r="I91" s="89"/>
      <c r="J91" s="89"/>
      <c r="K91" s="89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</row>
    <row r="92" spans="2:23" s="14" customFormat="1" ht="17.100000000000001" customHeight="1">
      <c r="B92" s="89"/>
      <c r="C92" s="90"/>
      <c r="D92" s="91"/>
      <c r="E92" s="92"/>
      <c r="F92" s="89"/>
      <c r="G92" s="89"/>
      <c r="H92" s="89"/>
      <c r="I92" s="89"/>
      <c r="J92" s="89"/>
      <c r="K92" s="89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</row>
    <row r="93" spans="2:23" s="14" customFormat="1" ht="17.100000000000001" customHeight="1">
      <c r="B93" s="89"/>
      <c r="C93" s="90"/>
      <c r="D93" s="91"/>
      <c r="E93" s="92"/>
      <c r="F93" s="89"/>
      <c r="G93" s="89"/>
      <c r="H93" s="89"/>
      <c r="I93" s="89"/>
      <c r="J93" s="89"/>
      <c r="K93" s="89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</row>
    <row r="94" spans="2:23" s="14" customFormat="1" ht="17.100000000000001" customHeight="1">
      <c r="B94" s="89"/>
      <c r="C94" s="90"/>
      <c r="D94" s="91"/>
      <c r="E94" s="92"/>
      <c r="F94" s="89"/>
      <c r="G94" s="89"/>
      <c r="H94" s="89"/>
      <c r="I94" s="89"/>
      <c r="J94" s="89"/>
      <c r="K94" s="89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</row>
    <row r="95" spans="2:23" s="14" customFormat="1" ht="17.100000000000001" customHeight="1">
      <c r="B95" s="89"/>
      <c r="C95" s="90"/>
      <c r="D95" s="91"/>
      <c r="E95" s="92"/>
      <c r="F95" s="89"/>
      <c r="G95" s="89"/>
      <c r="H95" s="89"/>
      <c r="I95" s="89"/>
      <c r="J95" s="89"/>
      <c r="K95" s="89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</row>
    <row r="96" spans="2:23" s="14" customFormat="1" ht="17.100000000000001" customHeight="1">
      <c r="B96" s="89"/>
      <c r="C96" s="90"/>
      <c r="D96" s="91"/>
      <c r="E96" s="92"/>
      <c r="F96" s="89"/>
      <c r="G96" s="89"/>
      <c r="H96" s="89"/>
      <c r="I96" s="89"/>
      <c r="J96" s="89"/>
      <c r="K96" s="89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</row>
    <row r="97" spans="2:23" s="14" customFormat="1" ht="17.100000000000001" customHeight="1">
      <c r="B97" s="89"/>
      <c r="C97" s="90"/>
      <c r="D97" s="91"/>
      <c r="E97" s="92"/>
      <c r="F97" s="89"/>
      <c r="G97" s="89"/>
      <c r="H97" s="89"/>
      <c r="I97" s="89"/>
      <c r="J97" s="89"/>
      <c r="K97" s="89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</row>
    <row r="98" spans="2:23" s="14" customFormat="1" ht="17.100000000000001" customHeight="1">
      <c r="B98" s="89"/>
      <c r="C98" s="90"/>
      <c r="D98" s="91"/>
      <c r="E98" s="92"/>
      <c r="F98" s="89"/>
      <c r="G98" s="89"/>
      <c r="H98" s="89"/>
      <c r="I98" s="89"/>
      <c r="J98" s="89"/>
      <c r="K98" s="89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</row>
    <row r="99" spans="2:23" s="14" customFormat="1" ht="17.100000000000001" customHeight="1">
      <c r="B99" s="89"/>
      <c r="C99" s="90"/>
      <c r="D99" s="91"/>
      <c r="E99" s="92"/>
      <c r="F99" s="89"/>
      <c r="G99" s="89"/>
      <c r="H99" s="89"/>
      <c r="I99" s="89"/>
      <c r="J99" s="89"/>
      <c r="K99" s="89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</row>
    <row r="100" spans="2:23" s="14" customFormat="1" ht="17.100000000000001" customHeight="1">
      <c r="B100" s="89"/>
      <c r="C100" s="90"/>
      <c r="D100" s="91"/>
      <c r="E100" s="92"/>
      <c r="F100" s="89"/>
      <c r="G100" s="89"/>
      <c r="H100" s="89"/>
      <c r="I100" s="89"/>
      <c r="J100" s="89"/>
      <c r="K100" s="89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</row>
    <row r="101" spans="2:23" s="14" customFormat="1" ht="17.100000000000001" customHeight="1">
      <c r="B101" s="89"/>
      <c r="C101" s="90"/>
      <c r="D101" s="91"/>
      <c r="E101" s="92"/>
      <c r="F101" s="89"/>
      <c r="G101" s="89"/>
      <c r="H101" s="89"/>
      <c r="I101" s="89"/>
      <c r="J101" s="89"/>
      <c r="K101" s="89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</row>
    <row r="102" spans="2:23" s="14" customFormat="1" ht="17.100000000000001" customHeight="1">
      <c r="B102" s="89"/>
      <c r="C102" s="90"/>
      <c r="D102" s="91"/>
      <c r="E102" s="92"/>
      <c r="F102" s="89"/>
      <c r="G102" s="89"/>
      <c r="H102" s="89"/>
      <c r="I102" s="89"/>
      <c r="J102" s="89"/>
      <c r="K102" s="89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</row>
    <row r="103" spans="2:23" s="14" customFormat="1" ht="17.100000000000001" customHeight="1">
      <c r="B103" s="89"/>
      <c r="C103" s="90"/>
      <c r="D103" s="91"/>
      <c r="E103" s="92"/>
      <c r="F103" s="89"/>
      <c r="G103" s="89"/>
      <c r="H103" s="89"/>
      <c r="I103" s="89"/>
      <c r="J103" s="89"/>
      <c r="K103" s="89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</row>
    <row r="104" spans="2:23" s="14" customFormat="1" ht="17.100000000000001" customHeight="1">
      <c r="B104" s="89"/>
      <c r="C104" s="90"/>
      <c r="D104" s="91"/>
      <c r="E104" s="92"/>
      <c r="F104" s="89"/>
      <c r="G104" s="89"/>
      <c r="H104" s="89"/>
      <c r="I104" s="89"/>
      <c r="J104" s="89"/>
      <c r="K104" s="89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</row>
    <row r="105" spans="2:23" s="14" customFormat="1" ht="17.100000000000001" customHeight="1">
      <c r="B105" s="89"/>
      <c r="C105" s="90"/>
      <c r="D105" s="91"/>
      <c r="E105" s="92"/>
      <c r="F105" s="89"/>
      <c r="G105" s="89"/>
      <c r="H105" s="89"/>
      <c r="I105" s="89"/>
      <c r="J105" s="89"/>
      <c r="K105" s="89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</row>
    <row r="106" spans="2:23" s="14" customFormat="1" ht="17.100000000000001" customHeight="1">
      <c r="B106" s="89"/>
      <c r="C106" s="90"/>
      <c r="D106" s="91"/>
      <c r="E106" s="92"/>
      <c r="F106" s="89"/>
      <c r="G106" s="89"/>
      <c r="H106" s="89"/>
      <c r="I106" s="89"/>
      <c r="J106" s="89"/>
      <c r="K106" s="89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</row>
    <row r="107" spans="2:23" s="14" customFormat="1" ht="17.100000000000001" customHeight="1">
      <c r="B107" s="89"/>
      <c r="C107" s="90"/>
      <c r="D107" s="91"/>
      <c r="E107" s="92"/>
      <c r="F107" s="89"/>
      <c r="G107" s="89"/>
      <c r="H107" s="89"/>
      <c r="I107" s="89"/>
      <c r="J107" s="89"/>
      <c r="K107" s="89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</row>
    <row r="108" spans="2:23" s="14" customFormat="1" ht="17.100000000000001" customHeight="1">
      <c r="B108" s="89"/>
      <c r="C108" s="90"/>
      <c r="D108" s="91"/>
      <c r="E108" s="92"/>
      <c r="F108" s="89"/>
      <c r="G108" s="89"/>
      <c r="H108" s="89"/>
      <c r="I108" s="89"/>
      <c r="J108" s="89"/>
      <c r="K108" s="89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</row>
    <row r="109" spans="2:23" s="14" customFormat="1" ht="17.100000000000001" customHeight="1">
      <c r="B109" s="89"/>
      <c r="C109" s="90"/>
      <c r="D109" s="91"/>
      <c r="E109" s="92"/>
      <c r="F109" s="89"/>
      <c r="G109" s="89"/>
      <c r="H109" s="89"/>
      <c r="I109" s="89"/>
      <c r="J109" s="89"/>
      <c r="K109" s="89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</row>
    <row r="110" spans="2:23" s="14" customFormat="1" ht="17.100000000000001" customHeight="1">
      <c r="B110" s="89"/>
      <c r="C110" s="90"/>
      <c r="D110" s="91"/>
      <c r="E110" s="92"/>
      <c r="F110" s="89"/>
      <c r="G110" s="89"/>
      <c r="H110" s="89"/>
      <c r="I110" s="89"/>
      <c r="J110" s="89"/>
      <c r="K110" s="89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</row>
    <row r="111" spans="2:23" s="14" customFormat="1" ht="17.100000000000001" customHeight="1">
      <c r="B111" s="89"/>
      <c r="C111" s="90"/>
      <c r="D111" s="91"/>
      <c r="E111" s="92"/>
      <c r="F111" s="89"/>
      <c r="G111" s="89"/>
      <c r="H111" s="89"/>
      <c r="I111" s="89"/>
      <c r="J111" s="89"/>
      <c r="K111" s="89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</row>
    <row r="112" spans="2:23" s="14" customFormat="1" ht="17.100000000000001" customHeight="1">
      <c r="B112" s="89"/>
      <c r="C112" s="90"/>
      <c r="D112" s="91"/>
      <c r="E112" s="92"/>
      <c r="F112" s="89"/>
      <c r="G112" s="89"/>
      <c r="H112" s="89"/>
      <c r="I112" s="89"/>
      <c r="J112" s="89"/>
      <c r="K112" s="89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</row>
    <row r="113" spans="2:23" s="14" customFormat="1" ht="17.100000000000001" customHeight="1">
      <c r="B113" s="89"/>
      <c r="C113" s="90"/>
      <c r="D113" s="91"/>
      <c r="E113" s="92"/>
      <c r="F113" s="89"/>
      <c r="G113" s="89"/>
      <c r="H113" s="89"/>
      <c r="I113" s="89"/>
      <c r="J113" s="89"/>
      <c r="K113" s="89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</row>
    <row r="114" spans="2:23" s="14" customFormat="1" ht="17.100000000000001" customHeight="1">
      <c r="B114" s="89"/>
      <c r="C114" s="90"/>
      <c r="D114" s="91"/>
      <c r="E114" s="92"/>
      <c r="F114" s="89"/>
      <c r="G114" s="89"/>
      <c r="H114" s="89"/>
      <c r="I114" s="89"/>
      <c r="J114" s="89"/>
      <c r="K114" s="89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</row>
    <row r="115" spans="2:23" s="14" customFormat="1" ht="17.100000000000001" customHeight="1">
      <c r="B115" s="89"/>
      <c r="C115" s="90"/>
      <c r="D115" s="91"/>
      <c r="E115" s="92"/>
      <c r="F115" s="89"/>
      <c r="G115" s="89"/>
      <c r="H115" s="89"/>
      <c r="I115" s="89"/>
      <c r="J115" s="89"/>
      <c r="K115" s="89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</row>
    <row r="116" spans="2:23" s="14" customFormat="1" ht="17.100000000000001" customHeight="1">
      <c r="B116" s="89"/>
      <c r="C116" s="90"/>
      <c r="D116" s="91"/>
      <c r="E116" s="92"/>
      <c r="F116" s="89"/>
      <c r="G116" s="89"/>
      <c r="H116" s="89"/>
      <c r="I116" s="89"/>
      <c r="J116" s="89"/>
      <c r="K116" s="89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</row>
    <row r="117" spans="2:23" s="14" customFormat="1" ht="17.100000000000001" customHeight="1">
      <c r="B117" s="89"/>
      <c r="C117" s="90"/>
      <c r="D117" s="91"/>
      <c r="E117" s="92"/>
      <c r="F117" s="89"/>
      <c r="G117" s="89"/>
      <c r="H117" s="89"/>
      <c r="I117" s="89"/>
      <c r="J117" s="89"/>
      <c r="K117" s="89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</row>
    <row r="118" spans="2:23" s="14" customFormat="1" ht="17.100000000000001" customHeight="1">
      <c r="B118" s="89"/>
      <c r="C118" s="90"/>
      <c r="D118" s="91"/>
      <c r="E118" s="92"/>
      <c r="F118" s="89"/>
      <c r="G118" s="89"/>
      <c r="H118" s="89"/>
      <c r="I118" s="89"/>
      <c r="J118" s="89"/>
      <c r="K118" s="89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</row>
    <row r="119" spans="2:23" s="14" customFormat="1" ht="17.100000000000001" customHeight="1">
      <c r="B119" s="89"/>
      <c r="C119" s="90"/>
      <c r="D119" s="91"/>
      <c r="E119" s="92"/>
      <c r="F119" s="89"/>
      <c r="G119" s="89"/>
      <c r="H119" s="89"/>
      <c r="I119" s="89"/>
      <c r="J119" s="89"/>
      <c r="K119" s="89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</row>
    <row r="120" spans="2:23" s="14" customFormat="1" ht="17.100000000000001" customHeight="1">
      <c r="B120" s="89"/>
      <c r="C120" s="90"/>
      <c r="D120" s="91"/>
      <c r="E120" s="92"/>
      <c r="F120" s="89"/>
      <c r="G120" s="89"/>
      <c r="H120" s="89"/>
      <c r="I120" s="89"/>
      <c r="J120" s="89"/>
      <c r="K120" s="89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</row>
    <row r="121" spans="2:23" s="14" customFormat="1" ht="17.100000000000001" customHeight="1">
      <c r="B121" s="89"/>
      <c r="C121" s="90"/>
      <c r="D121" s="91"/>
      <c r="E121" s="92"/>
      <c r="F121" s="89"/>
      <c r="G121" s="89"/>
      <c r="H121" s="89"/>
      <c r="I121" s="89"/>
      <c r="J121" s="89"/>
      <c r="K121" s="89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</row>
    <row r="122" spans="2:23" s="14" customFormat="1" ht="17.100000000000001" customHeight="1">
      <c r="B122" s="89"/>
      <c r="C122" s="90"/>
      <c r="D122" s="91"/>
      <c r="E122" s="92"/>
      <c r="F122" s="89"/>
      <c r="G122" s="89"/>
      <c r="H122" s="89"/>
      <c r="I122" s="89"/>
      <c r="J122" s="89"/>
      <c r="K122" s="89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</row>
    <row r="123" spans="2:23" s="14" customFormat="1" ht="17.100000000000001" customHeight="1">
      <c r="B123" s="89"/>
      <c r="C123" s="90"/>
      <c r="D123" s="91"/>
      <c r="E123" s="92"/>
      <c r="F123" s="89"/>
      <c r="G123" s="89"/>
      <c r="H123" s="89"/>
      <c r="I123" s="89"/>
      <c r="J123" s="89"/>
      <c r="K123" s="89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</row>
    <row r="124" spans="2:23" s="14" customFormat="1" ht="17.100000000000001" customHeight="1">
      <c r="B124" s="89"/>
      <c r="C124" s="90"/>
      <c r="D124" s="91"/>
      <c r="E124" s="92"/>
      <c r="F124" s="89"/>
      <c r="G124" s="89"/>
      <c r="H124" s="89"/>
      <c r="I124" s="89"/>
      <c r="J124" s="89"/>
      <c r="K124" s="89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</row>
    <row r="125" spans="2:23" s="14" customFormat="1" ht="17.100000000000001" customHeight="1">
      <c r="B125" s="89"/>
      <c r="C125" s="90"/>
      <c r="D125" s="91"/>
      <c r="E125" s="92"/>
      <c r="F125" s="89"/>
      <c r="G125" s="89"/>
      <c r="H125" s="89"/>
      <c r="I125" s="89"/>
      <c r="J125" s="89"/>
      <c r="K125" s="89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</row>
    <row r="126" spans="2:23" s="14" customFormat="1" ht="17.100000000000001" customHeight="1">
      <c r="B126" s="89"/>
      <c r="C126" s="90"/>
      <c r="D126" s="91"/>
      <c r="E126" s="92"/>
      <c r="F126" s="89"/>
      <c r="G126" s="89"/>
      <c r="H126" s="89"/>
      <c r="I126" s="89"/>
      <c r="J126" s="89"/>
      <c r="K126" s="89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</row>
    <row r="127" spans="2:23" s="14" customFormat="1" ht="17.100000000000001" customHeight="1">
      <c r="B127" s="89"/>
      <c r="C127" s="90"/>
      <c r="D127" s="91"/>
      <c r="E127" s="92"/>
      <c r="F127" s="89"/>
      <c r="G127" s="89"/>
      <c r="H127" s="89"/>
      <c r="I127" s="89"/>
      <c r="J127" s="89"/>
      <c r="K127" s="89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</row>
    <row r="128" spans="2:23" s="14" customFormat="1" ht="17.100000000000001" customHeight="1">
      <c r="B128" s="89"/>
      <c r="C128" s="90"/>
      <c r="D128" s="91"/>
      <c r="E128" s="92"/>
      <c r="F128" s="89"/>
      <c r="G128" s="89"/>
      <c r="H128" s="89"/>
      <c r="I128" s="89"/>
      <c r="J128" s="89"/>
      <c r="K128" s="89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</row>
    <row r="129" spans="2:23" s="14" customFormat="1" ht="17.100000000000001" customHeight="1">
      <c r="B129" s="89"/>
      <c r="C129" s="90"/>
      <c r="D129" s="91"/>
      <c r="E129" s="92"/>
      <c r="F129" s="89"/>
      <c r="G129" s="89"/>
      <c r="H129" s="89"/>
      <c r="I129" s="89"/>
      <c r="J129" s="89"/>
      <c r="K129" s="89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</row>
    <row r="130" spans="2:23" s="14" customFormat="1" ht="17.100000000000001" customHeight="1">
      <c r="B130" s="89"/>
      <c r="C130" s="90"/>
      <c r="D130" s="91"/>
      <c r="E130" s="92"/>
      <c r="F130" s="89"/>
      <c r="G130" s="89"/>
      <c r="H130" s="89"/>
      <c r="I130" s="89"/>
      <c r="J130" s="89"/>
      <c r="K130" s="89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</row>
    <row r="131" spans="2:23" s="14" customFormat="1" ht="17.100000000000001" customHeight="1">
      <c r="B131" s="89"/>
      <c r="C131" s="90"/>
      <c r="D131" s="91"/>
      <c r="E131" s="92"/>
      <c r="F131" s="89"/>
      <c r="G131" s="89"/>
      <c r="H131" s="89"/>
      <c r="I131" s="89"/>
      <c r="J131" s="89"/>
      <c r="K131" s="89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</row>
    <row r="132" spans="2:23" s="14" customFormat="1" ht="17.100000000000001" customHeight="1">
      <c r="B132" s="89"/>
      <c r="C132" s="90"/>
      <c r="D132" s="91"/>
      <c r="E132" s="92"/>
      <c r="F132" s="89"/>
      <c r="G132" s="89"/>
      <c r="H132" s="89"/>
      <c r="I132" s="89"/>
      <c r="J132" s="89"/>
      <c r="K132" s="89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</row>
    <row r="133" spans="2:23" s="14" customFormat="1" ht="17.100000000000001" customHeight="1">
      <c r="B133" s="89"/>
      <c r="C133" s="90"/>
      <c r="D133" s="91"/>
      <c r="E133" s="92"/>
      <c r="F133" s="89"/>
      <c r="G133" s="89"/>
      <c r="H133" s="89"/>
      <c r="I133" s="89"/>
      <c r="J133" s="89"/>
      <c r="K133" s="89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</row>
    <row r="134" spans="2:23" s="14" customFormat="1" ht="17.100000000000001" customHeight="1">
      <c r="B134" s="89"/>
      <c r="C134" s="90"/>
      <c r="D134" s="91"/>
      <c r="E134" s="92"/>
      <c r="F134" s="89"/>
      <c r="G134" s="89"/>
      <c r="H134" s="89"/>
      <c r="I134" s="89"/>
      <c r="J134" s="89"/>
      <c r="K134" s="89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</row>
    <row r="135" spans="2:23" s="14" customFormat="1" ht="17.100000000000001" customHeight="1">
      <c r="B135" s="89"/>
      <c r="C135" s="90"/>
      <c r="D135" s="91"/>
      <c r="E135" s="92"/>
      <c r="F135" s="89"/>
      <c r="G135" s="89"/>
      <c r="H135" s="89"/>
      <c r="I135" s="89"/>
      <c r="J135" s="89"/>
      <c r="K135" s="89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</row>
    <row r="136" spans="2:23" s="14" customFormat="1" ht="17.100000000000001" customHeight="1">
      <c r="B136" s="89"/>
      <c r="C136" s="90"/>
      <c r="D136" s="91"/>
      <c r="E136" s="92"/>
      <c r="F136" s="89"/>
      <c r="G136" s="89"/>
      <c r="H136" s="89"/>
      <c r="I136" s="89"/>
      <c r="J136" s="89"/>
      <c r="K136" s="89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</row>
    <row r="137" spans="2:23" s="14" customFormat="1" ht="17.100000000000001" customHeight="1">
      <c r="B137" s="89"/>
      <c r="C137" s="90"/>
      <c r="D137" s="91"/>
      <c r="E137" s="92"/>
      <c r="F137" s="89"/>
      <c r="G137" s="89"/>
      <c r="H137" s="89"/>
      <c r="I137" s="89"/>
      <c r="J137" s="89"/>
      <c r="K137" s="89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</row>
    <row r="138" spans="2:23" s="14" customFormat="1" ht="17.100000000000001" customHeight="1">
      <c r="B138" s="89"/>
      <c r="C138" s="90"/>
      <c r="D138" s="91"/>
      <c r="E138" s="92"/>
      <c r="F138" s="89"/>
      <c r="G138" s="89"/>
      <c r="H138" s="89"/>
      <c r="I138" s="89"/>
      <c r="J138" s="89"/>
      <c r="K138" s="89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</row>
    <row r="139" spans="2:23" s="14" customFormat="1" ht="17.100000000000001" customHeight="1">
      <c r="B139" s="89"/>
      <c r="C139" s="90"/>
      <c r="D139" s="91"/>
      <c r="E139" s="92"/>
      <c r="F139" s="89"/>
      <c r="G139" s="89"/>
      <c r="H139" s="89"/>
      <c r="I139" s="89"/>
      <c r="J139" s="89"/>
      <c r="K139" s="89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</row>
    <row r="140" spans="2:23" s="14" customFormat="1" ht="17.100000000000001" customHeight="1">
      <c r="B140" s="89"/>
      <c r="C140" s="90"/>
      <c r="D140" s="91"/>
      <c r="E140" s="92"/>
      <c r="F140" s="89"/>
      <c r="G140" s="89"/>
      <c r="H140" s="89"/>
      <c r="I140" s="89"/>
      <c r="J140" s="89"/>
      <c r="K140" s="89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</row>
    <row r="141" spans="2:23" s="14" customFormat="1" ht="17.100000000000001" customHeight="1">
      <c r="B141" s="89"/>
      <c r="C141" s="90"/>
      <c r="D141" s="91"/>
      <c r="E141" s="92"/>
      <c r="F141" s="89"/>
      <c r="G141" s="89"/>
      <c r="H141" s="89"/>
      <c r="I141" s="89"/>
      <c r="J141" s="89"/>
      <c r="K141" s="89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</row>
    <row r="142" spans="2:23" s="14" customFormat="1" ht="17.100000000000001" customHeight="1">
      <c r="B142" s="89"/>
      <c r="C142" s="90"/>
      <c r="D142" s="91"/>
      <c r="E142" s="92"/>
      <c r="F142" s="89"/>
      <c r="G142" s="89"/>
      <c r="H142" s="89"/>
      <c r="I142" s="89"/>
      <c r="J142" s="89"/>
      <c r="K142" s="89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</row>
    <row r="143" spans="2:23" s="14" customFormat="1" ht="17.100000000000001" customHeight="1">
      <c r="B143" s="89"/>
      <c r="C143" s="90"/>
      <c r="D143" s="91"/>
      <c r="E143" s="92"/>
      <c r="F143" s="89"/>
      <c r="G143" s="89"/>
      <c r="H143" s="89"/>
      <c r="I143" s="89"/>
      <c r="J143" s="89"/>
      <c r="K143" s="89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</row>
    <row r="144" spans="2:23" s="14" customFormat="1" ht="17.100000000000001" customHeight="1">
      <c r="B144" s="89"/>
      <c r="C144" s="90"/>
      <c r="D144" s="91"/>
      <c r="E144" s="92"/>
      <c r="F144" s="89"/>
      <c r="G144" s="89"/>
      <c r="H144" s="89"/>
      <c r="I144" s="89"/>
      <c r="J144" s="89"/>
      <c r="K144" s="89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</row>
    <row r="145" spans="2:23" s="14" customFormat="1" ht="17.100000000000001" customHeight="1">
      <c r="B145" s="89"/>
      <c r="C145" s="90"/>
      <c r="D145" s="91"/>
      <c r="E145" s="92"/>
      <c r="F145" s="89"/>
      <c r="G145" s="89"/>
      <c r="H145" s="89"/>
      <c r="I145" s="89"/>
      <c r="J145" s="89"/>
      <c r="K145" s="89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</row>
    <row r="146" spans="2:23" s="14" customFormat="1" ht="17.100000000000001" customHeight="1">
      <c r="B146" s="89"/>
      <c r="C146" s="90"/>
      <c r="D146" s="91"/>
      <c r="E146" s="92"/>
      <c r="F146" s="89"/>
      <c r="G146" s="89"/>
      <c r="H146" s="89"/>
      <c r="I146" s="89"/>
      <c r="J146" s="89"/>
      <c r="K146" s="89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</row>
    <row r="147" spans="2:23" s="14" customFormat="1" ht="17.100000000000001" customHeight="1">
      <c r="B147" s="89"/>
      <c r="C147" s="90"/>
      <c r="D147" s="91"/>
      <c r="E147" s="92"/>
      <c r="F147" s="89"/>
      <c r="G147" s="89"/>
      <c r="H147" s="89"/>
      <c r="I147" s="89"/>
      <c r="J147" s="89"/>
      <c r="K147" s="89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</row>
    <row r="148" spans="2:23" s="14" customFormat="1" ht="17.100000000000001" customHeight="1">
      <c r="B148" s="89"/>
      <c r="C148" s="90"/>
      <c r="D148" s="91"/>
      <c r="E148" s="92"/>
      <c r="F148" s="89"/>
      <c r="G148" s="89"/>
      <c r="H148" s="89"/>
      <c r="I148" s="89"/>
      <c r="J148" s="89"/>
      <c r="K148" s="89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</row>
    <row r="149" spans="2:23" s="14" customFormat="1" ht="17.100000000000001" customHeight="1">
      <c r="B149" s="89"/>
      <c r="C149" s="90"/>
      <c r="D149" s="91"/>
      <c r="E149" s="92"/>
      <c r="F149" s="89"/>
      <c r="G149" s="89"/>
      <c r="H149" s="89"/>
      <c r="I149" s="89"/>
      <c r="J149" s="89"/>
      <c r="K149" s="89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</row>
    <row r="150" spans="2:23" s="14" customFormat="1" ht="17.100000000000001" customHeight="1">
      <c r="B150" s="89"/>
      <c r="C150" s="90"/>
      <c r="D150" s="91"/>
      <c r="E150" s="92"/>
      <c r="F150" s="89"/>
      <c r="G150" s="89"/>
      <c r="H150" s="89"/>
      <c r="I150" s="89"/>
      <c r="J150" s="89"/>
      <c r="K150" s="89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</row>
    <row r="151" spans="2:23" s="14" customFormat="1" ht="17.100000000000001" customHeight="1">
      <c r="B151" s="89"/>
      <c r="C151" s="90"/>
      <c r="D151" s="91"/>
      <c r="E151" s="92"/>
      <c r="F151" s="89"/>
      <c r="G151" s="89"/>
      <c r="H151" s="89"/>
      <c r="I151" s="89"/>
      <c r="J151" s="89"/>
      <c r="K151" s="89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</row>
    <row r="152" spans="2:23" s="14" customFormat="1" ht="17.100000000000001" customHeight="1">
      <c r="B152" s="89"/>
      <c r="C152" s="90"/>
      <c r="D152" s="91"/>
      <c r="E152" s="92"/>
      <c r="F152" s="89"/>
      <c r="G152" s="89"/>
      <c r="H152" s="89"/>
      <c r="I152" s="89"/>
      <c r="J152" s="89"/>
      <c r="K152" s="89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</row>
    <row r="153" spans="2:23" s="14" customFormat="1" ht="17.100000000000001" customHeight="1">
      <c r="B153" s="89"/>
      <c r="C153" s="90"/>
      <c r="D153" s="91"/>
      <c r="E153" s="92"/>
      <c r="F153" s="89"/>
      <c r="G153" s="89"/>
      <c r="H153" s="89"/>
      <c r="I153" s="89"/>
      <c r="J153" s="89"/>
      <c r="K153" s="89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</row>
    <row r="154" spans="2:23" s="14" customFormat="1" ht="17.100000000000001" customHeight="1">
      <c r="B154" s="89"/>
      <c r="C154" s="90"/>
      <c r="D154" s="91"/>
      <c r="E154" s="92"/>
      <c r="F154" s="89"/>
      <c r="G154" s="89"/>
      <c r="H154" s="89"/>
      <c r="I154" s="89"/>
      <c r="J154" s="89"/>
      <c r="K154" s="89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</row>
    <row r="155" spans="2:23" s="14" customFormat="1" ht="17.100000000000001" customHeight="1">
      <c r="B155" s="89"/>
      <c r="C155" s="90"/>
      <c r="D155" s="91"/>
      <c r="E155" s="92"/>
      <c r="F155" s="89"/>
      <c r="G155" s="89"/>
      <c r="H155" s="89"/>
      <c r="I155" s="89"/>
      <c r="J155" s="89"/>
      <c r="K155" s="89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</row>
    <row r="156" spans="2:23" s="14" customFormat="1" ht="17.100000000000001" customHeight="1">
      <c r="B156" s="89"/>
      <c r="C156" s="90"/>
      <c r="D156" s="91"/>
      <c r="E156" s="92"/>
      <c r="F156" s="89"/>
      <c r="G156" s="89"/>
      <c r="H156" s="89"/>
      <c r="I156" s="89"/>
      <c r="J156" s="89"/>
      <c r="K156" s="89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</row>
    <row r="157" spans="2:23" s="14" customFormat="1" ht="17.100000000000001" customHeight="1">
      <c r="B157" s="89"/>
      <c r="C157" s="90"/>
      <c r="D157" s="91"/>
      <c r="E157" s="92"/>
      <c r="F157" s="89"/>
      <c r="G157" s="89"/>
      <c r="H157" s="89"/>
      <c r="I157" s="89"/>
      <c r="J157" s="89"/>
      <c r="K157" s="89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</row>
    <row r="158" spans="2:23" s="14" customFormat="1" ht="17.100000000000001" customHeight="1">
      <c r="B158" s="89"/>
      <c r="C158" s="90"/>
      <c r="D158" s="91"/>
      <c r="E158" s="92"/>
      <c r="F158" s="89"/>
      <c r="G158" s="89"/>
      <c r="H158" s="89"/>
      <c r="I158" s="89"/>
      <c r="J158" s="89"/>
      <c r="K158" s="89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</row>
    <row r="159" spans="2:23" s="14" customFormat="1" ht="17.100000000000001" customHeight="1">
      <c r="B159" s="89"/>
      <c r="C159" s="90"/>
      <c r="D159" s="91"/>
      <c r="E159" s="92"/>
      <c r="F159" s="89"/>
      <c r="G159" s="89"/>
      <c r="H159" s="89"/>
      <c r="I159" s="89"/>
      <c r="J159" s="89"/>
      <c r="K159" s="89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</row>
    <row r="160" spans="2:23" s="14" customFormat="1" ht="17.100000000000001" customHeight="1">
      <c r="B160" s="89"/>
      <c r="C160" s="90"/>
      <c r="D160" s="91"/>
      <c r="E160" s="92"/>
      <c r="F160" s="89"/>
      <c r="G160" s="89"/>
      <c r="H160" s="89"/>
      <c r="I160" s="89"/>
      <c r="J160" s="89"/>
      <c r="K160" s="89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</row>
    <row r="161" spans="2:23" s="14" customFormat="1" ht="17.100000000000001" customHeight="1">
      <c r="B161" s="89"/>
      <c r="C161" s="90"/>
      <c r="D161" s="91"/>
      <c r="E161" s="92"/>
      <c r="F161" s="89"/>
      <c r="G161" s="89"/>
      <c r="H161" s="89"/>
      <c r="I161" s="89"/>
      <c r="J161" s="89"/>
      <c r="K161" s="89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</row>
    <row r="162" spans="2:23" s="14" customFormat="1" ht="17.100000000000001" customHeight="1">
      <c r="B162" s="89"/>
      <c r="C162" s="90"/>
      <c r="D162" s="91"/>
      <c r="E162" s="92"/>
      <c r="F162" s="89"/>
      <c r="G162" s="89"/>
      <c r="H162" s="89"/>
      <c r="I162" s="89"/>
      <c r="J162" s="89"/>
      <c r="K162" s="89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</row>
    <row r="163" spans="2:23" s="14" customFormat="1" ht="17.100000000000001" customHeight="1">
      <c r="B163" s="89"/>
      <c r="C163" s="90"/>
      <c r="D163" s="91"/>
      <c r="E163" s="92"/>
      <c r="F163" s="89"/>
      <c r="G163" s="89"/>
      <c r="H163" s="89"/>
      <c r="I163" s="89"/>
      <c r="J163" s="89"/>
      <c r="K163" s="89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</row>
    <row r="164" spans="2:23" s="14" customFormat="1" ht="17.100000000000001" customHeight="1">
      <c r="B164" s="89"/>
      <c r="C164" s="90"/>
      <c r="D164" s="91"/>
      <c r="E164" s="92"/>
      <c r="F164" s="89"/>
      <c r="G164" s="89"/>
      <c r="H164" s="89"/>
      <c r="I164" s="89"/>
      <c r="J164" s="89"/>
      <c r="K164" s="89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</row>
    <row r="165" spans="2:23" s="14" customFormat="1" ht="17.100000000000001" customHeight="1">
      <c r="B165" s="89"/>
      <c r="C165" s="90"/>
      <c r="D165" s="91"/>
      <c r="E165" s="92"/>
      <c r="F165" s="89"/>
      <c r="G165" s="89"/>
      <c r="H165" s="89"/>
      <c r="I165" s="89"/>
      <c r="J165" s="89"/>
      <c r="K165" s="89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</row>
    <row r="166" spans="2:23" s="14" customFormat="1" ht="17.100000000000001" customHeight="1">
      <c r="B166" s="89"/>
      <c r="C166" s="90"/>
      <c r="D166" s="91"/>
      <c r="E166" s="92"/>
      <c r="F166" s="89"/>
      <c r="G166" s="89"/>
      <c r="H166" s="89"/>
      <c r="I166" s="89"/>
      <c r="J166" s="89"/>
      <c r="K166" s="89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</row>
    <row r="167" spans="2:23" s="14" customFormat="1" ht="17.100000000000001" customHeight="1">
      <c r="B167" s="89"/>
      <c r="C167" s="90"/>
      <c r="D167" s="91"/>
      <c r="E167" s="92"/>
      <c r="F167" s="89"/>
      <c r="G167" s="89"/>
      <c r="H167" s="89"/>
      <c r="I167" s="89"/>
      <c r="J167" s="89"/>
      <c r="K167" s="89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</row>
    <row r="168" spans="2:23" s="14" customFormat="1" ht="17.100000000000001" customHeight="1">
      <c r="B168" s="89"/>
      <c r="C168" s="90"/>
      <c r="D168" s="91"/>
      <c r="E168" s="92"/>
      <c r="F168" s="89"/>
      <c r="G168" s="89"/>
      <c r="H168" s="89"/>
      <c r="I168" s="89"/>
      <c r="J168" s="89"/>
      <c r="K168" s="89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</row>
    <row r="169" spans="2:23" s="14" customFormat="1" ht="17.100000000000001" customHeight="1">
      <c r="B169" s="89"/>
      <c r="C169" s="90"/>
      <c r="D169" s="91"/>
      <c r="E169" s="92"/>
      <c r="F169" s="89"/>
      <c r="G169" s="89"/>
      <c r="H169" s="89"/>
      <c r="I169" s="89"/>
      <c r="J169" s="89"/>
      <c r="K169" s="89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</row>
    <row r="170" spans="2:23" s="14" customFormat="1" ht="17.100000000000001" customHeight="1">
      <c r="B170" s="89"/>
      <c r="C170" s="90"/>
      <c r="D170" s="91"/>
      <c r="E170" s="92"/>
      <c r="F170" s="89"/>
      <c r="G170" s="89"/>
      <c r="H170" s="89"/>
      <c r="I170" s="89"/>
      <c r="J170" s="89"/>
      <c r="K170" s="89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</row>
    <row r="171" spans="2:23" s="14" customFormat="1" ht="17.100000000000001" customHeight="1">
      <c r="B171" s="89"/>
      <c r="C171" s="90"/>
      <c r="D171" s="91"/>
      <c r="E171" s="92"/>
      <c r="F171" s="89"/>
      <c r="G171" s="89"/>
      <c r="H171" s="89"/>
      <c r="I171" s="89"/>
      <c r="J171" s="89"/>
      <c r="K171" s="89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</row>
    <row r="172" spans="2:23" s="14" customFormat="1" ht="17.100000000000001" customHeight="1">
      <c r="B172" s="89"/>
      <c r="C172" s="90"/>
      <c r="D172" s="91"/>
      <c r="E172" s="92"/>
      <c r="F172" s="89"/>
      <c r="G172" s="89"/>
      <c r="H172" s="89"/>
      <c r="I172" s="89"/>
      <c r="J172" s="89"/>
      <c r="K172" s="89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</row>
    <row r="173" spans="2:23" s="14" customFormat="1" ht="17.100000000000001" customHeight="1">
      <c r="B173" s="89"/>
      <c r="C173" s="90"/>
      <c r="D173" s="91"/>
      <c r="E173" s="92"/>
      <c r="F173" s="89"/>
      <c r="G173" s="89"/>
      <c r="H173" s="89"/>
      <c r="I173" s="89"/>
      <c r="J173" s="89"/>
      <c r="K173" s="89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</row>
    <row r="174" spans="2:23" s="14" customFormat="1" ht="17.100000000000001" customHeight="1">
      <c r="B174" s="89"/>
      <c r="C174" s="90"/>
      <c r="D174" s="91"/>
      <c r="E174" s="92"/>
      <c r="F174" s="89"/>
      <c r="G174" s="89"/>
      <c r="H174" s="89"/>
      <c r="I174" s="89"/>
      <c r="J174" s="89"/>
      <c r="K174" s="89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</row>
    <row r="175" spans="2:23" s="14" customFormat="1" ht="17.100000000000001" customHeight="1">
      <c r="B175" s="89"/>
      <c r="C175" s="90"/>
      <c r="D175" s="91"/>
      <c r="E175" s="92"/>
      <c r="F175" s="89"/>
      <c r="G175" s="89"/>
      <c r="H175" s="89"/>
      <c r="I175" s="89"/>
      <c r="J175" s="89"/>
      <c r="K175" s="89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</row>
    <row r="176" spans="2:23" s="14" customFormat="1" ht="17.100000000000001" customHeight="1">
      <c r="B176" s="89"/>
      <c r="C176" s="90"/>
      <c r="D176" s="91"/>
      <c r="E176" s="92"/>
      <c r="F176" s="89"/>
      <c r="G176" s="89"/>
      <c r="H176" s="89"/>
      <c r="I176" s="89"/>
      <c r="J176" s="89"/>
      <c r="K176" s="89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</row>
    <row r="177" spans="2:23" s="14" customFormat="1" ht="17.100000000000001" customHeight="1">
      <c r="B177" s="89"/>
      <c r="C177" s="90"/>
      <c r="D177" s="91"/>
      <c r="E177" s="92"/>
      <c r="F177" s="89"/>
      <c r="G177" s="89"/>
      <c r="H177" s="89"/>
      <c r="I177" s="89"/>
      <c r="J177" s="89"/>
      <c r="K177" s="89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</row>
    <row r="178" spans="2:23" s="14" customFormat="1" ht="17.100000000000001" customHeight="1">
      <c r="B178" s="89"/>
      <c r="C178" s="90"/>
      <c r="D178" s="91"/>
      <c r="E178" s="92"/>
      <c r="F178" s="89"/>
      <c r="G178" s="89"/>
      <c r="H178" s="89"/>
      <c r="I178" s="89"/>
      <c r="J178" s="89"/>
      <c r="K178" s="89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</row>
    <row r="179" spans="2:23" s="14" customFormat="1" ht="17.100000000000001" customHeight="1">
      <c r="B179" s="89"/>
      <c r="C179" s="90"/>
      <c r="D179" s="91"/>
      <c r="E179" s="92"/>
      <c r="F179" s="89"/>
      <c r="G179" s="89"/>
      <c r="H179" s="89"/>
      <c r="I179" s="89"/>
      <c r="J179" s="89"/>
      <c r="K179" s="89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</row>
    <row r="180" spans="2:23" s="14" customFormat="1" ht="17.100000000000001" customHeight="1">
      <c r="B180" s="89"/>
      <c r="C180" s="90"/>
      <c r="D180" s="91"/>
      <c r="E180" s="92"/>
      <c r="F180" s="89"/>
      <c r="G180" s="89"/>
      <c r="H180" s="89"/>
      <c r="I180" s="89"/>
      <c r="J180" s="89"/>
      <c r="K180" s="89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</row>
    <row r="181" spans="2:23" s="14" customFormat="1" ht="17.100000000000001" customHeight="1">
      <c r="B181" s="89"/>
      <c r="C181" s="90"/>
      <c r="D181" s="91"/>
      <c r="E181" s="92"/>
      <c r="F181" s="89"/>
      <c r="G181" s="89"/>
      <c r="H181" s="89"/>
      <c r="I181" s="89"/>
      <c r="J181" s="89"/>
      <c r="K181" s="89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</row>
    <row r="182" spans="2:23" s="14" customFormat="1" ht="17.100000000000001" customHeight="1">
      <c r="B182" s="89"/>
      <c r="C182" s="90"/>
      <c r="D182" s="91"/>
      <c r="E182" s="92"/>
      <c r="F182" s="89"/>
      <c r="G182" s="89"/>
      <c r="H182" s="89"/>
      <c r="I182" s="89"/>
      <c r="J182" s="89"/>
      <c r="K182" s="89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</row>
    <row r="183" spans="2:23" s="14" customFormat="1" ht="17.100000000000001" customHeight="1">
      <c r="B183" s="89"/>
      <c r="C183" s="90"/>
      <c r="D183" s="91"/>
      <c r="E183" s="92"/>
      <c r="F183" s="89"/>
      <c r="G183" s="89"/>
      <c r="H183" s="89"/>
      <c r="I183" s="89"/>
      <c r="J183" s="89"/>
      <c r="K183" s="89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</row>
    <row r="184" spans="2:23" s="14" customFormat="1" ht="17.100000000000001" customHeight="1">
      <c r="B184" s="89"/>
      <c r="C184" s="90"/>
      <c r="D184" s="91"/>
      <c r="E184" s="92"/>
      <c r="F184" s="89"/>
      <c r="G184" s="89"/>
      <c r="H184" s="89"/>
      <c r="I184" s="89"/>
      <c r="J184" s="89"/>
      <c r="K184" s="89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</row>
    <row r="185" spans="2:23" s="14" customFormat="1" ht="17.100000000000001" customHeight="1">
      <c r="B185" s="89"/>
      <c r="C185" s="90"/>
      <c r="D185" s="91"/>
      <c r="E185" s="92"/>
      <c r="F185" s="89"/>
      <c r="G185" s="89"/>
      <c r="H185" s="89"/>
      <c r="I185" s="89"/>
      <c r="J185" s="89"/>
      <c r="K185" s="89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</row>
    <row r="186" spans="2:23" s="14" customFormat="1" ht="17.100000000000001" customHeight="1">
      <c r="B186" s="89"/>
      <c r="C186" s="90"/>
      <c r="D186" s="91"/>
      <c r="E186" s="92"/>
      <c r="F186" s="89"/>
      <c r="G186" s="89"/>
      <c r="H186" s="89"/>
      <c r="I186" s="89"/>
      <c r="J186" s="89"/>
      <c r="K186" s="89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</row>
    <row r="187" spans="2:23" s="14" customFormat="1" ht="17.100000000000001" customHeight="1">
      <c r="B187" s="89"/>
      <c r="C187" s="90"/>
      <c r="D187" s="91"/>
      <c r="E187" s="92"/>
      <c r="F187" s="89"/>
      <c r="G187" s="89"/>
      <c r="H187" s="89"/>
      <c r="I187" s="89"/>
      <c r="J187" s="89"/>
      <c r="K187" s="89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</row>
    <row r="188" spans="2:23" s="14" customFormat="1" ht="17.100000000000001" customHeight="1">
      <c r="B188" s="89"/>
      <c r="C188" s="90"/>
      <c r="D188" s="91"/>
      <c r="E188" s="92"/>
      <c r="F188" s="89"/>
      <c r="G188" s="89"/>
      <c r="H188" s="89"/>
      <c r="I188" s="89"/>
      <c r="J188" s="89"/>
      <c r="K188" s="89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</row>
    <row r="189" spans="2:23" s="14" customFormat="1" ht="17.100000000000001" customHeight="1">
      <c r="B189" s="89"/>
      <c r="C189" s="90"/>
      <c r="D189" s="91"/>
      <c r="E189" s="92"/>
      <c r="F189" s="89"/>
      <c r="G189" s="89"/>
      <c r="H189" s="89"/>
      <c r="I189" s="89"/>
      <c r="J189" s="89"/>
      <c r="K189" s="89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</row>
    <row r="190" spans="2:23" s="14" customFormat="1" ht="17.100000000000001" customHeight="1">
      <c r="B190" s="89"/>
      <c r="C190" s="90"/>
      <c r="D190" s="91"/>
      <c r="E190" s="92"/>
      <c r="F190" s="89"/>
      <c r="G190" s="89"/>
      <c r="H190" s="89"/>
      <c r="I190" s="89"/>
      <c r="J190" s="89"/>
      <c r="K190" s="89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</row>
    <row r="191" spans="2:23" s="14" customFormat="1" ht="17.100000000000001" customHeight="1">
      <c r="B191" s="89"/>
      <c r="C191" s="90"/>
      <c r="D191" s="91"/>
      <c r="E191" s="92"/>
      <c r="F191" s="89"/>
      <c r="G191" s="89"/>
      <c r="H191" s="89"/>
      <c r="I191" s="89"/>
      <c r="J191" s="89"/>
      <c r="K191" s="89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</row>
    <row r="192" spans="2:23" s="14" customFormat="1" ht="17.100000000000001" customHeight="1">
      <c r="B192" s="89"/>
      <c r="C192" s="90"/>
      <c r="D192" s="91"/>
      <c r="E192" s="92"/>
      <c r="F192" s="89"/>
      <c r="G192" s="89"/>
      <c r="H192" s="89"/>
      <c r="I192" s="89"/>
      <c r="J192" s="89"/>
      <c r="K192" s="89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</row>
    <row r="193" spans="2:23" s="14" customFormat="1" ht="17.100000000000001" customHeight="1">
      <c r="B193" s="89"/>
      <c r="C193" s="90"/>
      <c r="D193" s="91"/>
      <c r="E193" s="92"/>
      <c r="F193" s="89"/>
      <c r="G193" s="89"/>
      <c r="H193" s="89"/>
      <c r="I193" s="89"/>
      <c r="J193" s="89"/>
      <c r="K193" s="89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</row>
    <row r="194" spans="2:23" s="14" customFormat="1" ht="17.100000000000001" customHeight="1">
      <c r="B194" s="89"/>
      <c r="C194" s="90"/>
      <c r="D194" s="91"/>
      <c r="E194" s="92"/>
      <c r="F194" s="89"/>
      <c r="G194" s="89"/>
      <c r="H194" s="89"/>
      <c r="I194" s="89"/>
      <c r="J194" s="89"/>
      <c r="K194" s="89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</row>
    <row r="195" spans="2:23" s="14" customFormat="1" ht="17.100000000000001" customHeight="1">
      <c r="B195" s="89"/>
      <c r="C195" s="90"/>
      <c r="D195" s="91"/>
      <c r="E195" s="92"/>
      <c r="F195" s="89"/>
      <c r="G195" s="89"/>
      <c r="H195" s="89"/>
      <c r="I195" s="89"/>
      <c r="J195" s="89"/>
      <c r="K195" s="89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</row>
    <row r="196" spans="2:23" s="14" customFormat="1" ht="17.100000000000001" customHeight="1">
      <c r="B196" s="89"/>
      <c r="C196" s="90"/>
      <c r="D196" s="91"/>
      <c r="E196" s="92"/>
      <c r="F196" s="89"/>
      <c r="G196" s="89"/>
      <c r="H196" s="89"/>
      <c r="I196" s="89"/>
      <c r="J196" s="89"/>
      <c r="K196" s="89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</row>
    <row r="197" spans="2:23" s="14" customFormat="1" ht="17.100000000000001" customHeight="1">
      <c r="B197" s="89"/>
      <c r="C197" s="90"/>
      <c r="D197" s="91"/>
      <c r="E197" s="92"/>
      <c r="F197" s="89"/>
      <c r="G197" s="89"/>
      <c r="H197" s="89"/>
      <c r="I197" s="89"/>
      <c r="J197" s="89"/>
      <c r="K197" s="89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</row>
    <row r="198" spans="2:23" s="14" customFormat="1" ht="17.100000000000001" customHeight="1">
      <c r="B198" s="89"/>
      <c r="C198" s="90"/>
      <c r="D198" s="91"/>
      <c r="E198" s="92"/>
      <c r="F198" s="89"/>
      <c r="G198" s="89"/>
      <c r="H198" s="89"/>
      <c r="I198" s="89"/>
      <c r="J198" s="89"/>
      <c r="K198" s="89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</row>
    <row r="199" spans="2:23" s="14" customFormat="1" ht="17.100000000000001" customHeight="1">
      <c r="B199" s="89"/>
      <c r="C199" s="90"/>
      <c r="D199" s="91"/>
      <c r="E199" s="92"/>
      <c r="F199" s="89"/>
      <c r="G199" s="89"/>
      <c r="H199" s="89"/>
      <c r="I199" s="89"/>
      <c r="J199" s="89"/>
      <c r="K199" s="89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</row>
    <row r="200" spans="2:23" s="14" customFormat="1" ht="17.100000000000001" customHeight="1">
      <c r="B200" s="89"/>
      <c r="C200" s="90"/>
      <c r="D200" s="91"/>
      <c r="E200" s="92"/>
      <c r="F200" s="89"/>
      <c r="G200" s="89"/>
      <c r="H200" s="89"/>
      <c r="I200" s="89"/>
      <c r="J200" s="89"/>
      <c r="K200" s="89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</row>
    <row r="201" spans="2:23" s="14" customFormat="1" ht="17.100000000000001" customHeight="1">
      <c r="B201" s="89"/>
      <c r="C201" s="90"/>
      <c r="D201" s="91"/>
      <c r="E201" s="92"/>
      <c r="F201" s="89"/>
      <c r="G201" s="89"/>
      <c r="H201" s="89"/>
      <c r="I201" s="89"/>
      <c r="J201" s="89"/>
      <c r="K201" s="89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</row>
    <row r="202" spans="2:23" s="14" customFormat="1" ht="17.100000000000001" customHeight="1">
      <c r="B202" s="89"/>
      <c r="C202" s="90"/>
      <c r="D202" s="91"/>
      <c r="E202" s="92"/>
      <c r="F202" s="89"/>
      <c r="G202" s="89"/>
      <c r="H202" s="89"/>
      <c r="I202" s="89"/>
      <c r="J202" s="89"/>
      <c r="K202" s="89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</row>
    <row r="203" spans="2:23" s="14" customFormat="1" ht="17.100000000000001" customHeight="1">
      <c r="B203" s="89"/>
      <c r="C203" s="90"/>
      <c r="D203" s="91"/>
      <c r="E203" s="92"/>
      <c r="F203" s="89"/>
      <c r="G203" s="89"/>
      <c r="H203" s="89"/>
      <c r="I203" s="89"/>
      <c r="J203" s="89"/>
      <c r="K203" s="89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</row>
    <row r="204" spans="2:23" s="14" customFormat="1" ht="17.100000000000001" customHeight="1">
      <c r="B204" s="89"/>
      <c r="C204" s="90"/>
      <c r="D204" s="91"/>
      <c r="E204" s="92"/>
      <c r="F204" s="89"/>
      <c r="G204" s="89"/>
      <c r="H204" s="89"/>
      <c r="I204" s="89"/>
      <c r="J204" s="89"/>
      <c r="K204" s="89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</row>
    <row r="205" spans="2:23" s="14" customFormat="1" ht="17.100000000000001" customHeight="1">
      <c r="B205" s="89"/>
      <c r="C205" s="90"/>
      <c r="D205" s="91"/>
      <c r="E205" s="92"/>
      <c r="F205" s="89"/>
      <c r="G205" s="89"/>
      <c r="H205" s="89"/>
      <c r="I205" s="89"/>
      <c r="J205" s="89"/>
      <c r="K205" s="89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</row>
    <row r="206" spans="2:23" s="14" customFormat="1" ht="17.100000000000001" customHeight="1">
      <c r="B206" s="89"/>
      <c r="C206" s="90"/>
      <c r="D206" s="91"/>
      <c r="E206" s="92"/>
      <c r="F206" s="89"/>
      <c r="G206" s="89"/>
      <c r="H206" s="89"/>
      <c r="I206" s="89"/>
      <c r="J206" s="89"/>
      <c r="K206" s="89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</row>
    <row r="207" spans="2:23" s="14" customFormat="1" ht="17.100000000000001" customHeight="1">
      <c r="B207" s="89"/>
      <c r="C207" s="90"/>
      <c r="D207" s="91"/>
      <c r="E207" s="92"/>
      <c r="F207" s="89"/>
      <c r="G207" s="89"/>
      <c r="H207" s="89"/>
      <c r="I207" s="89"/>
      <c r="J207" s="89"/>
      <c r="K207" s="89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</row>
    <row r="208" spans="2:23" s="14" customFormat="1" ht="17.100000000000001" customHeight="1">
      <c r="B208" s="89"/>
      <c r="C208" s="90"/>
      <c r="D208" s="91"/>
      <c r="E208" s="92"/>
      <c r="F208" s="89"/>
      <c r="G208" s="89"/>
      <c r="H208" s="89"/>
      <c r="I208" s="89"/>
      <c r="J208" s="89"/>
      <c r="K208" s="89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</row>
    <row r="209" spans="2:23" s="14" customFormat="1" ht="17.100000000000001" customHeight="1">
      <c r="B209" s="89"/>
      <c r="C209" s="90"/>
      <c r="D209" s="91"/>
      <c r="E209" s="92"/>
      <c r="F209" s="89"/>
      <c r="G209" s="89"/>
      <c r="H209" s="89"/>
      <c r="I209" s="89"/>
      <c r="J209" s="89"/>
      <c r="K209" s="89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</row>
    <row r="210" spans="2:23" s="14" customFormat="1" ht="17.100000000000001" customHeight="1">
      <c r="B210" s="89"/>
      <c r="C210" s="90"/>
      <c r="D210" s="91"/>
      <c r="E210" s="92"/>
      <c r="F210" s="89"/>
      <c r="G210" s="89"/>
      <c r="H210" s="89"/>
      <c r="I210" s="89"/>
      <c r="J210" s="89"/>
      <c r="K210" s="89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</row>
    <row r="211" spans="2:23" s="14" customFormat="1" ht="17.100000000000001" customHeight="1">
      <c r="B211" s="89"/>
      <c r="C211" s="90"/>
      <c r="D211" s="91"/>
      <c r="E211" s="92"/>
      <c r="F211" s="89"/>
      <c r="G211" s="89"/>
      <c r="H211" s="89"/>
      <c r="I211" s="89"/>
      <c r="J211" s="89"/>
      <c r="K211" s="89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</row>
    <row r="212" spans="2:23" s="14" customFormat="1" ht="17.100000000000001" customHeight="1">
      <c r="B212" s="89"/>
      <c r="C212" s="90"/>
      <c r="D212" s="91"/>
      <c r="E212" s="92"/>
      <c r="F212" s="89"/>
      <c r="G212" s="89"/>
      <c r="H212" s="89"/>
      <c r="I212" s="89"/>
      <c r="J212" s="89"/>
      <c r="K212" s="89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</row>
    <row r="213" spans="2:23" s="14" customFormat="1" ht="17.100000000000001" customHeight="1">
      <c r="B213" s="89"/>
      <c r="C213" s="90"/>
      <c r="D213" s="91"/>
      <c r="E213" s="92"/>
      <c r="F213" s="89"/>
      <c r="G213" s="89"/>
      <c r="H213" s="89"/>
      <c r="I213" s="89"/>
      <c r="J213" s="89"/>
      <c r="K213" s="89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</row>
    <row r="214" spans="2:23" s="14" customFormat="1" ht="17.100000000000001" customHeight="1">
      <c r="B214" s="89"/>
      <c r="C214" s="90"/>
      <c r="D214" s="91"/>
      <c r="E214" s="92"/>
      <c r="F214" s="89"/>
      <c r="G214" s="89"/>
      <c r="H214" s="89"/>
      <c r="I214" s="89"/>
      <c r="J214" s="89"/>
      <c r="K214" s="89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</row>
    <row r="215" spans="2:23" s="14" customFormat="1" ht="17.100000000000001" customHeight="1">
      <c r="B215" s="89"/>
      <c r="C215" s="90"/>
      <c r="D215" s="91"/>
      <c r="E215" s="92"/>
      <c r="F215" s="89"/>
      <c r="G215" s="89"/>
      <c r="H215" s="89"/>
      <c r="I215" s="89"/>
      <c r="J215" s="89"/>
      <c r="K215" s="89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</row>
    <row r="216" spans="2:23" s="14" customFormat="1" ht="17.100000000000001" customHeight="1">
      <c r="B216" s="89"/>
      <c r="C216" s="90"/>
      <c r="D216" s="91"/>
      <c r="E216" s="92"/>
      <c r="F216" s="89"/>
      <c r="G216" s="89"/>
      <c r="H216" s="89"/>
      <c r="I216" s="89"/>
      <c r="J216" s="89"/>
      <c r="K216" s="89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</row>
    <row r="217" spans="2:23" s="14" customFormat="1" ht="17.100000000000001" customHeight="1">
      <c r="B217" s="89"/>
      <c r="C217" s="90"/>
      <c r="D217" s="91"/>
      <c r="E217" s="92"/>
      <c r="F217" s="89"/>
      <c r="G217" s="89"/>
      <c r="H217" s="89"/>
      <c r="I217" s="89"/>
      <c r="J217" s="89"/>
      <c r="K217" s="89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</row>
    <row r="218" spans="2:23" s="14" customFormat="1" ht="17.100000000000001" customHeight="1">
      <c r="B218" s="89"/>
      <c r="C218" s="90"/>
      <c r="D218" s="91"/>
      <c r="E218" s="92"/>
      <c r="F218" s="89"/>
      <c r="G218" s="89"/>
      <c r="H218" s="89"/>
      <c r="I218" s="89"/>
      <c r="J218" s="89"/>
      <c r="K218" s="89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</row>
    <row r="219" spans="2:23" s="14" customFormat="1" ht="17.100000000000001" customHeight="1">
      <c r="B219" s="89"/>
      <c r="C219" s="90"/>
      <c r="D219" s="91"/>
      <c r="E219" s="92"/>
      <c r="F219" s="89"/>
      <c r="G219" s="89"/>
      <c r="H219" s="89"/>
      <c r="I219" s="89"/>
      <c r="J219" s="89"/>
      <c r="K219" s="89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</row>
    <row r="220" spans="2:23" s="14" customFormat="1" ht="17.100000000000001" customHeight="1">
      <c r="B220" s="89"/>
      <c r="C220" s="90"/>
      <c r="D220" s="91"/>
      <c r="E220" s="92"/>
      <c r="F220" s="89"/>
      <c r="G220" s="89"/>
      <c r="H220" s="89"/>
      <c r="I220" s="89"/>
      <c r="J220" s="89"/>
      <c r="K220" s="89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</row>
    <row r="221" spans="2:23" s="14" customFormat="1" ht="17.100000000000001" customHeight="1">
      <c r="B221" s="89"/>
      <c r="C221" s="90"/>
      <c r="D221" s="91"/>
      <c r="E221" s="92"/>
      <c r="F221" s="89"/>
      <c r="G221" s="89"/>
      <c r="H221" s="89"/>
      <c r="I221" s="89"/>
      <c r="J221" s="89"/>
      <c r="K221" s="89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</row>
    <row r="222" spans="2:23" s="14" customFormat="1" ht="17.100000000000001" customHeight="1">
      <c r="B222" s="89"/>
      <c r="C222" s="90"/>
      <c r="D222" s="91"/>
      <c r="E222" s="92"/>
      <c r="F222" s="89"/>
      <c r="G222" s="89"/>
      <c r="H222" s="89"/>
      <c r="I222" s="89"/>
      <c r="J222" s="89"/>
      <c r="K222" s="89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</row>
    <row r="223" spans="2:23" s="14" customFormat="1" ht="17.100000000000001" customHeight="1">
      <c r="B223" s="89"/>
      <c r="C223" s="90"/>
      <c r="D223" s="91"/>
      <c r="E223" s="92"/>
      <c r="F223" s="89"/>
      <c r="G223" s="89"/>
      <c r="H223" s="89"/>
      <c r="I223" s="89"/>
      <c r="J223" s="89"/>
      <c r="K223" s="89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</row>
    <row r="224" spans="2:23" s="14" customFormat="1" ht="17.100000000000001" customHeight="1">
      <c r="B224" s="89"/>
      <c r="C224" s="90"/>
      <c r="D224" s="91"/>
      <c r="E224" s="92"/>
      <c r="F224" s="89"/>
      <c r="G224" s="89"/>
      <c r="H224" s="89"/>
      <c r="I224" s="89"/>
      <c r="J224" s="89"/>
      <c r="K224" s="89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</row>
    <row r="225" spans="2:23" s="14" customFormat="1" ht="17.100000000000001" customHeight="1">
      <c r="B225" s="89"/>
      <c r="C225" s="90"/>
      <c r="D225" s="91"/>
      <c r="E225" s="92"/>
      <c r="F225" s="89"/>
      <c r="G225" s="89"/>
      <c r="H225" s="89"/>
      <c r="I225" s="89"/>
      <c r="J225" s="89"/>
      <c r="K225" s="89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</row>
    <row r="226" spans="2:23" s="14" customFormat="1" ht="17.100000000000001" customHeight="1">
      <c r="B226" s="89"/>
      <c r="C226" s="90"/>
      <c r="D226" s="91"/>
      <c r="E226" s="92"/>
      <c r="F226" s="89"/>
      <c r="G226" s="89"/>
      <c r="H226" s="89"/>
      <c r="I226" s="89"/>
      <c r="J226" s="89"/>
      <c r="K226" s="89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</row>
    <row r="227" spans="2:23" s="14" customFormat="1" ht="17.100000000000001" customHeight="1">
      <c r="B227" s="89"/>
      <c r="C227" s="90"/>
      <c r="D227" s="91"/>
      <c r="E227" s="92"/>
      <c r="F227" s="89"/>
      <c r="G227" s="89"/>
      <c r="H227" s="89"/>
      <c r="I227" s="89"/>
      <c r="J227" s="89"/>
      <c r="K227" s="89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</row>
    <row r="228" spans="2:23" s="14" customFormat="1" ht="17.100000000000001" customHeight="1">
      <c r="B228" s="89"/>
      <c r="C228" s="90"/>
      <c r="D228" s="91"/>
      <c r="E228" s="92"/>
      <c r="F228" s="89"/>
      <c r="G228" s="89"/>
      <c r="H228" s="89"/>
      <c r="I228" s="89"/>
      <c r="J228" s="89"/>
      <c r="K228" s="89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</row>
    <row r="229" spans="2:23" s="14" customFormat="1" ht="17.100000000000001" customHeight="1">
      <c r="B229" s="89"/>
      <c r="C229" s="90"/>
      <c r="D229" s="91"/>
      <c r="E229" s="92"/>
      <c r="F229" s="89"/>
      <c r="G229" s="89"/>
      <c r="H229" s="89"/>
      <c r="I229" s="89"/>
      <c r="J229" s="89"/>
      <c r="K229" s="89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</row>
    <row r="230" spans="2:23" s="14" customFormat="1" ht="17.100000000000001" customHeight="1">
      <c r="B230" s="89"/>
      <c r="C230" s="90"/>
      <c r="D230" s="91"/>
      <c r="E230" s="92"/>
      <c r="F230" s="89"/>
      <c r="G230" s="89"/>
      <c r="H230" s="89"/>
      <c r="I230" s="89"/>
      <c r="J230" s="89"/>
      <c r="K230" s="89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</row>
    <row r="231" spans="2:23" s="14" customFormat="1" ht="17.100000000000001" customHeight="1">
      <c r="B231" s="89"/>
      <c r="C231" s="90"/>
      <c r="D231" s="91"/>
      <c r="E231" s="92"/>
      <c r="F231" s="89"/>
      <c r="G231" s="89"/>
      <c r="H231" s="89"/>
      <c r="I231" s="89"/>
      <c r="J231" s="89"/>
      <c r="K231" s="89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</row>
    <row r="232" spans="2:23" s="14" customFormat="1" ht="17.100000000000001" customHeight="1">
      <c r="B232" s="89"/>
      <c r="C232" s="90"/>
      <c r="D232" s="91"/>
      <c r="E232" s="92"/>
      <c r="F232" s="89"/>
      <c r="G232" s="89"/>
      <c r="H232" s="89"/>
      <c r="I232" s="89"/>
      <c r="J232" s="89"/>
      <c r="K232" s="89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</row>
    <row r="233" spans="2:23" s="14" customFormat="1" ht="17.100000000000001" customHeight="1">
      <c r="B233" s="89"/>
      <c r="C233" s="90"/>
      <c r="D233" s="91"/>
      <c r="E233" s="92"/>
      <c r="F233" s="89"/>
      <c r="G233" s="89"/>
      <c r="H233" s="89"/>
      <c r="I233" s="89"/>
      <c r="J233" s="89"/>
      <c r="K233" s="89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</row>
    <row r="234" spans="2:23" s="14" customFormat="1" ht="17.100000000000001" customHeight="1">
      <c r="B234" s="89"/>
      <c r="C234" s="90"/>
      <c r="D234" s="91"/>
      <c r="E234" s="92"/>
      <c r="F234" s="89"/>
      <c r="G234" s="89"/>
      <c r="H234" s="89"/>
      <c r="I234" s="89"/>
      <c r="J234" s="89"/>
      <c r="K234" s="89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</row>
    <row r="235" spans="2:23" s="14" customFormat="1" ht="17.100000000000001" customHeight="1">
      <c r="B235" s="89"/>
      <c r="C235" s="90"/>
      <c r="D235" s="91"/>
      <c r="E235" s="92"/>
      <c r="F235" s="89"/>
      <c r="G235" s="89"/>
      <c r="H235" s="89"/>
      <c r="I235" s="89"/>
      <c r="J235" s="89"/>
      <c r="K235" s="89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</row>
    <row r="236" spans="2:23" s="14" customFormat="1" ht="17.100000000000001" customHeight="1">
      <c r="B236" s="89"/>
      <c r="C236" s="90"/>
      <c r="D236" s="91"/>
      <c r="E236" s="92"/>
      <c r="F236" s="89"/>
      <c r="G236" s="89"/>
      <c r="H236" s="89"/>
      <c r="I236" s="89"/>
      <c r="J236" s="89"/>
      <c r="K236" s="89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</row>
    <row r="237" spans="2:23" s="14" customFormat="1" ht="17.100000000000001" customHeight="1">
      <c r="B237" s="89"/>
      <c r="C237" s="90"/>
      <c r="D237" s="91"/>
      <c r="E237" s="92"/>
      <c r="F237" s="89"/>
      <c r="G237" s="89"/>
      <c r="H237" s="89"/>
      <c r="I237" s="89"/>
      <c r="J237" s="89"/>
      <c r="K237" s="89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</row>
    <row r="238" spans="2:23" s="14" customFormat="1" ht="17.100000000000001" customHeight="1">
      <c r="B238" s="89"/>
      <c r="C238" s="90"/>
      <c r="D238" s="91"/>
      <c r="E238" s="92"/>
      <c r="F238" s="89"/>
      <c r="G238" s="89"/>
      <c r="H238" s="89"/>
      <c r="I238" s="89"/>
      <c r="J238" s="89"/>
      <c r="K238" s="89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</row>
    <row r="239" spans="2:23" s="14" customFormat="1" ht="17.100000000000001" customHeight="1">
      <c r="B239" s="89"/>
      <c r="C239" s="90"/>
      <c r="D239" s="91"/>
      <c r="E239" s="92"/>
      <c r="F239" s="89"/>
      <c r="G239" s="89"/>
      <c r="H239" s="89"/>
      <c r="I239" s="89"/>
      <c r="J239" s="89"/>
      <c r="K239" s="89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</row>
    <row r="240" spans="2:23" s="14" customFormat="1" ht="17.100000000000001" customHeight="1">
      <c r="B240" s="89"/>
      <c r="C240" s="90"/>
      <c r="D240" s="91"/>
      <c r="E240" s="92"/>
      <c r="F240" s="89"/>
      <c r="G240" s="89"/>
      <c r="H240" s="89"/>
      <c r="I240" s="89"/>
      <c r="J240" s="89"/>
      <c r="K240" s="89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</row>
    <row r="241" spans="2:23" s="14" customFormat="1" ht="17.100000000000001" customHeight="1">
      <c r="B241" s="89"/>
      <c r="C241" s="90"/>
      <c r="D241" s="91"/>
      <c r="E241" s="92"/>
      <c r="F241" s="89"/>
      <c r="G241" s="89"/>
      <c r="H241" s="89"/>
      <c r="I241" s="89"/>
      <c r="J241" s="89"/>
      <c r="K241" s="89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</row>
    <row r="242" spans="2:23" s="14" customFormat="1" ht="17.100000000000001" customHeight="1">
      <c r="B242" s="89"/>
      <c r="C242" s="90"/>
      <c r="D242" s="91"/>
      <c r="E242" s="92"/>
      <c r="F242" s="89"/>
      <c r="G242" s="89"/>
      <c r="H242" s="89"/>
      <c r="I242" s="89"/>
      <c r="J242" s="89"/>
      <c r="K242" s="89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</row>
    <row r="243" spans="2:23" s="14" customFormat="1" ht="17.100000000000001" customHeight="1">
      <c r="B243" s="89"/>
      <c r="C243" s="90"/>
      <c r="D243" s="91"/>
      <c r="E243" s="92"/>
      <c r="F243" s="89"/>
      <c r="G243" s="89"/>
      <c r="H243" s="89"/>
      <c r="I243" s="89"/>
      <c r="J243" s="89"/>
      <c r="K243" s="89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</row>
    <row r="244" spans="2:23" s="14" customFormat="1" ht="17.100000000000001" customHeight="1">
      <c r="B244" s="89"/>
      <c r="C244" s="90"/>
      <c r="D244" s="91"/>
      <c r="E244" s="92"/>
      <c r="F244" s="89"/>
      <c r="G244" s="89"/>
      <c r="H244" s="89"/>
      <c r="I244" s="89"/>
      <c r="J244" s="89"/>
      <c r="K244" s="89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</row>
    <row r="245" spans="2:23" s="14" customFormat="1" ht="17.100000000000001" customHeight="1">
      <c r="B245" s="89"/>
      <c r="C245" s="90"/>
      <c r="D245" s="91"/>
      <c r="E245" s="92"/>
      <c r="F245" s="89"/>
      <c r="G245" s="89"/>
      <c r="H245" s="89"/>
      <c r="I245" s="89"/>
      <c r="J245" s="89"/>
      <c r="K245" s="89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</row>
    <row r="246" spans="2:23" s="14" customFormat="1" ht="17.100000000000001" customHeight="1">
      <c r="B246" s="89"/>
      <c r="C246" s="90"/>
      <c r="D246" s="91"/>
      <c r="E246" s="92"/>
      <c r="F246" s="89"/>
      <c r="G246" s="89"/>
      <c r="H246" s="89"/>
      <c r="I246" s="89"/>
      <c r="J246" s="89"/>
      <c r="K246" s="89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</row>
    <row r="247" spans="2:23" s="14" customFormat="1" ht="17.100000000000001" customHeight="1">
      <c r="B247" s="89"/>
      <c r="C247" s="90"/>
      <c r="D247" s="91"/>
      <c r="E247" s="92"/>
      <c r="F247" s="89"/>
      <c r="G247" s="89"/>
      <c r="H247" s="89"/>
      <c r="I247" s="89"/>
      <c r="J247" s="89"/>
      <c r="K247" s="89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</row>
    <row r="248" spans="2:23" s="14" customFormat="1" ht="17.100000000000001" customHeight="1">
      <c r="B248" s="89"/>
      <c r="C248" s="90"/>
      <c r="D248" s="91"/>
      <c r="E248" s="92"/>
      <c r="F248" s="89"/>
      <c r="G248" s="89"/>
      <c r="H248" s="89"/>
      <c r="I248" s="89"/>
      <c r="J248" s="89"/>
      <c r="K248" s="89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</row>
    <row r="249" spans="2:23" s="14" customFormat="1" ht="17.100000000000001" customHeight="1">
      <c r="B249" s="89"/>
      <c r="C249" s="90"/>
      <c r="D249" s="91"/>
      <c r="E249" s="92"/>
      <c r="F249" s="89"/>
      <c r="G249" s="89"/>
      <c r="H249" s="89"/>
      <c r="I249" s="89"/>
      <c r="J249" s="89"/>
      <c r="K249" s="89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</row>
    <row r="250" spans="2:23" s="14" customFormat="1" ht="17.100000000000001" customHeight="1">
      <c r="B250" s="89"/>
      <c r="C250" s="90"/>
      <c r="D250" s="91"/>
      <c r="E250" s="92"/>
      <c r="F250" s="89"/>
      <c r="G250" s="89"/>
      <c r="H250" s="89"/>
      <c r="I250" s="89"/>
      <c r="J250" s="89"/>
      <c r="K250" s="89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</row>
    <row r="251" spans="2:23" s="14" customFormat="1" ht="17.100000000000001" customHeight="1">
      <c r="B251" s="89"/>
      <c r="C251" s="90"/>
      <c r="D251" s="91"/>
      <c r="E251" s="92"/>
      <c r="F251" s="89"/>
      <c r="G251" s="89"/>
      <c r="H251" s="89"/>
      <c r="I251" s="89"/>
      <c r="J251" s="89"/>
      <c r="K251" s="89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</row>
    <row r="252" spans="2:23" s="14" customFormat="1" ht="17.100000000000001" customHeight="1">
      <c r="B252" s="89"/>
      <c r="C252" s="90"/>
      <c r="D252" s="91"/>
      <c r="E252" s="92"/>
      <c r="F252" s="89"/>
      <c r="G252" s="89"/>
      <c r="H252" s="89"/>
      <c r="I252" s="89"/>
      <c r="J252" s="89"/>
      <c r="K252" s="89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</row>
    <row r="253" spans="2:23" s="14" customFormat="1" ht="17.100000000000001" customHeight="1">
      <c r="B253" s="89"/>
      <c r="C253" s="90"/>
      <c r="D253" s="91"/>
      <c r="E253" s="92"/>
      <c r="F253" s="89"/>
      <c r="G253" s="89"/>
      <c r="H253" s="89"/>
      <c r="I253" s="89"/>
      <c r="J253" s="89"/>
      <c r="K253" s="89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</row>
    <row r="254" spans="2:23" s="14" customFormat="1" ht="17.100000000000001" customHeight="1">
      <c r="B254" s="89"/>
      <c r="C254" s="90"/>
      <c r="D254" s="91"/>
      <c r="E254" s="92"/>
      <c r="F254" s="89"/>
      <c r="G254" s="89"/>
      <c r="H254" s="89"/>
      <c r="I254" s="89"/>
      <c r="J254" s="89"/>
      <c r="K254" s="89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</row>
    <row r="255" spans="2:23" s="14" customFormat="1" ht="17.100000000000001" customHeight="1">
      <c r="B255" s="89"/>
      <c r="C255" s="90"/>
      <c r="D255" s="91"/>
      <c r="E255" s="92"/>
      <c r="F255" s="89"/>
      <c r="G255" s="89"/>
      <c r="H255" s="89"/>
      <c r="I255" s="89"/>
      <c r="J255" s="89"/>
      <c r="K255" s="89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</row>
    <row r="256" spans="2:23" s="14" customFormat="1" ht="17.100000000000001" customHeight="1">
      <c r="B256" s="89"/>
      <c r="C256" s="90"/>
      <c r="D256" s="91"/>
      <c r="E256" s="92"/>
      <c r="F256" s="89"/>
      <c r="G256" s="89"/>
      <c r="H256" s="89"/>
      <c r="I256" s="89"/>
      <c r="J256" s="89"/>
      <c r="K256" s="89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</row>
    <row r="257" spans="2:23" s="14" customFormat="1" ht="17.100000000000001" customHeight="1">
      <c r="B257" s="89"/>
      <c r="C257" s="90"/>
      <c r="D257" s="91"/>
      <c r="E257" s="92"/>
      <c r="F257" s="89"/>
      <c r="G257" s="89"/>
      <c r="H257" s="89"/>
      <c r="I257" s="89"/>
      <c r="J257" s="89"/>
      <c r="K257" s="89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</row>
    <row r="258" spans="2:23" s="14" customFormat="1" ht="17.100000000000001" customHeight="1">
      <c r="B258" s="89"/>
      <c r="C258" s="90"/>
      <c r="D258" s="91"/>
      <c r="E258" s="92"/>
      <c r="F258" s="89"/>
      <c r="G258" s="89"/>
      <c r="H258" s="89"/>
      <c r="I258" s="89"/>
      <c r="J258" s="89"/>
      <c r="K258" s="89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</row>
    <row r="259" spans="2:23" s="14" customFormat="1" ht="17.100000000000001" customHeight="1">
      <c r="B259" s="89"/>
      <c r="C259" s="90"/>
      <c r="D259" s="91"/>
      <c r="E259" s="92"/>
      <c r="F259" s="89"/>
      <c r="G259" s="89"/>
      <c r="H259" s="89"/>
      <c r="I259" s="89"/>
      <c r="J259" s="89"/>
      <c r="K259" s="89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</row>
    <row r="260" spans="2:23" s="14" customFormat="1" ht="17.100000000000001" customHeight="1">
      <c r="B260" s="89"/>
      <c r="C260" s="90"/>
      <c r="D260" s="91"/>
      <c r="E260" s="92"/>
      <c r="F260" s="89"/>
      <c r="G260" s="89"/>
      <c r="H260" s="89"/>
      <c r="I260" s="89"/>
      <c r="J260" s="89"/>
      <c r="K260" s="89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</row>
    <row r="261" spans="2:23" s="14" customFormat="1" ht="17.100000000000001" customHeight="1">
      <c r="B261" s="89"/>
      <c r="C261" s="90"/>
      <c r="D261" s="91"/>
      <c r="E261" s="92"/>
      <c r="F261" s="89"/>
      <c r="G261" s="89"/>
      <c r="H261" s="89"/>
      <c r="I261" s="89"/>
      <c r="J261" s="89"/>
      <c r="K261" s="89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</row>
    <row r="262" spans="2:23" s="14" customFormat="1" ht="17.100000000000001" customHeight="1">
      <c r="B262" s="89"/>
      <c r="C262" s="90"/>
      <c r="D262" s="91"/>
      <c r="E262" s="92"/>
      <c r="F262" s="89"/>
      <c r="G262" s="89"/>
      <c r="H262" s="89"/>
      <c r="I262" s="89"/>
      <c r="J262" s="89"/>
      <c r="K262" s="89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</row>
    <row r="263" spans="2:23" s="14" customFormat="1" ht="17.100000000000001" customHeight="1">
      <c r="B263" s="89"/>
      <c r="C263" s="90"/>
      <c r="D263" s="91"/>
      <c r="E263" s="92"/>
      <c r="F263" s="89"/>
      <c r="G263" s="89"/>
      <c r="H263" s="89"/>
      <c r="I263" s="89"/>
      <c r="J263" s="89"/>
      <c r="K263" s="89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</row>
    <row r="264" spans="2:23" s="14" customFormat="1" ht="17.100000000000001" customHeight="1">
      <c r="B264" s="89"/>
      <c r="C264" s="90"/>
      <c r="D264" s="91"/>
      <c r="E264" s="92"/>
      <c r="F264" s="89"/>
      <c r="G264" s="89"/>
      <c r="H264" s="89"/>
      <c r="I264" s="89"/>
      <c r="J264" s="89"/>
      <c r="K264" s="89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</row>
    <row r="265" spans="2:23" s="14" customFormat="1" ht="17.100000000000001" customHeight="1">
      <c r="B265" s="89"/>
      <c r="C265" s="90"/>
      <c r="D265" s="91"/>
      <c r="E265" s="92"/>
      <c r="F265" s="89"/>
      <c r="G265" s="89"/>
      <c r="H265" s="89"/>
      <c r="I265" s="89"/>
      <c r="J265" s="89"/>
      <c r="K265" s="89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</row>
    <row r="266" spans="2:23" s="14" customFormat="1" ht="17.100000000000001" customHeight="1">
      <c r="B266" s="89"/>
      <c r="C266" s="90"/>
      <c r="D266" s="91"/>
      <c r="E266" s="92"/>
      <c r="F266" s="89"/>
      <c r="G266" s="89"/>
      <c r="H266" s="89"/>
      <c r="I266" s="89"/>
      <c r="J266" s="89"/>
      <c r="K266" s="89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</row>
    <row r="267" spans="2:23" s="14" customFormat="1" ht="17.100000000000001" customHeight="1">
      <c r="B267" s="89"/>
      <c r="C267" s="90"/>
      <c r="D267" s="91"/>
      <c r="E267" s="92"/>
      <c r="F267" s="89"/>
      <c r="G267" s="89"/>
      <c r="H267" s="89"/>
      <c r="I267" s="89"/>
      <c r="J267" s="89"/>
      <c r="K267" s="89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</row>
    <row r="268" spans="2:23" s="14" customFormat="1" ht="17.100000000000001" customHeight="1">
      <c r="B268" s="89"/>
      <c r="C268" s="90"/>
      <c r="D268" s="91"/>
      <c r="E268" s="92"/>
      <c r="F268" s="89"/>
      <c r="G268" s="89"/>
      <c r="H268" s="89"/>
      <c r="I268" s="89"/>
      <c r="J268" s="89"/>
      <c r="K268" s="89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</row>
    <row r="269" spans="2:23" s="14" customFormat="1" ht="17.100000000000001" customHeight="1">
      <c r="B269" s="89"/>
      <c r="C269" s="90"/>
      <c r="D269" s="91"/>
      <c r="E269" s="92"/>
      <c r="F269" s="89"/>
      <c r="G269" s="89"/>
      <c r="H269" s="89"/>
      <c r="I269" s="89"/>
      <c r="J269" s="89"/>
      <c r="K269" s="89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</row>
    <row r="270" spans="2:23" s="14" customFormat="1" ht="17.100000000000001" customHeight="1">
      <c r="B270" s="89"/>
      <c r="C270" s="90"/>
      <c r="D270" s="91"/>
      <c r="E270" s="92"/>
      <c r="F270" s="89"/>
      <c r="G270" s="89"/>
      <c r="H270" s="89"/>
      <c r="I270" s="89"/>
      <c r="J270" s="89"/>
      <c r="K270" s="89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</row>
    <row r="271" spans="2:23" s="14" customFormat="1" ht="17.100000000000001" customHeight="1">
      <c r="B271" s="89"/>
      <c r="C271" s="90"/>
      <c r="D271" s="91"/>
      <c r="E271" s="92"/>
      <c r="F271" s="89"/>
      <c r="G271" s="89"/>
      <c r="H271" s="89"/>
      <c r="I271" s="89"/>
      <c r="J271" s="89"/>
      <c r="K271" s="89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</row>
    <row r="272" spans="2:23" s="14" customFormat="1" ht="17.100000000000001" customHeight="1">
      <c r="B272" s="89"/>
      <c r="C272" s="90"/>
      <c r="D272" s="91"/>
      <c r="E272" s="92"/>
      <c r="F272" s="89"/>
      <c r="G272" s="89"/>
      <c r="H272" s="89"/>
      <c r="I272" s="89"/>
      <c r="J272" s="89"/>
      <c r="K272" s="89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</row>
    <row r="273" spans="2:23" s="14" customFormat="1" ht="17.100000000000001" customHeight="1">
      <c r="B273" s="89"/>
      <c r="C273" s="90"/>
      <c r="D273" s="91"/>
      <c r="E273" s="92"/>
      <c r="F273" s="89"/>
      <c r="G273" s="89"/>
      <c r="H273" s="89"/>
      <c r="I273" s="89"/>
      <c r="J273" s="89"/>
      <c r="K273" s="89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</row>
    <row r="274" spans="2:23" s="14" customFormat="1" ht="17.100000000000001" customHeight="1">
      <c r="B274" s="89"/>
      <c r="C274" s="90"/>
      <c r="D274" s="91"/>
      <c r="E274" s="92"/>
      <c r="F274" s="89"/>
      <c r="G274" s="89"/>
      <c r="H274" s="89"/>
      <c r="I274" s="89"/>
      <c r="J274" s="89"/>
      <c r="K274" s="89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</row>
    <row r="275" spans="2:23" s="14" customFormat="1" ht="17.100000000000001" customHeight="1">
      <c r="B275" s="89"/>
      <c r="C275" s="90"/>
      <c r="D275" s="91"/>
      <c r="E275" s="92"/>
      <c r="F275" s="89"/>
      <c r="G275" s="89"/>
      <c r="H275" s="89"/>
      <c r="I275" s="89"/>
      <c r="J275" s="89"/>
      <c r="K275" s="89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</row>
    <row r="276" spans="2:23" s="14" customFormat="1" ht="17.100000000000001" customHeight="1">
      <c r="B276" s="89"/>
      <c r="C276" s="90"/>
      <c r="D276" s="91"/>
      <c r="E276" s="92"/>
      <c r="F276" s="89"/>
      <c r="G276" s="89"/>
      <c r="H276" s="89"/>
      <c r="I276" s="89"/>
      <c r="J276" s="89"/>
      <c r="K276" s="89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</row>
    <row r="277" spans="2:23" s="14" customFormat="1" ht="17.100000000000001" customHeight="1">
      <c r="B277" s="89"/>
      <c r="C277" s="90"/>
      <c r="D277" s="91"/>
      <c r="E277" s="92"/>
      <c r="F277" s="89"/>
      <c r="G277" s="89"/>
      <c r="H277" s="89"/>
      <c r="I277" s="89"/>
      <c r="J277" s="89"/>
      <c r="K277" s="89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</row>
    <row r="278" spans="2:23" s="14" customFormat="1" ht="17.100000000000001" customHeight="1">
      <c r="B278" s="89"/>
      <c r="C278" s="90"/>
      <c r="D278" s="91"/>
      <c r="E278" s="92"/>
      <c r="F278" s="89"/>
      <c r="G278" s="89"/>
      <c r="H278" s="89"/>
      <c r="I278" s="89"/>
      <c r="J278" s="89"/>
      <c r="K278" s="89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</row>
    <row r="279" spans="2:23" s="14" customFormat="1" ht="17.100000000000001" customHeight="1">
      <c r="B279" s="89"/>
      <c r="C279" s="90"/>
      <c r="D279" s="91"/>
      <c r="E279" s="92"/>
      <c r="F279" s="89"/>
      <c r="G279" s="89"/>
      <c r="H279" s="89"/>
      <c r="I279" s="89"/>
      <c r="J279" s="89"/>
      <c r="K279" s="89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</row>
    <row r="280" spans="2:23" s="14" customFormat="1" ht="17.100000000000001" customHeight="1">
      <c r="B280" s="89"/>
      <c r="C280" s="90"/>
      <c r="D280" s="91"/>
      <c r="E280" s="92"/>
      <c r="F280" s="89"/>
      <c r="G280" s="89"/>
      <c r="H280" s="89"/>
      <c r="I280" s="89"/>
      <c r="J280" s="89"/>
      <c r="K280" s="89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</row>
    <row r="281" spans="2:23" s="14" customFormat="1" ht="17.100000000000001" customHeight="1">
      <c r="B281" s="89"/>
      <c r="C281" s="90"/>
      <c r="D281" s="91"/>
      <c r="E281" s="92"/>
      <c r="F281" s="89"/>
      <c r="G281" s="89"/>
      <c r="H281" s="89"/>
      <c r="I281" s="89"/>
      <c r="J281" s="89"/>
      <c r="K281" s="89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</row>
    <row r="282" spans="2:23" s="14" customFormat="1" ht="17.100000000000001" customHeight="1">
      <c r="B282" s="89"/>
      <c r="C282" s="90"/>
      <c r="D282" s="91"/>
      <c r="E282" s="92"/>
      <c r="F282" s="89"/>
      <c r="G282" s="89"/>
      <c r="H282" s="89"/>
      <c r="I282" s="89"/>
      <c r="J282" s="89"/>
      <c r="K282" s="89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</row>
    <row r="283" spans="2:23" s="14" customFormat="1" ht="17.100000000000001" customHeight="1">
      <c r="B283" s="89"/>
      <c r="C283" s="90"/>
      <c r="D283" s="91"/>
      <c r="E283" s="92"/>
      <c r="F283" s="89"/>
      <c r="G283" s="89"/>
      <c r="H283" s="89"/>
      <c r="I283" s="89"/>
      <c r="J283" s="89"/>
      <c r="K283" s="89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</row>
    <row r="284" spans="2:23" s="14" customFormat="1" ht="17.100000000000001" customHeight="1">
      <c r="B284" s="89"/>
      <c r="C284" s="90"/>
      <c r="D284" s="91"/>
      <c r="E284" s="92"/>
      <c r="F284" s="89"/>
      <c r="G284" s="89"/>
      <c r="H284" s="89"/>
      <c r="I284" s="89"/>
      <c r="J284" s="89"/>
      <c r="K284" s="89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</row>
    <row r="285" spans="2:23" s="14" customFormat="1" ht="17.100000000000001" customHeight="1">
      <c r="B285" s="89"/>
      <c r="C285" s="90"/>
      <c r="D285" s="91"/>
      <c r="E285" s="92"/>
      <c r="F285" s="89"/>
      <c r="G285" s="89"/>
      <c r="H285" s="89"/>
      <c r="I285" s="89"/>
      <c r="J285" s="89"/>
      <c r="K285" s="89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</row>
    <row r="286" spans="2:23" s="14" customFormat="1" ht="17.100000000000001" customHeight="1">
      <c r="B286" s="89"/>
      <c r="C286" s="90"/>
      <c r="D286" s="91"/>
      <c r="E286" s="92"/>
      <c r="F286" s="89"/>
      <c r="G286" s="89"/>
      <c r="H286" s="89"/>
      <c r="I286" s="89"/>
      <c r="J286" s="89"/>
      <c r="K286" s="89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</row>
    <row r="287" spans="2:23" s="14" customFormat="1" ht="17.100000000000001" customHeight="1">
      <c r="B287" s="89"/>
      <c r="C287" s="90"/>
      <c r="D287" s="91"/>
      <c r="E287" s="92"/>
      <c r="F287" s="89"/>
      <c r="G287" s="89"/>
      <c r="H287" s="89"/>
      <c r="I287" s="89"/>
      <c r="J287" s="89"/>
      <c r="K287" s="89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</row>
    <row r="288" spans="2:23" s="14" customFormat="1" ht="17.100000000000001" customHeight="1">
      <c r="B288" s="89"/>
      <c r="C288" s="90"/>
      <c r="D288" s="91"/>
      <c r="E288" s="92"/>
      <c r="F288" s="89"/>
      <c r="G288" s="89"/>
      <c r="H288" s="89"/>
      <c r="I288" s="89"/>
      <c r="J288" s="89"/>
      <c r="K288" s="89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</row>
    <row r="289" spans="2:23" s="14" customFormat="1" ht="17.100000000000001" customHeight="1">
      <c r="B289" s="89"/>
      <c r="C289" s="90"/>
      <c r="D289" s="91"/>
      <c r="E289" s="92"/>
      <c r="F289" s="89"/>
      <c r="G289" s="89"/>
      <c r="H289" s="89"/>
      <c r="I289" s="89"/>
      <c r="J289" s="89"/>
      <c r="K289" s="89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</row>
    <row r="290" spans="2:23" s="14" customFormat="1" ht="17.100000000000001" customHeight="1">
      <c r="B290" s="89"/>
      <c r="C290" s="90"/>
      <c r="D290" s="91"/>
      <c r="E290" s="92"/>
      <c r="F290" s="89"/>
      <c r="G290" s="89"/>
      <c r="H290" s="89"/>
      <c r="I290" s="89"/>
      <c r="J290" s="89"/>
      <c r="K290" s="89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</row>
    <row r="291" spans="2:23" s="14" customFormat="1" ht="17.100000000000001" customHeight="1">
      <c r="B291" s="89"/>
      <c r="C291" s="90"/>
      <c r="D291" s="91"/>
      <c r="E291" s="92"/>
      <c r="F291" s="89"/>
      <c r="G291" s="89"/>
      <c r="H291" s="89"/>
      <c r="I291" s="89"/>
      <c r="J291" s="89"/>
      <c r="K291" s="89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</row>
    <row r="292" spans="2:23" s="14" customFormat="1" ht="17.100000000000001" customHeight="1">
      <c r="B292" s="89"/>
      <c r="C292" s="90"/>
      <c r="D292" s="91"/>
      <c r="E292" s="92"/>
      <c r="F292" s="89"/>
      <c r="G292" s="89"/>
      <c r="H292" s="89"/>
      <c r="I292" s="89"/>
      <c r="J292" s="89"/>
      <c r="K292" s="89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</row>
    <row r="293" spans="2:23" s="14" customFormat="1" ht="17.100000000000001" customHeight="1">
      <c r="B293" s="89"/>
      <c r="C293" s="90"/>
      <c r="D293" s="91"/>
      <c r="E293" s="92"/>
      <c r="F293" s="89"/>
      <c r="G293" s="89"/>
      <c r="H293" s="89"/>
      <c r="I293" s="89"/>
      <c r="J293" s="89"/>
      <c r="K293" s="89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</row>
    <row r="294" spans="2:23" s="14" customFormat="1" ht="17.100000000000001" customHeight="1">
      <c r="B294" s="89"/>
      <c r="C294" s="90"/>
      <c r="D294" s="91"/>
      <c r="E294" s="92"/>
      <c r="F294" s="89"/>
      <c r="G294" s="89"/>
      <c r="H294" s="89"/>
      <c r="I294" s="89"/>
      <c r="J294" s="89"/>
      <c r="K294" s="89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</row>
    <row r="295" spans="2:23" s="14" customFormat="1" ht="17.100000000000001" customHeight="1">
      <c r="B295" s="89"/>
      <c r="C295" s="90"/>
      <c r="D295" s="91"/>
      <c r="E295" s="92"/>
      <c r="F295" s="89"/>
      <c r="G295" s="89"/>
      <c r="H295" s="89"/>
      <c r="I295" s="89"/>
      <c r="J295" s="89"/>
      <c r="K295" s="89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</row>
    <row r="296" spans="2:23" s="14" customFormat="1" ht="17.100000000000001" customHeight="1">
      <c r="B296" s="89"/>
      <c r="C296" s="90"/>
      <c r="D296" s="91"/>
      <c r="E296" s="92"/>
      <c r="F296" s="89"/>
      <c r="G296" s="89"/>
      <c r="H296" s="89"/>
      <c r="I296" s="89"/>
      <c r="J296" s="89"/>
      <c r="K296" s="89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</row>
    <row r="297" spans="2:23" s="14" customFormat="1" ht="17.100000000000001" customHeight="1">
      <c r="B297" s="89"/>
      <c r="C297" s="90"/>
      <c r="D297" s="91"/>
      <c r="E297" s="92"/>
      <c r="F297" s="89"/>
      <c r="G297" s="89"/>
      <c r="H297" s="89"/>
      <c r="I297" s="89"/>
      <c r="J297" s="89"/>
      <c r="K297" s="89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</row>
    <row r="298" spans="2:23" s="14" customFormat="1" ht="17.100000000000001" customHeight="1">
      <c r="B298" s="89"/>
      <c r="C298" s="90"/>
      <c r="D298" s="91"/>
      <c r="E298" s="92"/>
      <c r="F298" s="89"/>
      <c r="G298" s="89"/>
      <c r="H298" s="89"/>
      <c r="I298" s="89"/>
      <c r="J298" s="89"/>
      <c r="K298" s="89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</row>
    <row r="299" spans="2:23" s="14" customFormat="1" ht="17.100000000000001" customHeight="1">
      <c r="B299" s="89"/>
      <c r="C299" s="90"/>
      <c r="D299" s="91"/>
      <c r="E299" s="92"/>
      <c r="F299" s="89"/>
      <c r="G299" s="89"/>
      <c r="H299" s="89"/>
      <c r="I299" s="89"/>
      <c r="J299" s="89"/>
      <c r="K299" s="89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</row>
    <row r="300" spans="2:23" s="14" customFormat="1" ht="17.100000000000001" customHeight="1">
      <c r="B300" s="89"/>
      <c r="C300" s="90"/>
      <c r="D300" s="91"/>
      <c r="E300" s="92"/>
      <c r="F300" s="89"/>
      <c r="G300" s="89"/>
      <c r="H300" s="89"/>
      <c r="I300" s="89"/>
      <c r="J300" s="89"/>
      <c r="K300" s="89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</row>
    <row r="301" spans="2:23" s="14" customFormat="1" ht="17.100000000000001" customHeight="1">
      <c r="B301" s="89"/>
      <c r="C301" s="90"/>
      <c r="D301" s="91"/>
      <c r="E301" s="92"/>
      <c r="F301" s="89"/>
      <c r="G301" s="89"/>
      <c r="H301" s="89"/>
      <c r="I301" s="89"/>
      <c r="J301" s="89"/>
      <c r="K301" s="89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</row>
    <row r="302" spans="2:23" s="14" customFormat="1" ht="17.100000000000001" customHeight="1">
      <c r="B302" s="89"/>
      <c r="C302" s="90"/>
      <c r="D302" s="91"/>
      <c r="E302" s="92"/>
      <c r="F302" s="89"/>
      <c r="G302" s="89"/>
      <c r="H302" s="89"/>
      <c r="I302" s="89"/>
      <c r="J302" s="89"/>
      <c r="K302" s="89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</row>
    <row r="303" spans="2:23" s="14" customFormat="1" ht="17.100000000000001" customHeight="1">
      <c r="B303" s="89"/>
      <c r="C303" s="90"/>
      <c r="D303" s="91"/>
      <c r="E303" s="92"/>
      <c r="F303" s="89"/>
      <c r="G303" s="89"/>
      <c r="H303" s="89"/>
      <c r="I303" s="89"/>
      <c r="J303" s="89"/>
      <c r="K303" s="89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</row>
    <row r="304" spans="2:23" s="14" customFormat="1" ht="17.100000000000001" customHeight="1">
      <c r="B304" s="89"/>
      <c r="C304" s="90"/>
      <c r="D304" s="91"/>
      <c r="E304" s="92"/>
      <c r="F304" s="89"/>
      <c r="G304" s="89"/>
      <c r="H304" s="89"/>
      <c r="I304" s="89"/>
      <c r="J304" s="89"/>
      <c r="K304" s="89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</row>
    <row r="305" spans="2:23" s="14" customFormat="1" ht="17.100000000000001" customHeight="1">
      <c r="B305" s="89"/>
      <c r="C305" s="90"/>
      <c r="D305" s="91"/>
      <c r="E305" s="92"/>
      <c r="F305" s="89"/>
      <c r="G305" s="89"/>
      <c r="H305" s="89"/>
      <c r="I305" s="89"/>
      <c r="J305" s="89"/>
      <c r="K305" s="89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</row>
    <row r="306" spans="2:23" s="14" customFormat="1" ht="17.100000000000001" customHeight="1">
      <c r="B306" s="89"/>
      <c r="C306" s="90"/>
      <c r="D306" s="91"/>
      <c r="E306" s="92"/>
      <c r="F306" s="89"/>
      <c r="G306" s="89"/>
      <c r="H306" s="89"/>
      <c r="I306" s="89"/>
      <c r="J306" s="89"/>
      <c r="K306" s="89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</row>
    <row r="307" spans="2:23" s="14" customFormat="1" ht="17.100000000000001" customHeight="1">
      <c r="B307" s="89"/>
      <c r="C307" s="90"/>
      <c r="D307" s="91"/>
      <c r="E307" s="92"/>
      <c r="F307" s="89"/>
      <c r="G307" s="89"/>
      <c r="H307" s="89"/>
      <c r="I307" s="89"/>
      <c r="J307" s="89"/>
      <c r="K307" s="89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</row>
    <row r="308" spans="2:23" s="14" customFormat="1" ht="17.100000000000001" customHeight="1">
      <c r="B308" s="89"/>
      <c r="C308" s="90"/>
      <c r="D308" s="91"/>
      <c r="E308" s="92"/>
      <c r="F308" s="89"/>
      <c r="G308" s="89"/>
      <c r="H308" s="89"/>
      <c r="I308" s="89"/>
      <c r="J308" s="89"/>
      <c r="K308" s="89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</row>
    <row r="309" spans="2:23" s="14" customFormat="1" ht="17.100000000000001" customHeight="1">
      <c r="B309" s="89"/>
      <c r="C309" s="90"/>
      <c r="D309" s="91"/>
      <c r="E309" s="92"/>
      <c r="F309" s="89"/>
      <c r="G309" s="89"/>
      <c r="H309" s="89"/>
      <c r="I309" s="89"/>
      <c r="J309" s="89"/>
      <c r="K309" s="89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</row>
    <row r="310" spans="2:23" s="14" customFormat="1" ht="17.100000000000001" customHeight="1">
      <c r="B310" s="89"/>
      <c r="C310" s="90"/>
      <c r="D310" s="91"/>
      <c r="E310" s="92"/>
      <c r="F310" s="89"/>
      <c r="G310" s="89"/>
      <c r="H310" s="89"/>
      <c r="I310" s="89"/>
      <c r="J310" s="89"/>
      <c r="K310" s="89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</row>
    <row r="311" spans="2:23" s="14" customFormat="1" ht="17.100000000000001" customHeight="1">
      <c r="B311" s="89"/>
      <c r="C311" s="90"/>
      <c r="D311" s="91"/>
      <c r="E311" s="92"/>
      <c r="F311" s="89"/>
      <c r="G311" s="89"/>
      <c r="H311" s="89"/>
      <c r="I311" s="89"/>
      <c r="J311" s="89"/>
      <c r="K311" s="89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</row>
    <row r="312" spans="2:23" s="14" customFormat="1" ht="17.100000000000001" customHeight="1">
      <c r="B312" s="89"/>
      <c r="C312" s="90"/>
      <c r="D312" s="91"/>
      <c r="E312" s="92"/>
      <c r="F312" s="89"/>
      <c r="G312" s="89"/>
      <c r="H312" s="89"/>
      <c r="I312" s="89"/>
      <c r="J312" s="89"/>
      <c r="K312" s="89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</row>
    <row r="313" spans="2:23" s="14" customFormat="1" ht="17.100000000000001" customHeight="1">
      <c r="B313" s="89"/>
      <c r="C313" s="90"/>
      <c r="D313" s="91"/>
      <c r="E313" s="92"/>
      <c r="F313" s="89"/>
      <c r="G313" s="89"/>
      <c r="H313" s="89"/>
      <c r="I313" s="89"/>
      <c r="J313" s="89"/>
      <c r="K313" s="89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</row>
    <row r="314" spans="2:23" s="14" customFormat="1" ht="17.100000000000001" customHeight="1">
      <c r="B314" s="89"/>
      <c r="C314" s="90"/>
      <c r="D314" s="91"/>
      <c r="E314" s="92"/>
      <c r="F314" s="89"/>
      <c r="G314" s="89"/>
      <c r="H314" s="89"/>
      <c r="I314" s="89"/>
      <c r="J314" s="89"/>
      <c r="K314" s="89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</row>
    <row r="315" spans="2:23" s="14" customFormat="1" ht="17.100000000000001" customHeight="1">
      <c r="B315" s="89"/>
      <c r="C315" s="90"/>
      <c r="D315" s="91"/>
      <c r="E315" s="92"/>
      <c r="F315" s="89"/>
      <c r="G315" s="89"/>
      <c r="H315" s="89"/>
      <c r="I315" s="89"/>
      <c r="J315" s="89"/>
      <c r="K315" s="89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</row>
    <row r="316" spans="2:23" s="14" customFormat="1" ht="17.100000000000001" customHeight="1">
      <c r="B316" s="89"/>
      <c r="C316" s="90"/>
      <c r="D316" s="91"/>
      <c r="E316" s="92"/>
      <c r="F316" s="89"/>
      <c r="G316" s="89"/>
      <c r="H316" s="89"/>
      <c r="I316" s="89"/>
      <c r="J316" s="89"/>
      <c r="K316" s="89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</row>
    <row r="317" spans="2:23" s="14" customFormat="1" ht="17.100000000000001" customHeight="1">
      <c r="B317" s="89"/>
      <c r="C317" s="90"/>
      <c r="D317" s="91"/>
      <c r="E317" s="92"/>
      <c r="F317" s="89"/>
      <c r="G317" s="89"/>
      <c r="H317" s="89"/>
      <c r="I317" s="89"/>
      <c r="J317" s="89"/>
      <c r="K317" s="89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</row>
    <row r="318" spans="2:23" s="14" customFormat="1" ht="17.100000000000001" customHeight="1">
      <c r="B318" s="89"/>
      <c r="C318" s="90"/>
      <c r="D318" s="91"/>
      <c r="E318" s="92"/>
      <c r="F318" s="89"/>
      <c r="G318" s="89"/>
      <c r="H318" s="89"/>
      <c r="I318" s="89"/>
      <c r="J318" s="89"/>
      <c r="K318" s="89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</row>
    <row r="319" spans="2:23" s="14" customFormat="1" ht="17.100000000000001" customHeight="1">
      <c r="B319" s="89"/>
      <c r="C319" s="90"/>
      <c r="D319" s="91"/>
      <c r="E319" s="92"/>
      <c r="F319" s="89"/>
      <c r="G319" s="89"/>
      <c r="H319" s="89"/>
      <c r="I319" s="89"/>
      <c r="J319" s="89"/>
      <c r="K319" s="89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</row>
    <row r="320" spans="2:23" s="14" customFormat="1" ht="17.100000000000001" customHeight="1">
      <c r="B320" s="89"/>
      <c r="C320" s="90"/>
      <c r="D320" s="91"/>
      <c r="E320" s="92"/>
      <c r="F320" s="89"/>
      <c r="G320" s="89"/>
      <c r="H320" s="89"/>
      <c r="I320" s="89"/>
      <c r="J320" s="89"/>
      <c r="K320" s="89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</row>
    <row r="321" spans="2:23" s="14" customFormat="1" ht="17.100000000000001" customHeight="1">
      <c r="B321" s="89"/>
      <c r="C321" s="90"/>
      <c r="D321" s="91"/>
      <c r="E321" s="92"/>
      <c r="F321" s="89"/>
      <c r="G321" s="89"/>
      <c r="H321" s="89"/>
      <c r="I321" s="89"/>
      <c r="J321" s="89"/>
      <c r="K321" s="89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</row>
    <row r="322" spans="2:23" s="14" customFormat="1" ht="17.100000000000001" customHeight="1">
      <c r="B322" s="89"/>
      <c r="C322" s="90"/>
      <c r="D322" s="91"/>
      <c r="E322" s="92"/>
      <c r="F322" s="89"/>
      <c r="G322" s="89"/>
      <c r="H322" s="89"/>
      <c r="I322" s="89"/>
      <c r="J322" s="89"/>
      <c r="K322" s="89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</row>
    <row r="323" spans="2:23" s="14" customFormat="1" ht="17.100000000000001" customHeight="1">
      <c r="B323" s="89"/>
      <c r="C323" s="90"/>
      <c r="D323" s="91"/>
      <c r="E323" s="92"/>
      <c r="F323" s="89"/>
      <c r="G323" s="89"/>
      <c r="H323" s="89"/>
      <c r="I323" s="89"/>
      <c r="J323" s="89"/>
      <c r="K323" s="89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</row>
    <row r="324" spans="2:23" s="14" customFormat="1" ht="17.100000000000001" customHeight="1">
      <c r="B324" s="89"/>
      <c r="C324" s="90"/>
      <c r="D324" s="91"/>
      <c r="E324" s="92"/>
      <c r="F324" s="89"/>
      <c r="G324" s="89"/>
      <c r="H324" s="89"/>
      <c r="I324" s="89"/>
      <c r="J324" s="89"/>
      <c r="K324" s="89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</row>
    <row r="325" spans="2:23" s="14" customFormat="1" ht="17.100000000000001" customHeight="1">
      <c r="B325" s="89"/>
      <c r="C325" s="90"/>
      <c r="D325" s="91"/>
      <c r="E325" s="92"/>
      <c r="F325" s="89"/>
      <c r="G325" s="89"/>
      <c r="H325" s="89"/>
      <c r="I325" s="89"/>
      <c r="J325" s="89"/>
      <c r="K325" s="89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</row>
    <row r="326" spans="2:23" s="14" customFormat="1" ht="17.100000000000001" customHeight="1">
      <c r="B326" s="89"/>
      <c r="C326" s="90"/>
      <c r="D326" s="91"/>
      <c r="E326" s="92"/>
      <c r="F326" s="89"/>
      <c r="G326" s="89"/>
      <c r="H326" s="89"/>
      <c r="I326" s="89"/>
      <c r="J326" s="89"/>
      <c r="K326" s="89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</row>
    <row r="327" spans="2:23" s="14" customFormat="1" ht="17.100000000000001" customHeight="1">
      <c r="B327" s="89"/>
      <c r="C327" s="90"/>
      <c r="D327" s="91"/>
      <c r="E327" s="92"/>
      <c r="F327" s="89"/>
      <c r="G327" s="89"/>
      <c r="H327" s="89"/>
      <c r="I327" s="89"/>
      <c r="J327" s="89"/>
      <c r="K327" s="89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</row>
    <row r="328" spans="2:23" s="14" customFormat="1" ht="17.100000000000001" customHeight="1">
      <c r="B328" s="89"/>
      <c r="C328" s="90"/>
      <c r="D328" s="91"/>
      <c r="E328" s="92"/>
      <c r="F328" s="89"/>
      <c r="G328" s="89"/>
      <c r="H328" s="89"/>
      <c r="I328" s="89"/>
      <c r="J328" s="89"/>
      <c r="K328" s="89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</row>
    <row r="329" spans="2:23" s="14" customFormat="1" ht="17.100000000000001" customHeight="1">
      <c r="B329" s="89"/>
      <c r="C329" s="90"/>
      <c r="D329" s="91"/>
      <c r="E329" s="92"/>
      <c r="F329" s="89"/>
      <c r="G329" s="89"/>
      <c r="H329" s="89"/>
      <c r="I329" s="89"/>
      <c r="J329" s="89"/>
      <c r="K329" s="89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</row>
    <row r="330" spans="2:23" s="14" customFormat="1" ht="17.100000000000001" customHeight="1">
      <c r="B330" s="89"/>
      <c r="C330" s="90"/>
      <c r="D330" s="91"/>
      <c r="E330" s="92"/>
      <c r="F330" s="89"/>
      <c r="G330" s="89"/>
      <c r="H330" s="89"/>
      <c r="I330" s="89"/>
      <c r="J330" s="89"/>
      <c r="K330" s="89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</row>
    <row r="331" spans="2:23" s="14" customFormat="1" ht="17.100000000000001" customHeight="1">
      <c r="B331" s="89"/>
      <c r="C331" s="90"/>
      <c r="D331" s="91"/>
      <c r="E331" s="92"/>
      <c r="F331" s="89"/>
      <c r="G331" s="89"/>
      <c r="H331" s="89"/>
      <c r="I331" s="89"/>
      <c r="J331" s="89"/>
      <c r="K331" s="89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</row>
    <row r="332" spans="2:23" s="14" customFormat="1" ht="17.100000000000001" customHeight="1">
      <c r="B332" s="89"/>
      <c r="C332" s="90"/>
      <c r="D332" s="91"/>
      <c r="E332" s="92"/>
      <c r="F332" s="89"/>
      <c r="G332" s="89"/>
      <c r="H332" s="89"/>
      <c r="I332" s="89"/>
      <c r="J332" s="89"/>
      <c r="K332" s="89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</row>
    <row r="333" spans="2:23" s="14" customFormat="1" ht="17.100000000000001" customHeight="1">
      <c r="B333" s="89"/>
      <c r="C333" s="90"/>
      <c r="D333" s="91"/>
      <c r="E333" s="92"/>
      <c r="F333" s="89"/>
      <c r="G333" s="89"/>
      <c r="H333" s="89"/>
      <c r="I333" s="89"/>
      <c r="J333" s="89"/>
      <c r="K333" s="89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</row>
    <row r="334" spans="2:23" s="14" customFormat="1" ht="17.100000000000001" customHeight="1">
      <c r="B334" s="89"/>
      <c r="C334" s="90"/>
      <c r="D334" s="91"/>
      <c r="E334" s="92"/>
      <c r="F334" s="89"/>
      <c r="G334" s="89"/>
      <c r="H334" s="89"/>
      <c r="I334" s="89"/>
      <c r="J334" s="89"/>
      <c r="K334" s="89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</row>
    <row r="335" spans="2:23" s="14" customFormat="1" ht="17.100000000000001" customHeight="1">
      <c r="B335" s="89"/>
      <c r="C335" s="90"/>
      <c r="D335" s="91"/>
      <c r="E335" s="92"/>
      <c r="F335" s="89"/>
      <c r="G335" s="89"/>
      <c r="H335" s="89"/>
      <c r="I335" s="89"/>
      <c r="J335" s="89"/>
      <c r="K335" s="89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</row>
    <row r="336" spans="2:23" s="14" customFormat="1" ht="17.100000000000001" customHeight="1">
      <c r="B336" s="89"/>
      <c r="C336" s="90"/>
      <c r="D336" s="91"/>
      <c r="E336" s="92"/>
      <c r="F336" s="89"/>
      <c r="G336" s="89"/>
      <c r="H336" s="89"/>
      <c r="I336" s="89"/>
      <c r="J336" s="89"/>
      <c r="K336" s="89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</row>
    <row r="337" spans="2:23" s="14" customFormat="1" ht="17.100000000000001" customHeight="1">
      <c r="B337" s="89"/>
      <c r="C337" s="90"/>
      <c r="D337" s="91"/>
      <c r="E337" s="92"/>
      <c r="F337" s="89"/>
      <c r="G337" s="89"/>
      <c r="H337" s="89"/>
      <c r="I337" s="89"/>
      <c r="J337" s="89"/>
      <c r="K337" s="89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</row>
    <row r="338" spans="2:23" s="14" customFormat="1" ht="17.100000000000001" customHeight="1">
      <c r="B338" s="89"/>
      <c r="C338" s="90"/>
      <c r="D338" s="91"/>
      <c r="E338" s="92"/>
      <c r="F338" s="89"/>
      <c r="G338" s="89"/>
      <c r="H338" s="89"/>
      <c r="I338" s="89"/>
      <c r="J338" s="89"/>
      <c r="K338" s="89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</row>
    <row r="339" spans="2:23" s="14" customFormat="1" ht="17.100000000000001" customHeight="1">
      <c r="B339" s="89"/>
      <c r="C339" s="90"/>
      <c r="D339" s="91"/>
      <c r="E339" s="92"/>
      <c r="F339" s="89"/>
      <c r="G339" s="89"/>
      <c r="H339" s="89"/>
      <c r="I339" s="89"/>
      <c r="J339" s="89"/>
      <c r="K339" s="89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</row>
    <row r="340" spans="2:23" s="14" customFormat="1" ht="17.100000000000001" customHeight="1">
      <c r="B340" s="89"/>
      <c r="C340" s="90"/>
      <c r="D340" s="91"/>
      <c r="E340" s="92"/>
      <c r="F340" s="89"/>
      <c r="G340" s="89"/>
      <c r="H340" s="89"/>
      <c r="I340" s="89"/>
      <c r="J340" s="89"/>
      <c r="K340" s="89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</row>
    <row r="341" spans="2:23" s="14" customFormat="1" ht="17.100000000000001" customHeight="1">
      <c r="B341" s="89"/>
      <c r="C341" s="90"/>
      <c r="D341" s="91"/>
      <c r="E341" s="92"/>
      <c r="F341" s="89"/>
      <c r="G341" s="89"/>
      <c r="H341" s="89"/>
      <c r="I341" s="89"/>
      <c r="J341" s="89"/>
      <c r="K341" s="89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</row>
    <row r="342" spans="2:23" s="14" customFormat="1" ht="17.100000000000001" customHeight="1">
      <c r="B342" s="89"/>
      <c r="C342" s="90"/>
      <c r="D342" s="91"/>
      <c r="E342" s="92"/>
      <c r="F342" s="89"/>
      <c r="G342" s="89"/>
      <c r="H342" s="89"/>
      <c r="I342" s="89"/>
      <c r="J342" s="89"/>
      <c r="K342" s="89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</row>
    <row r="343" spans="2:23" s="14" customFormat="1" ht="17.100000000000001" customHeight="1">
      <c r="B343" s="89"/>
      <c r="C343" s="90"/>
      <c r="D343" s="91"/>
      <c r="E343" s="92"/>
      <c r="F343" s="89"/>
      <c r="G343" s="89"/>
      <c r="H343" s="89"/>
      <c r="I343" s="89"/>
      <c r="J343" s="89"/>
      <c r="K343" s="89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</row>
    <row r="344" spans="2:23" s="14" customFormat="1" ht="17.100000000000001" customHeight="1">
      <c r="B344" s="89"/>
      <c r="C344" s="90"/>
      <c r="D344" s="91"/>
      <c r="E344" s="92"/>
      <c r="F344" s="89"/>
      <c r="G344" s="89"/>
      <c r="H344" s="89"/>
      <c r="I344" s="89"/>
      <c r="J344" s="89"/>
      <c r="K344" s="89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</row>
    <row r="345" spans="2:23" s="14" customFormat="1" ht="17.100000000000001" customHeight="1">
      <c r="B345" s="89"/>
      <c r="C345" s="90"/>
      <c r="D345" s="91"/>
      <c r="E345" s="92"/>
      <c r="F345" s="89"/>
      <c r="G345" s="89"/>
      <c r="H345" s="89"/>
      <c r="I345" s="89"/>
      <c r="J345" s="89"/>
      <c r="K345" s="89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</row>
    <row r="346" spans="2:23" s="14" customFormat="1" ht="17.100000000000001" customHeight="1">
      <c r="B346" s="89"/>
      <c r="C346" s="90"/>
      <c r="D346" s="91"/>
      <c r="E346" s="92"/>
      <c r="F346" s="89"/>
      <c r="G346" s="89"/>
      <c r="H346" s="89"/>
      <c r="I346" s="89"/>
      <c r="J346" s="89"/>
      <c r="K346" s="89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</row>
    <row r="347" spans="2:23" s="14" customFormat="1" ht="17.100000000000001" customHeight="1">
      <c r="B347" s="89"/>
      <c r="C347" s="90"/>
      <c r="D347" s="91"/>
      <c r="E347" s="92"/>
      <c r="F347" s="89"/>
      <c r="G347" s="89"/>
      <c r="H347" s="89"/>
      <c r="I347" s="89"/>
      <c r="J347" s="89"/>
      <c r="K347" s="89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</row>
    <row r="348" spans="2:23" s="14" customFormat="1" ht="17.100000000000001" customHeight="1">
      <c r="B348" s="89"/>
      <c r="C348" s="90"/>
      <c r="D348" s="91"/>
      <c r="E348" s="92"/>
      <c r="F348" s="89"/>
      <c r="G348" s="89"/>
      <c r="H348" s="89"/>
      <c r="I348" s="89"/>
      <c r="J348" s="89"/>
      <c r="K348" s="89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</row>
    <row r="349" spans="2:23" s="14" customFormat="1" ht="17.100000000000001" customHeight="1">
      <c r="B349" s="89"/>
      <c r="C349" s="90"/>
      <c r="D349" s="91"/>
      <c r="E349" s="92"/>
      <c r="F349" s="89"/>
      <c r="G349" s="89"/>
      <c r="H349" s="89"/>
      <c r="I349" s="89"/>
      <c r="J349" s="89"/>
      <c r="K349" s="89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</row>
    <row r="350" spans="2:23" s="14" customFormat="1" ht="17.100000000000001" customHeight="1">
      <c r="B350" s="89"/>
      <c r="C350" s="90"/>
      <c r="D350" s="91"/>
      <c r="E350" s="92"/>
      <c r="F350" s="89"/>
      <c r="G350" s="89"/>
      <c r="H350" s="89"/>
      <c r="I350" s="89"/>
      <c r="J350" s="89"/>
      <c r="K350" s="89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</row>
    <row r="351" spans="2:23" s="14" customFormat="1" ht="17.100000000000001" customHeight="1">
      <c r="B351" s="89"/>
      <c r="C351" s="90"/>
      <c r="D351" s="91"/>
      <c r="E351" s="92"/>
      <c r="F351" s="89"/>
      <c r="G351" s="89"/>
      <c r="H351" s="89"/>
      <c r="I351" s="89"/>
      <c r="J351" s="89"/>
      <c r="K351" s="89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</row>
    <row r="352" spans="2:23" s="14" customFormat="1" ht="17.100000000000001" customHeight="1">
      <c r="B352" s="89"/>
      <c r="C352" s="90"/>
      <c r="D352" s="91"/>
      <c r="E352" s="92"/>
      <c r="F352" s="89"/>
      <c r="G352" s="89"/>
      <c r="H352" s="89"/>
      <c r="I352" s="89"/>
      <c r="J352" s="89"/>
      <c r="K352" s="89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</row>
    <row r="353" spans="2:23" s="14" customFormat="1" ht="17.100000000000001" customHeight="1">
      <c r="B353" s="89"/>
      <c r="C353" s="90"/>
      <c r="D353" s="91"/>
      <c r="E353" s="92"/>
      <c r="F353" s="89"/>
      <c r="G353" s="89"/>
      <c r="H353" s="89"/>
      <c r="I353" s="89"/>
      <c r="J353" s="89"/>
      <c r="K353" s="89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</row>
    <row r="354" spans="2:23" s="14" customFormat="1" ht="17.100000000000001" customHeight="1">
      <c r="B354" s="89"/>
      <c r="C354" s="90"/>
      <c r="D354" s="91"/>
      <c r="E354" s="92"/>
      <c r="F354" s="89"/>
      <c r="G354" s="89"/>
      <c r="H354" s="89"/>
      <c r="I354" s="89"/>
      <c r="J354" s="89"/>
      <c r="K354" s="89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</row>
    <row r="355" spans="2:23" s="14" customFormat="1" ht="17.100000000000001" customHeight="1">
      <c r="B355" s="89"/>
      <c r="C355" s="90"/>
      <c r="D355" s="91"/>
      <c r="E355" s="92"/>
      <c r="F355" s="89"/>
      <c r="G355" s="89"/>
      <c r="H355" s="89"/>
      <c r="I355" s="89"/>
      <c r="J355" s="89"/>
      <c r="K355" s="89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</row>
    <row r="356" spans="2:23" s="14" customFormat="1" ht="17.100000000000001" customHeight="1">
      <c r="B356" s="89"/>
      <c r="C356" s="90"/>
      <c r="D356" s="91"/>
      <c r="E356" s="92"/>
      <c r="F356" s="89"/>
      <c r="G356" s="89"/>
      <c r="H356" s="89"/>
      <c r="I356" s="89"/>
      <c r="J356" s="89"/>
      <c r="K356" s="89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</row>
    <row r="357" spans="2:23" s="14" customFormat="1" ht="17.100000000000001" customHeight="1">
      <c r="B357" s="89"/>
      <c r="C357" s="90"/>
      <c r="D357" s="91"/>
      <c r="E357" s="92"/>
      <c r="F357" s="89"/>
      <c r="G357" s="89"/>
      <c r="H357" s="89"/>
      <c r="I357" s="89"/>
      <c r="J357" s="89"/>
      <c r="K357" s="89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</row>
    <row r="358" spans="2:23" s="14" customFormat="1" ht="17.100000000000001" customHeight="1">
      <c r="B358" s="89"/>
      <c r="C358" s="90"/>
      <c r="D358" s="91"/>
      <c r="E358" s="92"/>
      <c r="F358" s="89"/>
      <c r="G358" s="89"/>
      <c r="H358" s="89"/>
      <c r="I358" s="89"/>
      <c r="J358" s="89"/>
      <c r="K358" s="89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</row>
    <row r="359" spans="2:23" s="14" customFormat="1" ht="17.100000000000001" customHeight="1">
      <c r="B359" s="89"/>
      <c r="C359" s="90"/>
      <c r="D359" s="91"/>
      <c r="E359" s="92"/>
      <c r="F359" s="89"/>
      <c r="G359" s="89"/>
      <c r="H359" s="89"/>
      <c r="I359" s="89"/>
      <c r="J359" s="89"/>
      <c r="K359" s="89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</row>
    <row r="360" spans="2:23" s="14" customFormat="1" ht="17.100000000000001" customHeight="1">
      <c r="B360" s="89"/>
      <c r="C360" s="90"/>
      <c r="D360" s="91"/>
      <c r="E360" s="92"/>
      <c r="F360" s="89"/>
      <c r="G360" s="89"/>
      <c r="H360" s="89"/>
      <c r="I360" s="89"/>
      <c r="J360" s="89"/>
      <c r="K360" s="89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</row>
    <row r="361" spans="2:23" s="14" customFormat="1" ht="17.100000000000001" customHeight="1">
      <c r="B361" s="89"/>
      <c r="C361" s="90"/>
      <c r="D361" s="91"/>
      <c r="E361" s="92"/>
      <c r="F361" s="89"/>
      <c r="G361" s="89"/>
      <c r="H361" s="89"/>
      <c r="I361" s="89"/>
      <c r="J361" s="89"/>
      <c r="K361" s="89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</row>
    <row r="362" spans="2:23" s="14" customFormat="1" ht="17.100000000000001" customHeight="1">
      <c r="B362" s="89"/>
      <c r="C362" s="90"/>
      <c r="D362" s="91"/>
      <c r="E362" s="92"/>
      <c r="F362" s="89"/>
      <c r="G362" s="89"/>
      <c r="H362" s="89"/>
      <c r="I362" s="89"/>
      <c r="J362" s="89"/>
      <c r="K362" s="89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</row>
    <row r="363" spans="2:23" s="14" customFormat="1" ht="17.100000000000001" customHeight="1">
      <c r="B363" s="89"/>
      <c r="C363" s="90"/>
      <c r="D363" s="91"/>
      <c r="E363" s="92"/>
      <c r="F363" s="89"/>
      <c r="G363" s="89"/>
      <c r="H363" s="89"/>
      <c r="I363" s="89"/>
      <c r="J363" s="89"/>
      <c r="K363" s="89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</row>
    <row r="364" spans="2:23" s="14" customFormat="1" ht="17.100000000000001" customHeight="1">
      <c r="B364" s="89"/>
      <c r="C364" s="90"/>
      <c r="D364" s="91"/>
      <c r="E364" s="92"/>
      <c r="F364" s="89"/>
      <c r="G364" s="89"/>
      <c r="H364" s="89"/>
      <c r="I364" s="89"/>
      <c r="J364" s="89"/>
      <c r="K364" s="89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</row>
    <row r="365" spans="2:23" s="14" customFormat="1" ht="17.100000000000001" customHeight="1">
      <c r="B365" s="89"/>
      <c r="C365" s="90"/>
      <c r="D365" s="91"/>
      <c r="E365" s="92"/>
      <c r="F365" s="89"/>
      <c r="G365" s="89"/>
      <c r="H365" s="89"/>
      <c r="I365" s="89"/>
      <c r="J365" s="89"/>
      <c r="K365" s="89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</row>
    <row r="366" spans="2:23" s="14" customFormat="1" ht="17.100000000000001" customHeight="1">
      <c r="B366" s="89"/>
      <c r="C366" s="90"/>
      <c r="D366" s="91"/>
      <c r="E366" s="92"/>
      <c r="F366" s="89"/>
      <c r="G366" s="89"/>
      <c r="H366" s="89"/>
      <c r="I366" s="89"/>
      <c r="J366" s="89"/>
      <c r="K366" s="89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</row>
    <row r="367" spans="2:23" s="14" customFormat="1" ht="17.100000000000001" customHeight="1">
      <c r="B367" s="89"/>
      <c r="C367" s="90"/>
      <c r="D367" s="91"/>
      <c r="E367" s="92"/>
      <c r="F367" s="89"/>
      <c r="G367" s="89"/>
      <c r="H367" s="89"/>
      <c r="I367" s="89"/>
      <c r="J367" s="89"/>
      <c r="K367" s="89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</row>
    <row r="368" spans="2:23" s="14" customFormat="1" ht="17.100000000000001" customHeight="1">
      <c r="B368" s="89"/>
      <c r="C368" s="90"/>
      <c r="D368" s="91"/>
      <c r="E368" s="92"/>
      <c r="F368" s="89"/>
      <c r="G368" s="89"/>
      <c r="H368" s="89"/>
      <c r="I368" s="89"/>
      <c r="J368" s="89"/>
      <c r="K368" s="89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</row>
    <row r="369" spans="2:23" s="14" customFormat="1" ht="17.100000000000001" customHeight="1">
      <c r="B369" s="89"/>
      <c r="C369" s="90"/>
      <c r="D369" s="91"/>
      <c r="E369" s="92"/>
      <c r="F369" s="89"/>
      <c r="G369" s="89"/>
      <c r="H369" s="89"/>
      <c r="I369" s="89"/>
      <c r="J369" s="89"/>
      <c r="K369" s="89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</row>
    <row r="370" spans="2:23" s="14" customFormat="1" ht="17.100000000000001" customHeight="1">
      <c r="B370" s="89"/>
      <c r="C370" s="90"/>
      <c r="D370" s="91"/>
      <c r="E370" s="92"/>
      <c r="F370" s="89"/>
      <c r="G370" s="89"/>
      <c r="H370" s="89"/>
      <c r="I370" s="89"/>
      <c r="J370" s="89"/>
      <c r="K370" s="89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</row>
    <row r="371" spans="2:23" s="14" customFormat="1" ht="17.100000000000001" customHeight="1">
      <c r="B371" s="89"/>
      <c r="C371" s="90"/>
      <c r="D371" s="91"/>
      <c r="E371" s="92"/>
      <c r="F371" s="89"/>
      <c r="G371" s="89"/>
      <c r="H371" s="89"/>
      <c r="I371" s="89"/>
      <c r="J371" s="89"/>
      <c r="K371" s="89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</row>
    <row r="372" spans="2:23" s="14" customFormat="1" ht="17.100000000000001" customHeight="1">
      <c r="B372" s="89"/>
      <c r="C372" s="90"/>
      <c r="D372" s="91"/>
      <c r="E372" s="92"/>
      <c r="F372" s="89"/>
      <c r="G372" s="89"/>
      <c r="H372" s="89"/>
      <c r="I372" s="89"/>
      <c r="J372" s="89"/>
      <c r="K372" s="89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</row>
    <row r="373" spans="2:23" s="14" customFormat="1" ht="17.100000000000001" customHeight="1">
      <c r="B373" s="89"/>
      <c r="C373" s="90"/>
      <c r="D373" s="91"/>
      <c r="E373" s="92"/>
      <c r="F373" s="89"/>
      <c r="G373" s="89"/>
      <c r="H373" s="89"/>
      <c r="I373" s="89"/>
      <c r="J373" s="89"/>
      <c r="K373" s="89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</row>
    <row r="374" spans="2:23" s="14" customFormat="1" ht="17.100000000000001" customHeight="1">
      <c r="B374" s="89"/>
      <c r="C374" s="90"/>
      <c r="D374" s="91"/>
      <c r="E374" s="92"/>
      <c r="F374" s="89"/>
      <c r="G374" s="89"/>
      <c r="H374" s="89"/>
      <c r="I374" s="89"/>
      <c r="J374" s="89"/>
      <c r="K374" s="89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</row>
    <row r="375" spans="2:23" s="14" customFormat="1" ht="17.100000000000001" customHeight="1">
      <c r="B375" s="89"/>
      <c r="C375" s="90"/>
      <c r="D375" s="91"/>
      <c r="E375" s="92"/>
      <c r="F375" s="89"/>
      <c r="G375" s="89"/>
      <c r="H375" s="89"/>
      <c r="I375" s="89"/>
      <c r="J375" s="89"/>
      <c r="K375" s="89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</row>
    <row r="376" spans="2:23" s="14" customFormat="1" ht="17.100000000000001" customHeight="1">
      <c r="B376" s="89"/>
      <c r="C376" s="90"/>
      <c r="D376" s="91"/>
      <c r="E376" s="92"/>
      <c r="F376" s="89"/>
      <c r="G376" s="89"/>
      <c r="H376" s="89"/>
      <c r="I376" s="89"/>
      <c r="J376" s="89"/>
      <c r="K376" s="89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</row>
    <row r="377" spans="2:23" s="14" customFormat="1" ht="17.100000000000001" customHeight="1">
      <c r="B377" s="89"/>
      <c r="C377" s="90"/>
      <c r="D377" s="91"/>
      <c r="E377" s="92"/>
      <c r="F377" s="89"/>
      <c r="G377" s="89"/>
      <c r="H377" s="89"/>
      <c r="I377" s="89"/>
      <c r="J377" s="89"/>
      <c r="K377" s="89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</row>
    <row r="378" spans="2:23" s="14" customFormat="1" ht="17.100000000000001" customHeight="1">
      <c r="B378" s="89"/>
      <c r="C378" s="90"/>
      <c r="D378" s="91"/>
      <c r="E378" s="92"/>
      <c r="F378" s="89"/>
      <c r="G378" s="89"/>
      <c r="H378" s="89"/>
      <c r="I378" s="89"/>
      <c r="J378" s="89"/>
      <c r="K378" s="89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</row>
    <row r="379" spans="2:23" s="14" customFormat="1" ht="17.100000000000001" customHeight="1">
      <c r="B379" s="89"/>
      <c r="C379" s="90"/>
      <c r="D379" s="91"/>
      <c r="E379" s="92"/>
      <c r="F379" s="89"/>
      <c r="G379" s="89"/>
      <c r="H379" s="89"/>
      <c r="I379" s="89"/>
      <c r="J379" s="89"/>
      <c r="K379" s="89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</row>
    <row r="380" spans="2:23" s="14" customFormat="1" ht="17.100000000000001" customHeight="1">
      <c r="B380" s="89"/>
      <c r="C380" s="90"/>
      <c r="D380" s="91"/>
      <c r="E380" s="92"/>
      <c r="F380" s="89"/>
      <c r="G380" s="89"/>
      <c r="H380" s="89"/>
      <c r="I380" s="89"/>
      <c r="J380" s="89"/>
      <c r="K380" s="89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</row>
    <row r="381" spans="2:23" s="14" customFormat="1" ht="17.100000000000001" customHeight="1">
      <c r="B381" s="89"/>
      <c r="C381" s="90"/>
      <c r="D381" s="91"/>
      <c r="E381" s="92"/>
      <c r="F381" s="89"/>
      <c r="G381" s="89"/>
      <c r="H381" s="89"/>
      <c r="I381" s="89"/>
      <c r="J381" s="89"/>
      <c r="K381" s="89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</row>
    <row r="382" spans="2:23" s="14" customFormat="1" ht="17.100000000000001" customHeight="1">
      <c r="B382" s="89"/>
      <c r="C382" s="90"/>
      <c r="D382" s="91"/>
      <c r="E382" s="92"/>
      <c r="F382" s="89"/>
      <c r="G382" s="89"/>
      <c r="H382" s="89"/>
      <c r="I382" s="89"/>
      <c r="J382" s="89"/>
      <c r="K382" s="89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</row>
    <row r="383" spans="2:23" s="14" customFormat="1" ht="17.100000000000001" customHeight="1">
      <c r="B383" s="89"/>
      <c r="C383" s="90"/>
      <c r="D383" s="91"/>
      <c r="E383" s="92"/>
      <c r="F383" s="89"/>
      <c r="G383" s="89"/>
      <c r="H383" s="89"/>
      <c r="I383" s="89"/>
      <c r="J383" s="89"/>
      <c r="K383" s="89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</row>
    <row r="384" spans="2:23" s="14" customFormat="1" ht="17.100000000000001" customHeight="1">
      <c r="B384" s="89"/>
      <c r="C384" s="90"/>
      <c r="D384" s="91"/>
      <c r="E384" s="92"/>
      <c r="F384" s="89"/>
      <c r="G384" s="89"/>
      <c r="H384" s="89"/>
      <c r="I384" s="89"/>
      <c r="J384" s="89"/>
      <c r="K384" s="89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</row>
    <row r="385" spans="2:23" s="14" customFormat="1" ht="17.100000000000001" customHeight="1">
      <c r="B385" s="89"/>
      <c r="C385" s="90"/>
      <c r="D385" s="91"/>
      <c r="E385" s="92"/>
      <c r="F385" s="89"/>
      <c r="G385" s="89"/>
      <c r="H385" s="89"/>
      <c r="I385" s="89"/>
      <c r="J385" s="89"/>
      <c r="K385" s="89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</row>
    <row r="386" spans="2:23" s="14" customFormat="1" ht="17.100000000000001" customHeight="1">
      <c r="B386" s="89"/>
      <c r="C386" s="90"/>
      <c r="D386" s="91"/>
      <c r="E386" s="92"/>
      <c r="F386" s="89"/>
      <c r="G386" s="89"/>
      <c r="H386" s="89"/>
      <c r="I386" s="89"/>
      <c r="J386" s="89"/>
      <c r="K386" s="89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</row>
    <row r="387" spans="2:23" s="14" customFormat="1" ht="17.100000000000001" customHeight="1">
      <c r="B387" s="89"/>
      <c r="C387" s="90"/>
      <c r="D387" s="91"/>
      <c r="E387" s="92"/>
      <c r="F387" s="89"/>
      <c r="G387" s="89"/>
      <c r="H387" s="89"/>
      <c r="I387" s="89"/>
      <c r="J387" s="89"/>
      <c r="K387" s="89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</row>
    <row r="388" spans="2:23" s="14" customFormat="1" ht="17.100000000000001" customHeight="1">
      <c r="B388" s="89"/>
      <c r="C388" s="90"/>
      <c r="D388" s="91"/>
      <c r="E388" s="92"/>
      <c r="F388" s="89"/>
      <c r="G388" s="89"/>
      <c r="H388" s="89"/>
      <c r="I388" s="89"/>
      <c r="J388" s="89"/>
      <c r="K388" s="89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</row>
    <row r="389" spans="2:23" s="14" customFormat="1" ht="17.100000000000001" customHeight="1">
      <c r="B389" s="89"/>
      <c r="C389" s="90"/>
      <c r="D389" s="91"/>
      <c r="E389" s="92"/>
      <c r="F389" s="89"/>
      <c r="G389" s="89"/>
      <c r="H389" s="89"/>
      <c r="I389" s="89"/>
      <c r="J389" s="89"/>
      <c r="K389" s="89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</row>
    <row r="390" spans="2:23" s="14" customFormat="1" ht="17.100000000000001" customHeight="1">
      <c r="B390" s="89"/>
      <c r="C390" s="90"/>
      <c r="D390" s="91"/>
      <c r="E390" s="92"/>
      <c r="F390" s="89"/>
      <c r="G390" s="89"/>
      <c r="H390" s="89"/>
      <c r="I390" s="89"/>
      <c r="J390" s="89"/>
      <c r="K390" s="89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</row>
    <row r="391" spans="2:23" s="14" customFormat="1" ht="17.100000000000001" customHeight="1">
      <c r="B391" s="89"/>
      <c r="C391" s="90"/>
      <c r="D391" s="91"/>
      <c r="E391" s="92"/>
      <c r="F391" s="89"/>
      <c r="G391" s="89"/>
      <c r="H391" s="89"/>
      <c r="I391" s="89"/>
      <c r="J391" s="89"/>
      <c r="K391" s="89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</row>
    <row r="392" spans="2:23" s="14" customFormat="1" ht="17.100000000000001" customHeight="1">
      <c r="B392" s="89"/>
      <c r="C392" s="90"/>
      <c r="D392" s="91"/>
      <c r="E392" s="92"/>
      <c r="F392" s="89"/>
      <c r="G392" s="89"/>
      <c r="H392" s="89"/>
      <c r="I392" s="89"/>
      <c r="J392" s="89"/>
      <c r="K392" s="89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</row>
    <row r="393" spans="2:23" s="14" customFormat="1" ht="17.100000000000001" customHeight="1">
      <c r="B393" s="89"/>
      <c r="C393" s="90"/>
      <c r="D393" s="91"/>
      <c r="E393" s="92"/>
      <c r="F393" s="89"/>
      <c r="G393" s="89"/>
      <c r="H393" s="89"/>
      <c r="I393" s="89"/>
      <c r="J393" s="89"/>
      <c r="K393" s="89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</row>
    <row r="394" spans="2:23" s="14" customFormat="1" ht="17.100000000000001" customHeight="1">
      <c r="B394" s="89"/>
      <c r="C394" s="90"/>
      <c r="D394" s="91"/>
      <c r="E394" s="92"/>
      <c r="F394" s="89"/>
      <c r="G394" s="89"/>
      <c r="H394" s="89"/>
      <c r="I394" s="89"/>
      <c r="J394" s="89"/>
      <c r="K394" s="89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</row>
    <row r="395" spans="2:23" s="14" customFormat="1" ht="17.100000000000001" customHeight="1">
      <c r="B395" s="89"/>
      <c r="C395" s="90"/>
      <c r="D395" s="91"/>
      <c r="E395" s="92"/>
      <c r="F395" s="89"/>
      <c r="G395" s="89"/>
      <c r="H395" s="89"/>
      <c r="I395" s="89"/>
      <c r="J395" s="89"/>
      <c r="K395" s="89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</row>
    <row r="396" spans="2:23" s="14" customFormat="1" ht="17.100000000000001" customHeight="1">
      <c r="B396" s="89"/>
      <c r="C396" s="90"/>
      <c r="D396" s="91"/>
      <c r="E396" s="92"/>
      <c r="F396" s="89"/>
      <c r="G396" s="89"/>
      <c r="H396" s="89"/>
      <c r="I396" s="89"/>
      <c r="J396" s="89"/>
      <c r="K396" s="89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</row>
    <row r="397" spans="2:23" s="14" customFormat="1" ht="17.100000000000001" customHeight="1">
      <c r="B397" s="89"/>
      <c r="C397" s="90"/>
      <c r="D397" s="91"/>
      <c r="E397" s="92"/>
      <c r="F397" s="89"/>
      <c r="G397" s="89"/>
      <c r="H397" s="89"/>
      <c r="I397" s="89"/>
      <c r="J397" s="89"/>
      <c r="K397" s="89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</row>
    <row r="398" spans="2:23" s="14" customFormat="1" ht="17.100000000000001" customHeight="1">
      <c r="B398" s="89"/>
      <c r="C398" s="90"/>
      <c r="D398" s="91"/>
      <c r="E398" s="92"/>
      <c r="F398" s="89"/>
      <c r="G398" s="89"/>
      <c r="H398" s="89"/>
      <c r="I398" s="89"/>
      <c r="J398" s="89"/>
      <c r="K398" s="89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</row>
    <row r="399" spans="2:23" s="14" customFormat="1" ht="17.100000000000001" customHeight="1">
      <c r="B399" s="89"/>
      <c r="C399" s="90"/>
      <c r="D399" s="91"/>
      <c r="E399" s="92"/>
      <c r="F399" s="89"/>
      <c r="G399" s="89"/>
      <c r="H399" s="89"/>
      <c r="I399" s="89"/>
      <c r="J399" s="89"/>
      <c r="K399" s="89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</row>
    <row r="400" spans="2:23" s="14" customFormat="1" ht="17.100000000000001" customHeight="1">
      <c r="B400" s="89"/>
      <c r="C400" s="90"/>
      <c r="D400" s="91"/>
      <c r="E400" s="92"/>
      <c r="F400" s="89"/>
      <c r="G400" s="89"/>
      <c r="H400" s="89"/>
      <c r="I400" s="89"/>
      <c r="J400" s="89"/>
      <c r="K400" s="89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</row>
    <row r="401" spans="2:23" s="14" customFormat="1" ht="17.100000000000001" customHeight="1">
      <c r="B401" s="89"/>
      <c r="C401" s="90"/>
      <c r="D401" s="91"/>
      <c r="E401" s="92"/>
      <c r="F401" s="89"/>
      <c r="G401" s="89"/>
      <c r="H401" s="89"/>
      <c r="I401" s="89"/>
      <c r="J401" s="89"/>
      <c r="K401" s="89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</row>
    <row r="402" spans="2:23" s="14" customFormat="1" ht="17.100000000000001" customHeight="1">
      <c r="B402" s="89"/>
      <c r="C402" s="90"/>
      <c r="D402" s="91"/>
      <c r="E402" s="92"/>
      <c r="F402" s="89"/>
      <c r="G402" s="89"/>
      <c r="H402" s="89"/>
      <c r="I402" s="89"/>
      <c r="J402" s="89"/>
      <c r="K402" s="89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</row>
    <row r="403" spans="2:23" s="14" customFormat="1" ht="17.100000000000001" customHeight="1">
      <c r="B403" s="89"/>
      <c r="C403" s="90"/>
      <c r="D403" s="91"/>
      <c r="E403" s="92"/>
      <c r="F403" s="89"/>
      <c r="G403" s="89"/>
      <c r="H403" s="89"/>
      <c r="I403" s="89"/>
      <c r="J403" s="89"/>
      <c r="K403" s="89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</row>
    <row r="404" spans="2:23" s="14" customFormat="1" ht="17.100000000000001" customHeight="1">
      <c r="B404" s="89"/>
      <c r="C404" s="90"/>
      <c r="D404" s="91"/>
      <c r="E404" s="92"/>
      <c r="F404" s="89"/>
      <c r="G404" s="89"/>
      <c r="H404" s="89"/>
      <c r="I404" s="89"/>
      <c r="J404" s="89"/>
      <c r="K404" s="89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</row>
    <row r="405" spans="2:23" s="14" customFormat="1" ht="17.100000000000001" customHeight="1">
      <c r="B405" s="89"/>
      <c r="C405" s="90"/>
      <c r="D405" s="91"/>
      <c r="E405" s="92"/>
      <c r="F405" s="89"/>
      <c r="G405" s="89"/>
      <c r="H405" s="89"/>
      <c r="I405" s="89"/>
      <c r="J405" s="89"/>
      <c r="K405" s="89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</row>
    <row r="406" spans="2:23" s="14" customFormat="1" ht="17.100000000000001" customHeight="1">
      <c r="B406" s="89"/>
      <c r="C406" s="90"/>
      <c r="D406" s="91"/>
      <c r="E406" s="92"/>
      <c r="F406" s="89"/>
      <c r="G406" s="89"/>
      <c r="H406" s="89"/>
      <c r="I406" s="89"/>
      <c r="J406" s="89"/>
      <c r="K406" s="89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</row>
    <row r="407" spans="2:23" s="14" customFormat="1" ht="17.100000000000001" customHeight="1">
      <c r="B407" s="89"/>
      <c r="C407" s="90"/>
      <c r="D407" s="91"/>
      <c r="E407" s="92"/>
      <c r="F407" s="89"/>
      <c r="G407" s="89"/>
      <c r="H407" s="89"/>
      <c r="I407" s="89"/>
      <c r="J407" s="89"/>
      <c r="K407" s="89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</row>
    <row r="408" spans="2:23" s="14" customFormat="1" ht="17.100000000000001" customHeight="1">
      <c r="B408" s="89"/>
      <c r="C408" s="90"/>
      <c r="D408" s="91"/>
      <c r="E408" s="92"/>
      <c r="F408" s="89"/>
      <c r="G408" s="89"/>
      <c r="H408" s="89"/>
      <c r="I408" s="89"/>
      <c r="J408" s="89"/>
      <c r="K408" s="89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</row>
    <row r="409" spans="2:23" s="14" customFormat="1" ht="17.100000000000001" customHeight="1">
      <c r="B409" s="89"/>
      <c r="C409" s="90"/>
      <c r="D409" s="91"/>
      <c r="E409" s="92"/>
      <c r="F409" s="89"/>
      <c r="G409" s="89"/>
      <c r="H409" s="89"/>
      <c r="I409" s="89"/>
      <c r="J409" s="89"/>
      <c r="K409" s="89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</row>
    <row r="410" spans="2:23" s="14" customFormat="1" ht="17.100000000000001" customHeight="1">
      <c r="B410" s="89"/>
      <c r="C410" s="90"/>
      <c r="D410" s="91"/>
      <c r="E410" s="92"/>
      <c r="F410" s="89"/>
      <c r="G410" s="89"/>
      <c r="H410" s="89"/>
      <c r="I410" s="89"/>
      <c r="J410" s="89"/>
      <c r="K410" s="89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</row>
    <row r="411" spans="2:23" s="14" customFormat="1" ht="17.100000000000001" customHeight="1">
      <c r="B411" s="89"/>
      <c r="C411" s="90"/>
      <c r="D411" s="91"/>
      <c r="E411" s="92"/>
      <c r="F411" s="89"/>
      <c r="G411" s="89"/>
      <c r="H411" s="89"/>
      <c r="I411" s="89"/>
      <c r="J411" s="89"/>
      <c r="K411" s="89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</row>
    <row r="412" spans="2:23" s="14" customFormat="1" ht="17.100000000000001" customHeight="1">
      <c r="B412" s="89"/>
      <c r="C412" s="90"/>
      <c r="D412" s="91"/>
      <c r="E412" s="92"/>
      <c r="F412" s="89"/>
      <c r="G412" s="89"/>
      <c r="H412" s="89"/>
      <c r="I412" s="89"/>
      <c r="J412" s="89"/>
      <c r="K412" s="89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</row>
    <row r="413" spans="2:23" s="14" customFormat="1" ht="17.100000000000001" customHeight="1">
      <c r="B413" s="89"/>
      <c r="C413" s="90"/>
      <c r="D413" s="91"/>
      <c r="E413" s="92"/>
      <c r="F413" s="89"/>
      <c r="G413" s="89"/>
      <c r="H413" s="89"/>
      <c r="I413" s="89"/>
      <c r="J413" s="89"/>
      <c r="K413" s="89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</row>
    <row r="414" spans="2:23" s="14" customFormat="1" ht="17.100000000000001" customHeight="1">
      <c r="B414" s="89"/>
      <c r="C414" s="90"/>
      <c r="D414" s="91"/>
      <c r="E414" s="92"/>
      <c r="F414" s="89"/>
      <c r="G414" s="89"/>
      <c r="H414" s="89"/>
      <c r="I414" s="89"/>
      <c r="J414" s="89"/>
      <c r="K414" s="89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</row>
    <row r="415" spans="2:23" s="14" customFormat="1" ht="17.100000000000001" customHeight="1">
      <c r="B415" s="89"/>
      <c r="C415" s="90"/>
      <c r="D415" s="91"/>
      <c r="E415" s="92"/>
      <c r="F415" s="89"/>
      <c r="G415" s="89"/>
      <c r="H415" s="89"/>
      <c r="I415" s="89"/>
      <c r="J415" s="89"/>
      <c r="K415" s="89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</row>
    <row r="416" spans="2:23" s="14" customFormat="1" ht="17.100000000000001" customHeight="1">
      <c r="B416" s="89"/>
      <c r="C416" s="90"/>
      <c r="D416" s="91"/>
      <c r="E416" s="92"/>
      <c r="F416" s="89"/>
      <c r="G416" s="89"/>
      <c r="H416" s="89"/>
      <c r="I416" s="89"/>
      <c r="J416" s="89"/>
      <c r="K416" s="89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</row>
    <row r="417" spans="2:23" s="14" customFormat="1" ht="17.100000000000001" customHeight="1">
      <c r="B417" s="89"/>
      <c r="C417" s="90"/>
      <c r="D417" s="91"/>
      <c r="E417" s="92"/>
      <c r="F417" s="89"/>
      <c r="G417" s="89"/>
      <c r="H417" s="89"/>
      <c r="I417" s="89"/>
      <c r="J417" s="89"/>
      <c r="K417" s="89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</row>
    <row r="418" spans="2:23" s="14" customFormat="1" ht="17.100000000000001" customHeight="1">
      <c r="B418" s="89"/>
      <c r="C418" s="90"/>
      <c r="D418" s="91"/>
      <c r="E418" s="92"/>
      <c r="F418" s="89"/>
      <c r="G418" s="89"/>
      <c r="H418" s="89"/>
      <c r="I418" s="89"/>
      <c r="J418" s="89"/>
      <c r="K418" s="89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</row>
    <row r="419" spans="2:23" s="14" customFormat="1" ht="17.100000000000001" customHeight="1">
      <c r="B419" s="89"/>
      <c r="C419" s="90"/>
      <c r="D419" s="91"/>
      <c r="E419" s="92"/>
      <c r="F419" s="89"/>
      <c r="G419" s="89"/>
      <c r="H419" s="89"/>
      <c r="I419" s="89"/>
      <c r="J419" s="89"/>
      <c r="K419" s="89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</row>
    <row r="420" spans="2:23" s="14" customFormat="1" ht="17.100000000000001" customHeight="1">
      <c r="B420" s="89"/>
      <c r="C420" s="90"/>
      <c r="D420" s="91"/>
      <c r="E420" s="92"/>
      <c r="F420" s="89"/>
      <c r="G420" s="89"/>
      <c r="H420" s="89"/>
      <c r="I420" s="89"/>
      <c r="J420" s="89"/>
      <c r="K420" s="89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</row>
    <row r="421" spans="2:23" s="14" customFormat="1" ht="17.100000000000001" customHeight="1">
      <c r="B421" s="89"/>
      <c r="C421" s="90"/>
      <c r="D421" s="91"/>
      <c r="E421" s="92"/>
      <c r="F421" s="89"/>
      <c r="G421" s="89"/>
      <c r="H421" s="89"/>
      <c r="I421" s="89"/>
      <c r="J421" s="89"/>
      <c r="K421" s="89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</row>
    <row r="422" spans="2:23" s="14" customFormat="1" ht="17.100000000000001" customHeight="1">
      <c r="B422" s="89"/>
      <c r="C422" s="90"/>
      <c r="D422" s="91"/>
      <c r="E422" s="92"/>
      <c r="F422" s="89"/>
      <c r="G422" s="89"/>
      <c r="H422" s="89"/>
      <c r="I422" s="89"/>
      <c r="J422" s="89"/>
      <c r="K422" s="89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</row>
    <row r="423" spans="2:23" s="14" customFormat="1" ht="17.100000000000001" customHeight="1">
      <c r="B423" s="89"/>
      <c r="C423" s="90"/>
      <c r="D423" s="91"/>
      <c r="E423" s="92"/>
      <c r="F423" s="89"/>
      <c r="G423" s="89"/>
      <c r="H423" s="89"/>
      <c r="I423" s="89"/>
      <c r="J423" s="89"/>
      <c r="K423" s="89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</row>
    <row r="424" spans="2:23" s="14" customFormat="1" ht="17.100000000000001" customHeight="1">
      <c r="B424" s="89"/>
      <c r="C424" s="90"/>
      <c r="D424" s="91"/>
      <c r="E424" s="92"/>
      <c r="F424" s="89"/>
      <c r="G424" s="89"/>
      <c r="H424" s="89"/>
      <c r="I424" s="89"/>
      <c r="J424" s="89"/>
      <c r="K424" s="89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</row>
    <row r="425" spans="2:23" s="14" customFormat="1" ht="17.100000000000001" customHeight="1">
      <c r="B425" s="89"/>
      <c r="C425" s="90"/>
      <c r="D425" s="91"/>
      <c r="E425" s="92"/>
      <c r="F425" s="89"/>
      <c r="G425" s="89"/>
      <c r="H425" s="89"/>
      <c r="I425" s="89"/>
      <c r="J425" s="89"/>
      <c r="K425" s="89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</row>
    <row r="426" spans="2:23" s="14" customFormat="1" ht="17.100000000000001" customHeight="1">
      <c r="B426" s="89"/>
      <c r="C426" s="90"/>
      <c r="D426" s="91"/>
      <c r="E426" s="92"/>
      <c r="F426" s="89"/>
      <c r="G426" s="89"/>
      <c r="H426" s="89"/>
      <c r="I426" s="89"/>
      <c r="J426" s="89"/>
      <c r="K426" s="89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</row>
    <row r="427" spans="2:23" s="14" customFormat="1" ht="17.100000000000001" customHeight="1">
      <c r="B427" s="89"/>
      <c r="C427" s="90"/>
      <c r="D427" s="91"/>
      <c r="E427" s="92"/>
      <c r="F427" s="89"/>
      <c r="G427" s="89"/>
      <c r="H427" s="89"/>
      <c r="I427" s="89"/>
      <c r="J427" s="89"/>
      <c r="K427" s="89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</row>
    <row r="428" spans="2:23" s="14" customFormat="1" ht="17.100000000000001" customHeight="1">
      <c r="B428" s="89"/>
      <c r="C428" s="90"/>
      <c r="D428" s="91"/>
      <c r="E428" s="92"/>
      <c r="F428" s="89"/>
      <c r="G428" s="89"/>
      <c r="H428" s="89"/>
      <c r="I428" s="89"/>
      <c r="J428" s="89"/>
      <c r="K428" s="89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</row>
    <row r="429" spans="2:23" s="14" customFormat="1" ht="17.100000000000001" customHeight="1">
      <c r="B429" s="89"/>
      <c r="C429" s="90"/>
      <c r="D429" s="91"/>
      <c r="E429" s="92"/>
      <c r="F429" s="89"/>
      <c r="G429" s="89"/>
      <c r="H429" s="89"/>
      <c r="I429" s="89"/>
      <c r="J429" s="89"/>
      <c r="K429" s="89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</row>
    <row r="430" spans="2:23" s="14" customFormat="1" ht="17.100000000000001" customHeight="1">
      <c r="B430" s="89"/>
      <c r="C430" s="90"/>
      <c r="D430" s="91"/>
      <c r="E430" s="92"/>
      <c r="F430" s="89"/>
      <c r="G430" s="89"/>
      <c r="H430" s="89"/>
      <c r="I430" s="89"/>
      <c r="J430" s="89"/>
      <c r="K430" s="89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</row>
    <row r="431" spans="2:23" s="14" customFormat="1" ht="17.100000000000001" customHeight="1">
      <c r="B431" s="89"/>
      <c r="C431" s="90"/>
      <c r="D431" s="91"/>
      <c r="E431" s="92"/>
      <c r="F431" s="89"/>
      <c r="G431" s="89"/>
      <c r="H431" s="89"/>
      <c r="I431" s="89"/>
      <c r="J431" s="89"/>
      <c r="K431" s="89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</row>
    <row r="432" spans="2:23" s="14" customFormat="1" ht="17.100000000000001" customHeight="1">
      <c r="B432" s="89"/>
      <c r="C432" s="90"/>
      <c r="D432" s="91"/>
      <c r="E432" s="92"/>
      <c r="F432" s="89"/>
      <c r="G432" s="89"/>
      <c r="H432" s="89"/>
      <c r="I432" s="89"/>
      <c r="J432" s="89"/>
      <c r="K432" s="89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</row>
    <row r="433" spans="2:23" s="14" customFormat="1" ht="17.100000000000001" customHeight="1">
      <c r="B433" s="89"/>
      <c r="C433" s="90"/>
      <c r="D433" s="91"/>
      <c r="E433" s="92"/>
      <c r="F433" s="89"/>
      <c r="G433" s="89"/>
      <c r="H433" s="89"/>
      <c r="I433" s="89"/>
      <c r="J433" s="89"/>
      <c r="K433" s="89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</row>
    <row r="434" spans="2:23" s="14" customFormat="1" ht="17.100000000000001" customHeight="1">
      <c r="B434" s="89"/>
      <c r="C434" s="90"/>
      <c r="D434" s="91"/>
      <c r="E434" s="92"/>
      <c r="F434" s="89"/>
      <c r="G434" s="89"/>
      <c r="H434" s="89"/>
      <c r="I434" s="89"/>
      <c r="J434" s="89"/>
      <c r="K434" s="89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</row>
    <row r="435" spans="2:23" s="14" customFormat="1" ht="17.100000000000001" customHeight="1">
      <c r="B435" s="89"/>
      <c r="C435" s="90"/>
      <c r="D435" s="91"/>
      <c r="E435" s="92"/>
      <c r="F435" s="89"/>
      <c r="G435" s="89"/>
      <c r="H435" s="89"/>
      <c r="I435" s="89"/>
      <c r="J435" s="89"/>
      <c r="K435" s="89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</row>
    <row r="436" spans="2:23" s="14" customFormat="1" ht="17.100000000000001" customHeight="1">
      <c r="B436" s="89"/>
      <c r="C436" s="90"/>
      <c r="D436" s="91"/>
      <c r="E436" s="92"/>
      <c r="F436" s="89"/>
      <c r="G436" s="89"/>
      <c r="H436" s="89"/>
      <c r="I436" s="89"/>
      <c r="J436" s="89"/>
      <c r="K436" s="89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</row>
    <row r="437" spans="2:23" s="14" customFormat="1" ht="17.100000000000001" customHeight="1">
      <c r="B437" s="89"/>
      <c r="C437" s="90"/>
      <c r="D437" s="91"/>
      <c r="E437" s="92"/>
      <c r="F437" s="89"/>
      <c r="G437" s="89"/>
      <c r="H437" s="89"/>
      <c r="I437" s="89"/>
      <c r="J437" s="89"/>
      <c r="K437" s="89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</row>
    <row r="438" spans="2:23" s="14" customFormat="1" ht="17.100000000000001" customHeight="1">
      <c r="B438" s="89"/>
      <c r="C438" s="90"/>
      <c r="D438" s="91"/>
      <c r="E438" s="92"/>
      <c r="F438" s="89"/>
      <c r="G438" s="89"/>
      <c r="H438" s="89"/>
      <c r="I438" s="89"/>
      <c r="J438" s="89"/>
      <c r="K438" s="89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</row>
    <row r="439" spans="2:23" s="14" customFormat="1" ht="17.100000000000001" customHeight="1">
      <c r="B439" s="89"/>
      <c r="C439" s="90"/>
      <c r="D439" s="91"/>
      <c r="E439" s="92"/>
      <c r="F439" s="89"/>
      <c r="G439" s="89"/>
      <c r="H439" s="89"/>
      <c r="I439" s="89"/>
      <c r="J439" s="89"/>
      <c r="K439" s="89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</row>
    <row r="440" spans="2:23" s="14" customFormat="1" ht="17.100000000000001" customHeight="1">
      <c r="B440" s="89"/>
      <c r="C440" s="90"/>
      <c r="D440" s="91"/>
      <c r="E440" s="92"/>
      <c r="F440" s="89"/>
      <c r="G440" s="89"/>
      <c r="H440" s="89"/>
      <c r="I440" s="89"/>
      <c r="J440" s="89"/>
      <c r="K440" s="89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</row>
    <row r="441" spans="2:23" s="14" customFormat="1" ht="17.100000000000001" customHeight="1">
      <c r="B441" s="89"/>
      <c r="C441" s="90"/>
      <c r="D441" s="91"/>
      <c r="E441" s="92"/>
      <c r="F441" s="89"/>
      <c r="G441" s="89"/>
      <c r="H441" s="89"/>
      <c r="I441" s="89"/>
      <c r="J441" s="89"/>
      <c r="K441" s="89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</row>
    <row r="442" spans="2:23" s="14" customFormat="1" ht="17.100000000000001" customHeight="1">
      <c r="B442" s="89"/>
      <c r="C442" s="90"/>
      <c r="D442" s="91"/>
      <c r="E442" s="92"/>
      <c r="F442" s="89"/>
      <c r="G442" s="89"/>
      <c r="H442" s="89"/>
      <c r="I442" s="89"/>
      <c r="J442" s="89"/>
      <c r="K442" s="89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</row>
    <row r="443" spans="2:23" s="14" customFormat="1" ht="17.100000000000001" customHeight="1">
      <c r="B443" s="89"/>
      <c r="C443" s="90"/>
      <c r="D443" s="91"/>
      <c r="E443" s="92"/>
      <c r="F443" s="89"/>
      <c r="G443" s="89"/>
      <c r="H443" s="89"/>
      <c r="I443" s="89"/>
      <c r="J443" s="89"/>
      <c r="K443" s="89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</row>
    <row r="444" spans="2:23" s="14" customFormat="1" ht="17.100000000000001" customHeight="1">
      <c r="B444" s="89"/>
      <c r="C444" s="90"/>
      <c r="D444" s="91"/>
      <c r="E444" s="92"/>
      <c r="F444" s="89"/>
      <c r="G444" s="89"/>
      <c r="H444" s="89"/>
      <c r="I444" s="89"/>
      <c r="J444" s="89"/>
      <c r="K444" s="89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</row>
    <row r="445" spans="2:23" s="14" customFormat="1" ht="17.100000000000001" customHeight="1">
      <c r="B445" s="89"/>
      <c r="C445" s="90"/>
      <c r="D445" s="91"/>
      <c r="E445" s="92"/>
      <c r="F445" s="89"/>
      <c r="G445" s="89"/>
      <c r="H445" s="89"/>
      <c r="I445" s="89"/>
      <c r="J445" s="89"/>
      <c r="K445" s="89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</row>
    <row r="446" spans="2:23" s="14" customFormat="1" ht="17.100000000000001" customHeight="1">
      <c r="B446" s="89"/>
      <c r="C446" s="90"/>
      <c r="D446" s="91"/>
      <c r="E446" s="92"/>
      <c r="F446" s="89"/>
      <c r="G446" s="89"/>
      <c r="H446" s="89"/>
      <c r="I446" s="89"/>
      <c r="J446" s="89"/>
      <c r="K446" s="89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</row>
    <row r="447" spans="2:23" s="14" customFormat="1" ht="17.100000000000001" customHeight="1">
      <c r="B447" s="89"/>
      <c r="C447" s="90"/>
      <c r="D447" s="91"/>
      <c r="E447" s="92"/>
      <c r="F447" s="89"/>
      <c r="G447" s="89"/>
      <c r="H447" s="89"/>
      <c r="I447" s="89"/>
      <c r="J447" s="89"/>
      <c r="K447" s="89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</row>
    <row r="448" spans="2:23" s="14" customFormat="1" ht="17.100000000000001" customHeight="1">
      <c r="B448" s="89"/>
      <c r="C448" s="90"/>
      <c r="D448" s="91"/>
      <c r="E448" s="92"/>
      <c r="F448" s="89"/>
      <c r="G448" s="89"/>
      <c r="H448" s="89"/>
      <c r="I448" s="89"/>
      <c r="J448" s="89"/>
      <c r="K448" s="89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</row>
    <row r="449" spans="2:23" s="14" customFormat="1" ht="17.100000000000001" customHeight="1">
      <c r="B449" s="89"/>
      <c r="C449" s="90"/>
      <c r="D449" s="91"/>
      <c r="E449" s="92"/>
      <c r="F449" s="89"/>
      <c r="G449" s="89"/>
      <c r="H449" s="89"/>
      <c r="I449" s="89"/>
      <c r="J449" s="89"/>
      <c r="K449" s="89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</row>
    <row r="450" spans="2:23" s="14" customFormat="1" ht="17.100000000000001" customHeight="1">
      <c r="B450" s="89"/>
      <c r="C450" s="90"/>
      <c r="D450" s="91"/>
      <c r="E450" s="92"/>
      <c r="F450" s="89"/>
      <c r="G450" s="89"/>
      <c r="H450" s="89"/>
      <c r="I450" s="89"/>
      <c r="J450" s="89"/>
      <c r="K450" s="89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</row>
    <row r="451" spans="2:23" s="14" customFormat="1" ht="17.100000000000001" customHeight="1">
      <c r="B451" s="89"/>
      <c r="C451" s="90"/>
      <c r="D451" s="91"/>
      <c r="E451" s="92"/>
      <c r="F451" s="89"/>
      <c r="G451" s="89"/>
      <c r="H451" s="89"/>
      <c r="I451" s="89"/>
      <c r="J451" s="89"/>
      <c r="K451" s="89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</row>
    <row r="452" spans="2:23" s="14" customFormat="1" ht="17.100000000000001" customHeight="1">
      <c r="B452" s="89"/>
      <c r="C452" s="90"/>
      <c r="D452" s="91"/>
      <c r="E452" s="92"/>
      <c r="F452" s="89"/>
      <c r="G452" s="89"/>
      <c r="H452" s="89"/>
      <c r="I452" s="89"/>
      <c r="J452" s="89"/>
      <c r="K452" s="89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</row>
    <row r="453" spans="2:23" s="14" customFormat="1" ht="17.100000000000001" customHeight="1">
      <c r="B453" s="89"/>
      <c r="C453" s="90"/>
      <c r="D453" s="91"/>
      <c r="E453" s="92"/>
      <c r="F453" s="89"/>
      <c r="G453" s="89"/>
      <c r="H453" s="89"/>
      <c r="I453" s="89"/>
      <c r="J453" s="89"/>
      <c r="K453" s="89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</row>
    <row r="454" spans="2:23" s="14" customFormat="1" ht="17.100000000000001" customHeight="1">
      <c r="B454" s="89"/>
      <c r="C454" s="90"/>
      <c r="D454" s="91"/>
      <c r="E454" s="92"/>
      <c r="F454" s="89"/>
      <c r="G454" s="89"/>
      <c r="H454" s="89"/>
      <c r="I454" s="89"/>
      <c r="J454" s="89"/>
      <c r="K454" s="89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</row>
    <row r="455" spans="2:23" s="14" customFormat="1" ht="17.100000000000001" customHeight="1">
      <c r="B455" s="89"/>
      <c r="C455" s="90"/>
      <c r="D455" s="91"/>
      <c r="E455" s="92"/>
      <c r="F455" s="89"/>
      <c r="G455" s="89"/>
      <c r="H455" s="89"/>
      <c r="I455" s="89"/>
      <c r="J455" s="89"/>
      <c r="K455" s="89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</row>
    <row r="456" spans="2:23" s="14" customFormat="1" ht="17.100000000000001" customHeight="1">
      <c r="B456" s="89"/>
      <c r="C456" s="90"/>
      <c r="D456" s="91"/>
      <c r="E456" s="92"/>
      <c r="F456" s="89"/>
      <c r="G456" s="89"/>
      <c r="H456" s="89"/>
      <c r="I456" s="89"/>
      <c r="J456" s="89"/>
      <c r="K456" s="89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</row>
    <row r="457" spans="2:23" s="14" customFormat="1" ht="17.100000000000001" customHeight="1">
      <c r="B457" s="89"/>
      <c r="C457" s="90"/>
      <c r="D457" s="91"/>
      <c r="E457" s="92"/>
      <c r="F457" s="89"/>
      <c r="G457" s="89"/>
      <c r="H457" s="89"/>
      <c r="I457" s="89"/>
      <c r="J457" s="89"/>
      <c r="K457" s="89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</row>
    <row r="458" spans="2:23" s="14" customFormat="1" ht="17.100000000000001" customHeight="1">
      <c r="B458" s="89"/>
      <c r="C458" s="90"/>
      <c r="D458" s="91"/>
      <c r="E458" s="92"/>
      <c r="F458" s="89"/>
      <c r="G458" s="89"/>
      <c r="H458" s="89"/>
      <c r="I458" s="89"/>
      <c r="J458" s="89"/>
      <c r="K458" s="89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</row>
    <row r="459" spans="2:23" s="14" customFormat="1" ht="17.100000000000001" customHeight="1">
      <c r="B459" s="89"/>
      <c r="C459" s="90"/>
      <c r="D459" s="91"/>
      <c r="E459" s="92"/>
      <c r="F459" s="89"/>
      <c r="G459" s="89"/>
      <c r="H459" s="89"/>
      <c r="I459" s="89"/>
      <c r="J459" s="89"/>
      <c r="K459" s="89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</row>
    <row r="460" spans="2:23" s="14" customFormat="1" ht="17.100000000000001" customHeight="1">
      <c r="B460" s="89"/>
      <c r="C460" s="90"/>
      <c r="D460" s="91"/>
      <c r="E460" s="92"/>
      <c r="F460" s="89"/>
      <c r="G460" s="89"/>
      <c r="H460" s="89"/>
      <c r="I460" s="89"/>
      <c r="J460" s="89"/>
      <c r="K460" s="89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</row>
    <row r="461" spans="2:23" s="14" customFormat="1" ht="17.100000000000001" customHeight="1">
      <c r="B461" s="89"/>
      <c r="C461" s="90"/>
      <c r="D461" s="91"/>
      <c r="E461" s="92"/>
      <c r="F461" s="89"/>
      <c r="G461" s="89"/>
      <c r="H461" s="89"/>
      <c r="I461" s="89"/>
      <c r="J461" s="89"/>
      <c r="K461" s="89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</row>
    <row r="462" spans="2:23" s="14" customFormat="1" ht="17.100000000000001" customHeight="1">
      <c r="B462" s="89"/>
      <c r="C462" s="90"/>
      <c r="D462" s="91"/>
      <c r="E462" s="92"/>
      <c r="F462" s="89"/>
      <c r="G462" s="89"/>
      <c r="H462" s="89"/>
      <c r="I462" s="89"/>
      <c r="J462" s="89"/>
      <c r="K462" s="89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</row>
    <row r="463" spans="2:23" s="14" customFormat="1" ht="17.100000000000001" customHeight="1">
      <c r="B463" s="89"/>
      <c r="C463" s="90"/>
      <c r="D463" s="91"/>
      <c r="E463" s="92"/>
      <c r="F463" s="89"/>
      <c r="G463" s="89"/>
      <c r="H463" s="89"/>
      <c r="I463" s="89"/>
      <c r="J463" s="89"/>
      <c r="K463" s="89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</row>
    <row r="464" spans="2:23" s="14" customFormat="1" ht="17.100000000000001" customHeight="1">
      <c r="B464" s="89"/>
      <c r="C464" s="90"/>
      <c r="D464" s="91"/>
      <c r="E464" s="92"/>
      <c r="F464" s="89"/>
      <c r="G464" s="89"/>
      <c r="H464" s="89"/>
      <c r="I464" s="89"/>
      <c r="J464" s="89"/>
      <c r="K464" s="89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</row>
    <row r="465" spans="2:23" s="14" customFormat="1" ht="17.100000000000001" customHeight="1">
      <c r="B465" s="89"/>
      <c r="C465" s="90"/>
      <c r="D465" s="91"/>
      <c r="E465" s="92"/>
      <c r="F465" s="89"/>
      <c r="G465" s="89"/>
      <c r="H465" s="89"/>
      <c r="I465" s="89"/>
      <c r="J465" s="89"/>
      <c r="K465" s="89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</row>
    <row r="466" spans="2:23" s="14" customFormat="1" ht="17.100000000000001" customHeight="1">
      <c r="B466" s="89"/>
      <c r="C466" s="90"/>
      <c r="D466" s="91"/>
      <c r="E466" s="92"/>
      <c r="F466" s="89"/>
      <c r="G466" s="89"/>
      <c r="H466" s="89"/>
      <c r="I466" s="89"/>
      <c r="J466" s="89"/>
      <c r="K466" s="89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</row>
    <row r="467" spans="2:23" s="14" customFormat="1" ht="17.100000000000001" customHeight="1">
      <c r="B467" s="89"/>
      <c r="C467" s="90"/>
      <c r="D467" s="91"/>
      <c r="E467" s="92"/>
      <c r="F467" s="89"/>
      <c r="G467" s="89"/>
      <c r="H467" s="89"/>
      <c r="I467" s="89"/>
      <c r="J467" s="89"/>
      <c r="K467" s="89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</row>
    <row r="468" spans="2:23" s="14" customFormat="1" ht="17.100000000000001" customHeight="1">
      <c r="B468" s="89"/>
      <c r="C468" s="90"/>
      <c r="D468" s="91"/>
      <c r="E468" s="92"/>
      <c r="F468" s="89"/>
      <c r="G468" s="89"/>
      <c r="H468" s="89"/>
      <c r="I468" s="89"/>
      <c r="J468" s="89"/>
      <c r="K468" s="89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</row>
    <row r="469" spans="2:23" s="14" customFormat="1" ht="17.100000000000001" customHeight="1">
      <c r="B469" s="89"/>
      <c r="C469" s="90"/>
      <c r="D469" s="91"/>
      <c r="E469" s="92"/>
      <c r="F469" s="89"/>
      <c r="G469" s="89"/>
      <c r="H469" s="89"/>
      <c r="I469" s="89"/>
      <c r="J469" s="89"/>
      <c r="K469" s="89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</row>
    <row r="470" spans="2:23" s="14" customFormat="1" ht="17.100000000000001" customHeight="1">
      <c r="B470" s="89"/>
      <c r="C470" s="90"/>
      <c r="D470" s="91"/>
      <c r="E470" s="92"/>
      <c r="F470" s="89"/>
      <c r="G470" s="89"/>
      <c r="H470" s="89"/>
      <c r="I470" s="89"/>
      <c r="J470" s="89"/>
      <c r="K470" s="89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</row>
    <row r="471" spans="2:23" s="14" customFormat="1" ht="17.100000000000001" customHeight="1">
      <c r="B471" s="89"/>
      <c r="C471" s="90"/>
      <c r="D471" s="91"/>
      <c r="E471" s="92"/>
      <c r="F471" s="89"/>
      <c r="G471" s="89"/>
      <c r="H471" s="89"/>
      <c r="I471" s="89"/>
      <c r="J471" s="89"/>
      <c r="K471" s="89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</row>
    <row r="472" spans="2:23" s="14" customFormat="1" ht="17.100000000000001" customHeight="1">
      <c r="B472" s="89"/>
      <c r="C472" s="90"/>
      <c r="D472" s="91"/>
      <c r="E472" s="92"/>
      <c r="F472" s="89"/>
      <c r="G472" s="89"/>
      <c r="H472" s="89"/>
      <c r="I472" s="89"/>
      <c r="J472" s="89"/>
      <c r="K472" s="89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</row>
    <row r="473" spans="2:23" s="14" customFormat="1" ht="17.100000000000001" customHeight="1">
      <c r="B473" s="89"/>
      <c r="C473" s="90"/>
      <c r="D473" s="91"/>
      <c r="E473" s="92"/>
      <c r="F473" s="89"/>
      <c r="G473" s="89"/>
      <c r="H473" s="89"/>
      <c r="I473" s="89"/>
      <c r="J473" s="89"/>
      <c r="K473" s="89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</row>
    <row r="474" spans="2:23" s="14" customFormat="1" ht="17.100000000000001" customHeight="1">
      <c r="B474" s="89"/>
      <c r="C474" s="90"/>
      <c r="D474" s="91"/>
      <c r="E474" s="92"/>
      <c r="F474" s="89"/>
      <c r="G474" s="89"/>
      <c r="H474" s="89"/>
      <c r="I474" s="89"/>
      <c r="J474" s="89"/>
      <c r="K474" s="89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</row>
    <row r="475" spans="2:23" s="14" customFormat="1" ht="17.100000000000001" customHeight="1">
      <c r="B475" s="89"/>
      <c r="C475" s="90"/>
      <c r="D475" s="91"/>
      <c r="E475" s="92"/>
      <c r="F475" s="89"/>
      <c r="G475" s="89"/>
      <c r="H475" s="89"/>
      <c r="I475" s="89"/>
      <c r="J475" s="89"/>
      <c r="K475" s="89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</row>
    <row r="476" spans="2:23" s="14" customFormat="1" ht="17.100000000000001" customHeight="1">
      <c r="B476" s="89"/>
      <c r="C476" s="90"/>
      <c r="D476" s="91"/>
      <c r="E476" s="92"/>
      <c r="F476" s="89"/>
      <c r="G476" s="89"/>
      <c r="H476" s="89"/>
      <c r="I476" s="89"/>
      <c r="J476" s="89"/>
      <c r="K476" s="89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</row>
    <row r="477" spans="2:23" s="14" customFormat="1" ht="17.100000000000001" customHeight="1">
      <c r="B477" s="89"/>
      <c r="C477" s="90"/>
      <c r="D477" s="91"/>
      <c r="E477" s="92"/>
      <c r="F477" s="89"/>
      <c r="G477" s="89"/>
      <c r="H477" s="89"/>
      <c r="I477" s="89"/>
      <c r="J477" s="89"/>
      <c r="K477" s="89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</row>
    <row r="478" spans="2:23" s="14" customFormat="1" ht="17.100000000000001" customHeight="1">
      <c r="B478" s="89"/>
      <c r="C478" s="90"/>
      <c r="D478" s="91"/>
      <c r="E478" s="92"/>
      <c r="F478" s="89"/>
      <c r="G478" s="89"/>
      <c r="H478" s="89"/>
      <c r="I478" s="89"/>
      <c r="J478" s="89"/>
      <c r="K478" s="89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</row>
    <row r="479" spans="2:23" s="14" customFormat="1" ht="17.100000000000001" customHeight="1">
      <c r="B479" s="89"/>
      <c r="C479" s="90"/>
      <c r="D479" s="91"/>
      <c r="E479" s="92"/>
      <c r="F479" s="89"/>
      <c r="G479" s="89"/>
      <c r="H479" s="89"/>
      <c r="I479" s="89"/>
      <c r="J479" s="89"/>
      <c r="K479" s="89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</row>
    <row r="480" spans="2:23" s="14" customFormat="1" ht="17.100000000000001" customHeight="1">
      <c r="B480" s="89"/>
      <c r="C480" s="90"/>
      <c r="D480" s="91"/>
      <c r="E480" s="92"/>
      <c r="F480" s="89"/>
      <c r="G480" s="89"/>
      <c r="H480" s="89"/>
      <c r="I480" s="89"/>
      <c r="J480" s="89"/>
      <c r="K480" s="89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</row>
    <row r="481" spans="2:23" s="14" customFormat="1" ht="17.100000000000001" customHeight="1">
      <c r="B481" s="89"/>
      <c r="C481" s="90"/>
      <c r="D481" s="91"/>
      <c r="E481" s="92"/>
      <c r="F481" s="89"/>
      <c r="G481" s="89"/>
      <c r="H481" s="89"/>
      <c r="I481" s="89"/>
      <c r="J481" s="89"/>
      <c r="K481" s="89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</row>
    <row r="482" spans="2:23" s="14" customFormat="1" ht="17.100000000000001" customHeight="1">
      <c r="B482" s="89"/>
      <c r="C482" s="90"/>
      <c r="D482" s="91"/>
      <c r="E482" s="92"/>
      <c r="F482" s="89"/>
      <c r="G482" s="89"/>
      <c r="H482" s="89"/>
      <c r="I482" s="89"/>
      <c r="J482" s="89"/>
      <c r="K482" s="89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</row>
    <row r="483" spans="2:23" s="14" customFormat="1" ht="17.100000000000001" customHeight="1">
      <c r="B483" s="89"/>
      <c r="C483" s="90"/>
      <c r="D483" s="91"/>
      <c r="E483" s="92"/>
      <c r="F483" s="89"/>
      <c r="G483" s="89"/>
      <c r="H483" s="89"/>
      <c r="I483" s="89"/>
      <c r="J483" s="89"/>
      <c r="K483" s="89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</row>
    <row r="484" spans="2:23" s="14" customFormat="1" ht="17.100000000000001" customHeight="1">
      <c r="B484" s="89"/>
      <c r="C484" s="90"/>
      <c r="D484" s="91"/>
      <c r="E484" s="92"/>
      <c r="F484" s="89"/>
      <c r="G484" s="89"/>
      <c r="H484" s="89"/>
      <c r="I484" s="89"/>
      <c r="J484" s="89"/>
      <c r="K484" s="89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</row>
    <row r="485" spans="2:23" s="14" customFormat="1" ht="17.100000000000001" customHeight="1">
      <c r="B485" s="89"/>
      <c r="C485" s="90"/>
      <c r="D485" s="91"/>
      <c r="E485" s="92"/>
      <c r="F485" s="89"/>
      <c r="G485" s="89"/>
      <c r="H485" s="89"/>
      <c r="I485" s="89"/>
      <c r="J485" s="89"/>
      <c r="K485" s="89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</row>
    <row r="486" spans="2:23" s="14" customFormat="1" ht="17.100000000000001" customHeight="1">
      <c r="B486" s="89"/>
      <c r="C486" s="90"/>
      <c r="D486" s="91"/>
      <c r="E486" s="92"/>
      <c r="F486" s="89"/>
      <c r="G486" s="89"/>
      <c r="H486" s="89"/>
      <c r="I486" s="89"/>
      <c r="J486" s="89"/>
      <c r="K486" s="89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</row>
    <row r="487" spans="2:23" s="14" customFormat="1" ht="17.100000000000001" customHeight="1">
      <c r="B487" s="89"/>
      <c r="C487" s="90"/>
      <c r="D487" s="91"/>
      <c r="E487" s="92"/>
      <c r="F487" s="89"/>
      <c r="G487" s="89"/>
      <c r="H487" s="89"/>
      <c r="I487" s="89"/>
      <c r="J487" s="89"/>
      <c r="K487" s="89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</row>
    <row r="488" spans="2:23" s="14" customFormat="1" ht="17.100000000000001" customHeight="1">
      <c r="B488" s="89"/>
      <c r="C488" s="90"/>
      <c r="D488" s="91"/>
      <c r="E488" s="92"/>
      <c r="F488" s="89"/>
      <c r="G488" s="89"/>
      <c r="H488" s="89"/>
      <c r="I488" s="89"/>
      <c r="J488" s="89"/>
      <c r="K488" s="89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</row>
    <row r="489" spans="2:23" s="14" customFormat="1" ht="17.100000000000001" customHeight="1">
      <c r="B489" s="89"/>
      <c r="C489" s="90"/>
      <c r="D489" s="91"/>
      <c r="E489" s="92"/>
      <c r="F489" s="89"/>
      <c r="G489" s="89"/>
      <c r="H489" s="89"/>
      <c r="I489" s="89"/>
      <c r="J489" s="89"/>
      <c r="K489" s="89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</row>
    <row r="490" spans="2:23" s="14" customFormat="1" ht="17.100000000000001" customHeight="1">
      <c r="B490" s="89"/>
      <c r="C490" s="90"/>
      <c r="D490" s="91"/>
      <c r="E490" s="92"/>
      <c r="F490" s="89"/>
      <c r="G490" s="89"/>
      <c r="H490" s="89"/>
      <c r="I490" s="89"/>
      <c r="J490" s="89"/>
      <c r="K490" s="89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</row>
    <row r="491" spans="2:23" s="14" customFormat="1" ht="17.100000000000001" customHeight="1">
      <c r="B491" s="89"/>
      <c r="C491" s="90"/>
      <c r="D491" s="91"/>
      <c r="E491" s="92"/>
      <c r="F491" s="89"/>
      <c r="G491" s="89"/>
      <c r="H491" s="89"/>
      <c r="I491" s="89"/>
      <c r="J491" s="89"/>
      <c r="K491" s="89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</row>
    <row r="492" spans="2:23" s="14" customFormat="1" ht="17.100000000000001" customHeight="1">
      <c r="B492" s="89"/>
      <c r="C492" s="90"/>
      <c r="D492" s="91"/>
      <c r="E492" s="92"/>
      <c r="F492" s="89"/>
      <c r="G492" s="89"/>
      <c r="H492" s="89"/>
      <c r="I492" s="89"/>
      <c r="J492" s="89"/>
      <c r="K492" s="89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</row>
    <row r="493" spans="2:23" s="14" customFormat="1" ht="17.100000000000001" customHeight="1">
      <c r="B493" s="89"/>
      <c r="C493" s="90"/>
      <c r="D493" s="91"/>
      <c r="E493" s="92"/>
      <c r="F493" s="89"/>
      <c r="G493" s="89"/>
      <c r="H493" s="89"/>
      <c r="I493" s="89"/>
      <c r="J493" s="89"/>
      <c r="K493" s="89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</row>
    <row r="494" spans="2:23" s="14" customFormat="1" ht="17.100000000000001" customHeight="1">
      <c r="B494" s="89"/>
      <c r="C494" s="90"/>
      <c r="D494" s="91"/>
      <c r="E494" s="92"/>
      <c r="F494" s="89"/>
      <c r="G494" s="89"/>
      <c r="H494" s="89"/>
      <c r="I494" s="89"/>
      <c r="J494" s="89"/>
      <c r="K494" s="89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</row>
    <row r="495" spans="2:23" s="14" customFormat="1" ht="17.100000000000001" customHeight="1">
      <c r="B495" s="89"/>
      <c r="C495" s="90"/>
      <c r="D495" s="91"/>
      <c r="E495" s="92"/>
      <c r="F495" s="89"/>
      <c r="G495" s="89"/>
      <c r="H495" s="89"/>
      <c r="I495" s="89"/>
      <c r="J495" s="89"/>
      <c r="K495" s="89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</row>
    <row r="496" spans="2:23" s="14" customFormat="1" ht="17.100000000000001" customHeight="1">
      <c r="B496" s="89"/>
      <c r="C496" s="90"/>
      <c r="D496" s="91"/>
      <c r="E496" s="92"/>
      <c r="F496" s="89"/>
      <c r="G496" s="89"/>
      <c r="H496" s="89"/>
      <c r="I496" s="89"/>
      <c r="J496" s="89"/>
      <c r="K496" s="89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</row>
    <row r="497" spans="2:23" s="14" customFormat="1" ht="17.100000000000001" customHeight="1">
      <c r="B497" s="89"/>
      <c r="C497" s="90"/>
      <c r="D497" s="91"/>
      <c r="E497" s="92"/>
      <c r="F497" s="89"/>
      <c r="G497" s="89"/>
      <c r="H497" s="89"/>
      <c r="I497" s="89"/>
      <c r="J497" s="89"/>
      <c r="K497" s="89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</row>
    <row r="498" spans="2:23" s="14" customFormat="1" ht="17.100000000000001" customHeight="1">
      <c r="B498" s="89"/>
      <c r="C498" s="90"/>
      <c r="D498" s="91"/>
      <c r="E498" s="92"/>
      <c r="F498" s="89"/>
      <c r="G498" s="89"/>
      <c r="H498" s="89"/>
      <c r="I498" s="89"/>
      <c r="J498" s="89"/>
      <c r="K498" s="89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</row>
    <row r="499" spans="2:23" s="14" customFormat="1" ht="17.100000000000001" customHeight="1">
      <c r="B499" s="89"/>
      <c r="C499" s="90"/>
      <c r="D499" s="91"/>
      <c r="E499" s="92"/>
      <c r="F499" s="89"/>
      <c r="G499" s="89"/>
      <c r="H499" s="89"/>
      <c r="I499" s="89"/>
      <c r="J499" s="89"/>
      <c r="K499" s="89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</row>
    <row r="500" spans="2:23" s="14" customFormat="1" ht="17.100000000000001" customHeight="1">
      <c r="B500" s="89"/>
      <c r="C500" s="90"/>
      <c r="D500" s="91"/>
      <c r="E500" s="92"/>
      <c r="F500" s="89"/>
      <c r="G500" s="89"/>
      <c r="H500" s="89"/>
      <c r="I500" s="89"/>
      <c r="J500" s="89"/>
      <c r="K500" s="89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</row>
    <row r="501" spans="2:23" s="14" customFormat="1" ht="17.100000000000001" customHeight="1">
      <c r="B501" s="89"/>
      <c r="C501" s="90"/>
      <c r="D501" s="91"/>
      <c r="E501" s="92"/>
      <c r="F501" s="89"/>
      <c r="G501" s="89"/>
      <c r="H501" s="89"/>
      <c r="I501" s="89"/>
      <c r="J501" s="89"/>
      <c r="K501" s="89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</row>
    <row r="502" spans="2:23" s="14" customFormat="1" ht="17.100000000000001" customHeight="1">
      <c r="B502" s="89"/>
      <c r="C502" s="90"/>
      <c r="D502" s="91"/>
      <c r="E502" s="92"/>
      <c r="F502" s="89"/>
      <c r="G502" s="89"/>
      <c r="H502" s="89"/>
      <c r="I502" s="89"/>
      <c r="J502" s="89"/>
      <c r="K502" s="89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</row>
    <row r="503" spans="2:23" s="14" customFormat="1" ht="17.100000000000001" customHeight="1">
      <c r="B503" s="89"/>
      <c r="C503" s="90"/>
      <c r="D503" s="91"/>
      <c r="E503" s="92"/>
      <c r="F503" s="89"/>
      <c r="G503" s="89"/>
      <c r="H503" s="89"/>
      <c r="I503" s="89"/>
      <c r="J503" s="89"/>
      <c r="K503" s="89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</row>
    <row r="504" spans="2:23" s="14" customFormat="1" ht="17.100000000000001" customHeight="1">
      <c r="B504" s="89"/>
      <c r="C504" s="90"/>
      <c r="D504" s="91"/>
      <c r="E504" s="92"/>
      <c r="F504" s="89"/>
      <c r="G504" s="89"/>
      <c r="H504" s="89"/>
      <c r="I504" s="89"/>
      <c r="J504" s="89"/>
      <c r="K504" s="89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</row>
    <row r="505" spans="2:23" s="14" customFormat="1" ht="17.100000000000001" customHeight="1">
      <c r="B505" s="89"/>
      <c r="C505" s="90"/>
      <c r="D505" s="91"/>
      <c r="E505" s="92"/>
      <c r="F505" s="89"/>
      <c r="G505" s="89"/>
      <c r="H505" s="89"/>
      <c r="I505" s="89"/>
      <c r="J505" s="89"/>
      <c r="K505" s="89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</row>
    <row r="506" spans="2:23" s="14" customFormat="1" ht="17.100000000000001" customHeight="1">
      <c r="B506" s="89"/>
      <c r="C506" s="90"/>
      <c r="D506" s="91"/>
      <c r="E506" s="92"/>
      <c r="F506" s="89"/>
      <c r="G506" s="89"/>
      <c r="H506" s="89"/>
      <c r="I506" s="89"/>
      <c r="J506" s="89"/>
      <c r="K506" s="89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</row>
    <row r="507" spans="2:23" s="14" customFormat="1" ht="17.100000000000001" customHeight="1">
      <c r="B507" s="89"/>
      <c r="C507" s="90"/>
      <c r="D507" s="91"/>
      <c r="E507" s="92"/>
      <c r="F507" s="89"/>
      <c r="G507" s="89"/>
      <c r="H507" s="89"/>
      <c r="I507" s="89"/>
      <c r="J507" s="89"/>
      <c r="K507" s="89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</row>
    <row r="508" spans="2:23" s="14" customFormat="1" ht="17.100000000000001" customHeight="1">
      <c r="B508" s="89"/>
      <c r="C508" s="90"/>
      <c r="D508" s="91"/>
      <c r="E508" s="92"/>
      <c r="F508" s="89"/>
      <c r="G508" s="89"/>
      <c r="H508" s="89"/>
      <c r="I508" s="89"/>
      <c r="J508" s="89"/>
      <c r="K508" s="89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</row>
    <row r="509" spans="2:23" s="14" customFormat="1" ht="17.100000000000001" customHeight="1">
      <c r="B509" s="89"/>
      <c r="C509" s="90"/>
      <c r="D509" s="91"/>
      <c r="E509" s="92"/>
      <c r="F509" s="89"/>
      <c r="G509" s="89"/>
      <c r="H509" s="89"/>
      <c r="I509" s="89"/>
      <c r="J509" s="89"/>
      <c r="K509" s="89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</row>
    <row r="510" spans="2:23" s="14" customFormat="1" ht="17.100000000000001" customHeight="1">
      <c r="B510" s="89"/>
      <c r="C510" s="90"/>
      <c r="D510" s="91"/>
      <c r="E510" s="92"/>
      <c r="F510" s="89"/>
      <c r="G510" s="89"/>
      <c r="H510" s="89"/>
      <c r="I510" s="89"/>
      <c r="J510" s="89"/>
      <c r="K510" s="89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</row>
    <row r="511" spans="2:23" s="14" customFormat="1" ht="17.100000000000001" customHeight="1">
      <c r="B511" s="89"/>
      <c r="C511" s="90"/>
      <c r="D511" s="91"/>
      <c r="E511" s="92"/>
      <c r="F511" s="89"/>
      <c r="G511" s="89"/>
      <c r="H511" s="89"/>
      <c r="I511" s="89"/>
      <c r="J511" s="89"/>
      <c r="K511" s="89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</row>
    <row r="512" spans="2:23" s="14" customFormat="1" ht="17.100000000000001" customHeight="1">
      <c r="B512" s="89"/>
      <c r="C512" s="90"/>
      <c r="D512" s="91"/>
      <c r="E512" s="92"/>
      <c r="F512" s="89"/>
      <c r="G512" s="89"/>
      <c r="H512" s="89"/>
      <c r="I512" s="89"/>
      <c r="J512" s="89"/>
      <c r="K512" s="89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</row>
    <row r="513" spans="2:23" s="14" customFormat="1" ht="17.100000000000001" customHeight="1">
      <c r="B513" s="89"/>
      <c r="C513" s="90"/>
      <c r="D513" s="91"/>
      <c r="E513" s="92"/>
      <c r="F513" s="89"/>
      <c r="G513" s="89"/>
      <c r="H513" s="89"/>
      <c r="I513" s="89"/>
      <c r="J513" s="89"/>
      <c r="K513" s="89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</row>
    <row r="514" spans="2:23" s="14" customFormat="1" ht="17.100000000000001" customHeight="1">
      <c r="B514" s="89"/>
      <c r="C514" s="90"/>
      <c r="D514" s="91"/>
      <c r="E514" s="92"/>
      <c r="F514" s="89"/>
      <c r="G514" s="89"/>
      <c r="H514" s="89"/>
      <c r="I514" s="89"/>
      <c r="J514" s="89"/>
      <c r="K514" s="89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</row>
    <row r="515" spans="2:23" s="14" customFormat="1" ht="17.100000000000001" customHeight="1">
      <c r="B515" s="89"/>
      <c r="C515" s="90"/>
      <c r="D515" s="91"/>
      <c r="E515" s="92"/>
      <c r="F515" s="89"/>
      <c r="G515" s="89"/>
      <c r="H515" s="89"/>
      <c r="I515" s="89"/>
      <c r="J515" s="89"/>
      <c r="K515" s="89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</row>
    <row r="516" spans="2:23" s="14" customFormat="1" ht="17.100000000000001" customHeight="1">
      <c r="B516" s="89"/>
      <c r="C516" s="90"/>
      <c r="D516" s="91"/>
      <c r="E516" s="92"/>
      <c r="F516" s="89"/>
      <c r="G516" s="89"/>
      <c r="H516" s="89"/>
      <c r="I516" s="89"/>
      <c r="J516" s="89"/>
      <c r="K516" s="89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</row>
    <row r="517" spans="2:23" s="14" customFormat="1" ht="17.100000000000001" customHeight="1">
      <c r="B517" s="89"/>
      <c r="C517" s="90"/>
      <c r="D517" s="91"/>
      <c r="E517" s="92"/>
      <c r="F517" s="89"/>
      <c r="G517" s="89"/>
      <c r="H517" s="89"/>
      <c r="I517" s="89"/>
      <c r="J517" s="89"/>
      <c r="K517" s="89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</row>
    <row r="518" spans="2:23" s="14" customFormat="1" ht="17.100000000000001" customHeight="1">
      <c r="B518" s="89"/>
      <c r="C518" s="90"/>
      <c r="D518" s="91"/>
      <c r="E518" s="92"/>
      <c r="F518" s="89"/>
      <c r="G518" s="89"/>
      <c r="H518" s="89"/>
      <c r="I518" s="89"/>
      <c r="J518" s="89"/>
      <c r="K518" s="89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</row>
    <row r="519" spans="2:23" s="14" customFormat="1" ht="17.100000000000001" customHeight="1">
      <c r="B519" s="89"/>
      <c r="C519" s="90"/>
      <c r="D519" s="91"/>
      <c r="E519" s="92"/>
      <c r="F519" s="89"/>
      <c r="G519" s="89"/>
      <c r="H519" s="89"/>
      <c r="I519" s="89"/>
      <c r="J519" s="89"/>
      <c r="K519" s="89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</row>
    <row r="520" spans="2:23" s="14" customFormat="1" ht="17.100000000000001" customHeight="1">
      <c r="B520" s="89"/>
      <c r="C520" s="90"/>
      <c r="D520" s="91"/>
      <c r="E520" s="92"/>
      <c r="F520" s="89"/>
      <c r="G520" s="89"/>
      <c r="H520" s="89"/>
      <c r="I520" s="89"/>
      <c r="J520" s="89"/>
      <c r="K520" s="89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</row>
    <row r="521" spans="2:23" s="14" customFormat="1" ht="17.100000000000001" customHeight="1">
      <c r="B521" s="89"/>
      <c r="C521" s="90"/>
      <c r="D521" s="91"/>
      <c r="E521" s="92"/>
      <c r="F521" s="89"/>
      <c r="G521" s="89"/>
      <c r="H521" s="89"/>
      <c r="I521" s="89"/>
      <c r="J521" s="89"/>
      <c r="K521" s="89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</row>
    <row r="522" spans="2:23" s="14" customFormat="1" ht="17.100000000000001" customHeight="1">
      <c r="B522" s="89"/>
      <c r="C522" s="90"/>
      <c r="D522" s="91"/>
      <c r="E522" s="92"/>
      <c r="F522" s="89"/>
      <c r="G522" s="89"/>
      <c r="H522" s="89"/>
      <c r="I522" s="89"/>
      <c r="J522" s="89"/>
      <c r="K522" s="89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</row>
    <row r="523" spans="2:23" s="14" customFormat="1" ht="17.100000000000001" customHeight="1">
      <c r="B523" s="89"/>
      <c r="C523" s="90"/>
      <c r="D523" s="91"/>
      <c r="E523" s="92"/>
      <c r="F523" s="89"/>
      <c r="G523" s="89"/>
      <c r="H523" s="89"/>
      <c r="I523" s="89"/>
      <c r="J523" s="89"/>
      <c r="K523" s="89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</row>
    <row r="524" spans="2:23" s="14" customFormat="1" ht="17.100000000000001" customHeight="1">
      <c r="B524" s="89"/>
      <c r="C524" s="90"/>
      <c r="D524" s="91"/>
      <c r="E524" s="92"/>
      <c r="F524" s="89"/>
      <c r="G524" s="89"/>
      <c r="H524" s="89"/>
      <c r="I524" s="89"/>
      <c r="J524" s="89"/>
      <c r="K524" s="89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</row>
    <row r="525" spans="2:23" s="14" customFormat="1" ht="17.100000000000001" customHeight="1">
      <c r="B525" s="89"/>
      <c r="C525" s="90"/>
      <c r="D525" s="91"/>
      <c r="E525" s="92"/>
      <c r="F525" s="89"/>
      <c r="G525" s="89"/>
      <c r="H525" s="89"/>
      <c r="I525" s="89"/>
      <c r="J525" s="89"/>
      <c r="K525" s="89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</row>
    <row r="526" spans="2:23" s="14" customFormat="1" ht="17.100000000000001" customHeight="1">
      <c r="B526" s="89"/>
      <c r="C526" s="90"/>
      <c r="D526" s="91"/>
      <c r="E526" s="92"/>
      <c r="F526" s="89"/>
      <c r="G526" s="89"/>
      <c r="H526" s="89"/>
      <c r="I526" s="89"/>
      <c r="J526" s="89"/>
      <c r="K526" s="89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</row>
    <row r="527" spans="2:23" s="14" customFormat="1" ht="17.100000000000001" customHeight="1">
      <c r="B527" s="89"/>
      <c r="C527" s="90"/>
      <c r="D527" s="91"/>
      <c r="E527" s="92"/>
      <c r="F527" s="89"/>
      <c r="G527" s="89"/>
      <c r="H527" s="89"/>
      <c r="I527" s="89"/>
      <c r="J527" s="89"/>
      <c r="K527" s="89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</row>
    <row r="528" spans="2:23" s="14" customFormat="1" ht="17.100000000000001" customHeight="1">
      <c r="B528" s="89"/>
      <c r="C528" s="90"/>
      <c r="D528" s="91"/>
      <c r="E528" s="92"/>
      <c r="F528" s="89"/>
      <c r="G528" s="89"/>
      <c r="H528" s="89"/>
      <c r="I528" s="89"/>
      <c r="J528" s="89"/>
      <c r="K528" s="89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</row>
    <row r="529" spans="2:23" s="14" customFormat="1" ht="17.100000000000001" customHeight="1">
      <c r="B529" s="89"/>
      <c r="C529" s="90"/>
      <c r="D529" s="91"/>
      <c r="E529" s="92"/>
      <c r="F529" s="89"/>
      <c r="G529" s="89"/>
      <c r="H529" s="89"/>
      <c r="I529" s="89"/>
      <c r="J529" s="89"/>
      <c r="K529" s="89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</row>
    <row r="530" spans="2:23" s="14" customFormat="1" ht="17.100000000000001" customHeight="1">
      <c r="B530" s="89"/>
      <c r="C530" s="90"/>
      <c r="D530" s="91"/>
      <c r="E530" s="92"/>
      <c r="F530" s="89"/>
      <c r="G530" s="89"/>
      <c r="H530" s="89"/>
      <c r="I530" s="89"/>
      <c r="J530" s="89"/>
      <c r="K530" s="89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</row>
    <row r="531" spans="2:23" s="14" customFormat="1" ht="17.100000000000001" customHeight="1">
      <c r="B531" s="89"/>
      <c r="C531" s="90"/>
      <c r="D531" s="91"/>
      <c r="E531" s="92"/>
      <c r="F531" s="89"/>
      <c r="G531" s="89"/>
      <c r="H531" s="89"/>
      <c r="I531" s="89"/>
      <c r="J531" s="89"/>
      <c r="K531" s="89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</row>
    <row r="532" spans="2:23" s="14" customFormat="1" ht="17.100000000000001" customHeight="1">
      <c r="B532" s="89"/>
      <c r="C532" s="90"/>
      <c r="D532" s="91"/>
      <c r="E532" s="92"/>
      <c r="F532" s="89"/>
      <c r="G532" s="89"/>
      <c r="H532" s="89"/>
      <c r="I532" s="89"/>
      <c r="J532" s="89"/>
      <c r="K532" s="89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</row>
    <row r="533" spans="2:23" s="14" customFormat="1" ht="17.100000000000001" customHeight="1">
      <c r="B533" s="89"/>
      <c r="C533" s="90"/>
      <c r="D533" s="91"/>
      <c r="E533" s="92"/>
      <c r="F533" s="89"/>
      <c r="G533" s="89"/>
      <c r="H533" s="89"/>
      <c r="I533" s="89"/>
      <c r="J533" s="89"/>
      <c r="K533" s="89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</row>
    <row r="534" spans="2:23" s="14" customFormat="1" ht="17.100000000000001" customHeight="1">
      <c r="B534" s="89"/>
      <c r="C534" s="90"/>
      <c r="D534" s="91"/>
      <c r="E534" s="92"/>
      <c r="F534" s="89"/>
      <c r="G534" s="89"/>
      <c r="H534" s="89"/>
      <c r="I534" s="89"/>
      <c r="J534" s="89"/>
      <c r="K534" s="89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</row>
    <row r="535" spans="2:23" s="14" customFormat="1" ht="17.100000000000001" customHeight="1">
      <c r="B535" s="89"/>
      <c r="C535" s="90"/>
      <c r="D535" s="91"/>
      <c r="E535" s="92"/>
      <c r="F535" s="89"/>
      <c r="G535" s="89"/>
      <c r="H535" s="89"/>
      <c r="I535" s="89"/>
      <c r="J535" s="89"/>
      <c r="K535" s="89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</row>
    <row r="536" spans="2:23" s="14" customFormat="1" ht="17.100000000000001" customHeight="1">
      <c r="B536" s="89"/>
      <c r="C536" s="90"/>
      <c r="D536" s="91"/>
      <c r="E536" s="92"/>
      <c r="F536" s="89"/>
      <c r="G536" s="89"/>
      <c r="H536" s="89"/>
      <c r="I536" s="89"/>
      <c r="J536" s="89"/>
      <c r="K536" s="89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</row>
    <row r="537" spans="2:23" s="14" customFormat="1" ht="17.100000000000001" customHeight="1">
      <c r="B537" s="89"/>
      <c r="C537" s="90"/>
      <c r="D537" s="91"/>
      <c r="E537" s="92"/>
      <c r="F537" s="89"/>
      <c r="G537" s="89"/>
      <c r="H537" s="89"/>
      <c r="I537" s="89"/>
      <c r="J537" s="89"/>
      <c r="K537" s="89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</row>
    <row r="538" spans="2:23" s="14" customFormat="1" ht="17.100000000000001" customHeight="1">
      <c r="B538" s="89"/>
      <c r="C538" s="90"/>
      <c r="D538" s="91"/>
      <c r="E538" s="92"/>
      <c r="F538" s="89"/>
      <c r="G538" s="89"/>
      <c r="H538" s="89"/>
      <c r="I538" s="89"/>
      <c r="J538" s="89"/>
      <c r="K538" s="89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</row>
    <row r="539" spans="2:23" s="14" customFormat="1" ht="17.100000000000001" customHeight="1">
      <c r="B539" s="89"/>
      <c r="C539" s="90"/>
      <c r="D539" s="91"/>
      <c r="E539" s="92"/>
      <c r="F539" s="89"/>
      <c r="G539" s="89"/>
      <c r="H539" s="89"/>
      <c r="I539" s="89"/>
      <c r="J539" s="89"/>
      <c r="K539" s="89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</row>
    <row r="540" spans="2:23" s="14" customFormat="1" ht="17.100000000000001" customHeight="1">
      <c r="B540" s="89"/>
      <c r="C540" s="90"/>
      <c r="D540" s="91"/>
      <c r="E540" s="92"/>
      <c r="F540" s="89"/>
      <c r="G540" s="89"/>
      <c r="H540" s="89"/>
      <c r="I540" s="89"/>
      <c r="J540" s="89"/>
      <c r="K540" s="89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</row>
    <row r="541" spans="2:23" s="14" customFormat="1" ht="17.100000000000001" customHeight="1">
      <c r="B541" s="89"/>
      <c r="C541" s="90"/>
      <c r="D541" s="91"/>
      <c r="E541" s="92"/>
      <c r="F541" s="89"/>
      <c r="G541" s="89"/>
      <c r="H541" s="89"/>
      <c r="I541" s="89"/>
      <c r="J541" s="89"/>
      <c r="K541" s="89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</row>
    <row r="542" spans="2:23" s="14" customFormat="1" ht="17.100000000000001" customHeight="1">
      <c r="B542" s="89"/>
      <c r="C542" s="90"/>
      <c r="D542" s="91"/>
      <c r="E542" s="92"/>
      <c r="F542" s="89"/>
      <c r="G542" s="89"/>
      <c r="H542" s="89"/>
      <c r="I542" s="89"/>
      <c r="J542" s="89"/>
      <c r="K542" s="89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</row>
    <row r="543" spans="2:23" s="14" customFormat="1" ht="17.100000000000001" customHeight="1">
      <c r="B543" s="89"/>
      <c r="C543" s="90"/>
      <c r="D543" s="91"/>
      <c r="E543" s="92"/>
      <c r="F543" s="89"/>
      <c r="G543" s="89"/>
      <c r="H543" s="89"/>
      <c r="I543" s="89"/>
      <c r="J543" s="89"/>
      <c r="K543" s="89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</row>
    <row r="544" spans="2:23" s="14" customFormat="1" ht="17.100000000000001" customHeight="1">
      <c r="B544" s="89"/>
      <c r="C544" s="90"/>
      <c r="D544" s="91"/>
      <c r="E544" s="92"/>
      <c r="F544" s="89"/>
      <c r="G544" s="89"/>
      <c r="H544" s="89"/>
      <c r="I544" s="89"/>
      <c r="J544" s="89"/>
      <c r="K544" s="89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</row>
    <row r="545" spans="2:23" s="14" customFormat="1" ht="17.100000000000001" customHeight="1">
      <c r="B545" s="89"/>
      <c r="C545" s="90"/>
      <c r="D545" s="91"/>
      <c r="E545" s="92"/>
      <c r="F545" s="89"/>
      <c r="G545" s="89"/>
      <c r="H545" s="89"/>
      <c r="I545" s="89"/>
      <c r="J545" s="89"/>
      <c r="K545" s="89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</row>
    <row r="546" spans="2:23" s="14" customFormat="1" ht="17.100000000000001" customHeight="1">
      <c r="B546" s="89"/>
      <c r="C546" s="90"/>
      <c r="D546" s="91"/>
      <c r="E546" s="92"/>
      <c r="F546" s="89"/>
      <c r="G546" s="89"/>
      <c r="H546" s="89"/>
      <c r="I546" s="89"/>
      <c r="J546" s="89"/>
      <c r="K546" s="89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</row>
    <row r="547" spans="2:23" s="14" customFormat="1" ht="17.100000000000001" customHeight="1">
      <c r="B547" s="89"/>
      <c r="C547" s="90"/>
      <c r="D547" s="91"/>
      <c r="E547" s="92"/>
      <c r="F547" s="89"/>
      <c r="G547" s="89"/>
      <c r="H547" s="89"/>
      <c r="I547" s="89"/>
      <c r="J547" s="89"/>
      <c r="K547" s="89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</row>
    <row r="548" spans="2:23" s="14" customFormat="1" ht="17.100000000000001" customHeight="1">
      <c r="B548" s="89"/>
      <c r="C548" s="90"/>
      <c r="D548" s="91"/>
      <c r="E548" s="92"/>
      <c r="F548" s="89"/>
      <c r="G548" s="89"/>
      <c r="H548" s="89"/>
      <c r="I548" s="89"/>
      <c r="J548" s="89"/>
      <c r="K548" s="89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</row>
    <row r="549" spans="2:23" s="14" customFormat="1" ht="17.100000000000001" customHeight="1">
      <c r="B549" s="89"/>
      <c r="C549" s="90"/>
      <c r="D549" s="91"/>
      <c r="E549" s="92"/>
      <c r="F549" s="89"/>
      <c r="G549" s="89"/>
      <c r="H549" s="89"/>
      <c r="I549" s="89"/>
      <c r="J549" s="89"/>
      <c r="K549" s="89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</row>
    <row r="550" spans="2:23" s="14" customFormat="1" ht="17.100000000000001" customHeight="1">
      <c r="B550" s="89"/>
      <c r="C550" s="90"/>
      <c r="D550" s="91"/>
      <c r="E550" s="92"/>
      <c r="F550" s="89"/>
      <c r="G550" s="89"/>
      <c r="H550" s="89"/>
      <c r="I550" s="89"/>
      <c r="J550" s="89"/>
      <c r="K550" s="89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</row>
    <row r="551" spans="2:23" s="14" customFormat="1" ht="17.100000000000001" customHeight="1">
      <c r="B551" s="89"/>
      <c r="C551" s="90"/>
      <c r="D551" s="91"/>
      <c r="E551" s="92"/>
      <c r="F551" s="89"/>
      <c r="G551" s="89"/>
      <c r="H551" s="89"/>
      <c r="I551" s="89"/>
      <c r="J551" s="89"/>
      <c r="K551" s="89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</row>
    <row r="552" spans="2:23" s="14" customFormat="1" ht="17.100000000000001" customHeight="1">
      <c r="B552" s="89"/>
      <c r="C552" s="90"/>
      <c r="D552" s="91"/>
      <c r="E552" s="92"/>
      <c r="F552" s="89"/>
      <c r="G552" s="89"/>
      <c r="H552" s="89"/>
      <c r="I552" s="89"/>
      <c r="J552" s="89"/>
      <c r="K552" s="89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</row>
    <row r="553" spans="2:23" s="14" customFormat="1" ht="17.100000000000001" customHeight="1">
      <c r="B553" s="89"/>
      <c r="C553" s="90"/>
      <c r="D553" s="91"/>
      <c r="E553" s="92"/>
      <c r="F553" s="89"/>
      <c r="G553" s="89"/>
      <c r="H553" s="89"/>
      <c r="I553" s="89"/>
      <c r="J553" s="89"/>
      <c r="K553" s="89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</row>
    <row r="554" spans="2:23" s="14" customFormat="1" ht="17.100000000000001" customHeight="1">
      <c r="B554" s="89"/>
      <c r="C554" s="90"/>
      <c r="D554" s="91"/>
      <c r="E554" s="92"/>
      <c r="F554" s="89"/>
      <c r="G554" s="89"/>
      <c r="H554" s="89"/>
      <c r="I554" s="89"/>
      <c r="J554" s="89"/>
      <c r="K554" s="89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</row>
    <row r="555" spans="2:23" s="14" customFormat="1" ht="17.100000000000001" customHeight="1">
      <c r="B555" s="89"/>
      <c r="C555" s="90"/>
      <c r="D555" s="91"/>
      <c r="E555" s="92"/>
      <c r="F555" s="89"/>
      <c r="G555" s="89"/>
      <c r="H555" s="89"/>
      <c r="I555" s="89"/>
      <c r="J555" s="89"/>
      <c r="K555" s="89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</row>
    <row r="556" spans="2:23" s="14" customFormat="1" ht="17.100000000000001" customHeight="1">
      <c r="B556" s="89"/>
      <c r="C556" s="90"/>
      <c r="D556" s="91"/>
      <c r="E556" s="92"/>
      <c r="F556" s="89"/>
      <c r="G556" s="89"/>
      <c r="H556" s="89"/>
      <c r="I556" s="89"/>
      <c r="J556" s="89"/>
      <c r="K556" s="89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</row>
    <row r="557" spans="2:23" s="14" customFormat="1" ht="17.100000000000001" customHeight="1">
      <c r="B557" s="89"/>
      <c r="C557" s="90"/>
      <c r="D557" s="91"/>
      <c r="E557" s="92"/>
      <c r="F557" s="89"/>
      <c r="G557" s="89"/>
      <c r="H557" s="89"/>
      <c r="I557" s="89"/>
      <c r="J557" s="89"/>
      <c r="K557" s="89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</row>
    <row r="558" spans="2:23" s="14" customFormat="1" ht="17.100000000000001" customHeight="1">
      <c r="B558" s="89"/>
      <c r="C558" s="90"/>
      <c r="D558" s="91"/>
      <c r="E558" s="92"/>
      <c r="F558" s="89"/>
      <c r="G558" s="89"/>
      <c r="H558" s="89"/>
      <c r="I558" s="89"/>
      <c r="J558" s="89"/>
      <c r="K558" s="89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</row>
    <row r="559" spans="2:23" s="14" customFormat="1" ht="17.100000000000001" customHeight="1">
      <c r="B559" s="89"/>
      <c r="C559" s="90"/>
      <c r="D559" s="91"/>
      <c r="E559" s="92"/>
      <c r="F559" s="89"/>
      <c r="G559" s="89"/>
      <c r="H559" s="89"/>
      <c r="I559" s="89"/>
      <c r="J559" s="89"/>
      <c r="K559" s="89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</row>
    <row r="560" spans="2:23" s="14" customFormat="1" ht="17.100000000000001" customHeight="1">
      <c r="B560" s="89"/>
      <c r="C560" s="90"/>
      <c r="D560" s="91"/>
      <c r="E560" s="92"/>
      <c r="F560" s="89"/>
      <c r="G560" s="89"/>
      <c r="H560" s="89"/>
      <c r="I560" s="89"/>
      <c r="J560" s="89"/>
      <c r="K560" s="89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</row>
    <row r="561" spans="2:23" s="14" customFormat="1" ht="17.100000000000001" customHeight="1">
      <c r="B561" s="89"/>
      <c r="C561" s="90"/>
      <c r="D561" s="91"/>
      <c r="E561" s="92"/>
      <c r="F561" s="89"/>
      <c r="G561" s="89"/>
      <c r="H561" s="89"/>
      <c r="I561" s="89"/>
      <c r="J561" s="89"/>
      <c r="K561" s="89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</row>
    <row r="562" spans="2:23" s="14" customFormat="1" ht="17.100000000000001" customHeight="1">
      <c r="B562" s="89"/>
      <c r="C562" s="90"/>
      <c r="D562" s="91"/>
      <c r="E562" s="92"/>
      <c r="F562" s="89"/>
      <c r="G562" s="89"/>
      <c r="H562" s="89"/>
      <c r="I562" s="89"/>
      <c r="J562" s="89"/>
      <c r="K562" s="89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</row>
    <row r="563" spans="2:23" s="14" customFormat="1" ht="17.100000000000001" customHeight="1">
      <c r="B563" s="89"/>
      <c r="C563" s="90"/>
      <c r="D563" s="91"/>
      <c r="E563" s="92"/>
      <c r="F563" s="89"/>
      <c r="G563" s="89"/>
      <c r="H563" s="89"/>
      <c r="I563" s="89"/>
      <c r="J563" s="89"/>
      <c r="K563" s="89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</row>
    <row r="564" spans="2:23" s="14" customFormat="1" ht="17.100000000000001" customHeight="1">
      <c r="B564" s="89"/>
      <c r="C564" s="90"/>
      <c r="D564" s="91"/>
      <c r="E564" s="92"/>
      <c r="F564" s="89"/>
      <c r="G564" s="89"/>
      <c r="H564" s="89"/>
      <c r="I564" s="89"/>
      <c r="J564" s="89"/>
      <c r="K564" s="89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</row>
    <row r="565" spans="2:23" s="14" customFormat="1" ht="17.100000000000001" customHeight="1">
      <c r="B565" s="89"/>
      <c r="C565" s="90"/>
      <c r="D565" s="91"/>
      <c r="E565" s="92"/>
      <c r="F565" s="89"/>
      <c r="G565" s="89"/>
      <c r="H565" s="89"/>
      <c r="I565" s="89"/>
      <c r="J565" s="89"/>
      <c r="K565" s="89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</row>
    <row r="566" spans="2:23" s="14" customFormat="1" ht="17.100000000000001" customHeight="1">
      <c r="B566" s="89"/>
      <c r="C566" s="90"/>
      <c r="D566" s="91"/>
      <c r="E566" s="92"/>
      <c r="F566" s="89"/>
      <c r="G566" s="89"/>
      <c r="H566" s="89"/>
      <c r="I566" s="89"/>
      <c r="J566" s="89"/>
      <c r="K566" s="89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</row>
    <row r="567" spans="2:23" s="14" customFormat="1" ht="17.100000000000001" customHeight="1">
      <c r="B567" s="89"/>
      <c r="C567" s="90"/>
      <c r="D567" s="91"/>
      <c r="E567" s="92"/>
      <c r="F567" s="89"/>
      <c r="G567" s="89"/>
      <c r="H567" s="89"/>
      <c r="I567" s="89"/>
      <c r="J567" s="89"/>
      <c r="K567" s="89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</row>
    <row r="568" spans="2:23" s="14" customFormat="1" ht="17.100000000000001" customHeight="1">
      <c r="B568" s="89"/>
      <c r="C568" s="90"/>
      <c r="D568" s="91"/>
      <c r="E568" s="92"/>
      <c r="F568" s="89"/>
      <c r="G568" s="89"/>
      <c r="H568" s="89"/>
      <c r="I568" s="89"/>
      <c r="J568" s="89"/>
      <c r="K568" s="89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</row>
    <row r="569" spans="2:23" s="14" customFormat="1" ht="17.100000000000001" customHeight="1">
      <c r="B569" s="89"/>
      <c r="C569" s="90"/>
      <c r="D569" s="91"/>
      <c r="E569" s="92"/>
      <c r="F569" s="89"/>
      <c r="G569" s="89"/>
      <c r="H569" s="89"/>
      <c r="I569" s="89"/>
      <c r="J569" s="89"/>
      <c r="K569" s="89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</row>
    <row r="570" spans="2:23" s="14" customFormat="1" ht="17.100000000000001" customHeight="1">
      <c r="B570" s="89"/>
      <c r="C570" s="90"/>
      <c r="D570" s="91"/>
      <c r="E570" s="92"/>
      <c r="F570" s="89"/>
      <c r="G570" s="89"/>
      <c r="H570" s="89"/>
      <c r="I570" s="89"/>
      <c r="J570" s="89"/>
      <c r="K570" s="89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</row>
    <row r="571" spans="2:23" s="14" customFormat="1" ht="17.100000000000001" customHeight="1">
      <c r="B571" s="89"/>
      <c r="C571" s="90"/>
      <c r="D571" s="91"/>
      <c r="E571" s="92"/>
      <c r="F571" s="89"/>
      <c r="G571" s="89"/>
      <c r="H571" s="89"/>
      <c r="I571" s="89"/>
      <c r="J571" s="89"/>
      <c r="K571" s="89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</row>
    <row r="572" spans="2:23" s="14" customFormat="1" ht="17.100000000000001" customHeight="1">
      <c r="B572" s="89"/>
      <c r="C572" s="90"/>
      <c r="D572" s="91"/>
      <c r="E572" s="92"/>
      <c r="F572" s="89"/>
      <c r="G572" s="89"/>
      <c r="H572" s="89"/>
      <c r="I572" s="89"/>
      <c r="J572" s="89"/>
      <c r="K572" s="89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</row>
    <row r="573" spans="2:23" s="14" customFormat="1" ht="17.100000000000001" customHeight="1">
      <c r="B573" s="89"/>
      <c r="C573" s="90"/>
      <c r="D573" s="91"/>
      <c r="E573" s="92"/>
      <c r="F573" s="89"/>
      <c r="G573" s="89"/>
      <c r="H573" s="89"/>
      <c r="I573" s="89"/>
      <c r="J573" s="89"/>
      <c r="K573" s="89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</row>
    <row r="574" spans="2:23" s="14" customFormat="1" ht="17.100000000000001" customHeight="1">
      <c r="B574" s="89"/>
      <c r="C574" s="90"/>
      <c r="D574" s="91"/>
      <c r="E574" s="92"/>
      <c r="F574" s="89"/>
      <c r="G574" s="89"/>
      <c r="H574" s="89"/>
      <c r="I574" s="89"/>
      <c r="J574" s="89"/>
      <c r="K574" s="89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</row>
    <row r="575" spans="2:23" s="14" customFormat="1" ht="17.100000000000001" customHeight="1">
      <c r="B575" s="89"/>
      <c r="C575" s="90"/>
      <c r="D575" s="91"/>
      <c r="E575" s="92"/>
      <c r="F575" s="89"/>
      <c r="G575" s="89"/>
      <c r="H575" s="89"/>
      <c r="I575" s="89"/>
      <c r="J575" s="89"/>
      <c r="K575" s="89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</row>
    <row r="576" spans="2:23" s="14" customFormat="1" ht="17.100000000000001" customHeight="1">
      <c r="B576" s="89"/>
      <c r="C576" s="90"/>
      <c r="D576" s="91"/>
      <c r="E576" s="92"/>
      <c r="F576" s="89"/>
      <c r="G576" s="89"/>
      <c r="H576" s="89"/>
      <c r="I576" s="89"/>
      <c r="J576" s="89"/>
      <c r="K576" s="89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</row>
    <row r="577" spans="2:23" s="14" customFormat="1" ht="17.100000000000001" customHeight="1">
      <c r="B577" s="89"/>
      <c r="C577" s="90"/>
      <c r="D577" s="91"/>
      <c r="E577" s="92"/>
      <c r="F577" s="89"/>
      <c r="G577" s="89"/>
      <c r="H577" s="89"/>
      <c r="I577" s="89"/>
      <c r="J577" s="89"/>
      <c r="K577" s="89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</row>
    <row r="578" spans="2:23" s="14" customFormat="1" ht="17.100000000000001" customHeight="1">
      <c r="B578" s="89"/>
      <c r="C578" s="90"/>
      <c r="D578" s="91"/>
      <c r="E578" s="92"/>
      <c r="F578" s="89"/>
      <c r="G578" s="89"/>
      <c r="H578" s="89"/>
      <c r="I578" s="89"/>
      <c r="J578" s="89"/>
      <c r="K578" s="89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</row>
    <row r="579" spans="2:23" s="14" customFormat="1" ht="17.100000000000001" customHeight="1">
      <c r="B579" s="89"/>
      <c r="C579" s="90"/>
      <c r="D579" s="91"/>
      <c r="E579" s="92"/>
      <c r="F579" s="89"/>
      <c r="G579" s="89"/>
      <c r="H579" s="89"/>
      <c r="I579" s="89"/>
      <c r="J579" s="89"/>
      <c r="K579" s="89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</row>
    <row r="580" spans="2:23" s="14" customFormat="1" ht="17.100000000000001" customHeight="1">
      <c r="B580" s="89"/>
      <c r="C580" s="90"/>
      <c r="D580" s="91"/>
      <c r="E580" s="92"/>
      <c r="F580" s="89"/>
      <c r="G580" s="89"/>
      <c r="H580" s="89"/>
      <c r="I580" s="89"/>
      <c r="J580" s="89"/>
      <c r="K580" s="89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</row>
    <row r="581" spans="2:23" s="14" customFormat="1" ht="17.100000000000001" customHeight="1">
      <c r="B581" s="89"/>
      <c r="C581" s="90"/>
      <c r="D581" s="91"/>
      <c r="E581" s="92"/>
      <c r="F581" s="89"/>
      <c r="G581" s="89"/>
      <c r="H581" s="89"/>
      <c r="I581" s="89"/>
      <c r="J581" s="89"/>
      <c r="K581" s="89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</row>
    <row r="582" spans="2:23" s="14" customFormat="1" ht="17.100000000000001" customHeight="1">
      <c r="B582" s="89"/>
      <c r="C582" s="90"/>
      <c r="D582" s="91"/>
      <c r="E582" s="92"/>
      <c r="F582" s="89"/>
      <c r="G582" s="89"/>
      <c r="H582" s="89"/>
      <c r="I582" s="89"/>
      <c r="J582" s="89"/>
      <c r="K582" s="89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</row>
    <row r="583" spans="2:23" s="14" customFormat="1" ht="17.100000000000001" customHeight="1">
      <c r="B583" s="89"/>
      <c r="C583" s="90"/>
      <c r="D583" s="91"/>
      <c r="E583" s="92"/>
      <c r="F583" s="89"/>
      <c r="G583" s="89"/>
      <c r="H583" s="89"/>
      <c r="I583" s="89"/>
      <c r="J583" s="89"/>
      <c r="K583" s="89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</row>
    <row r="584" spans="2:23" s="14" customFormat="1" ht="17.100000000000001" customHeight="1">
      <c r="B584" s="89"/>
      <c r="C584" s="90"/>
      <c r="D584" s="91"/>
      <c r="E584" s="92"/>
      <c r="F584" s="89"/>
      <c r="G584" s="89"/>
      <c r="H584" s="89"/>
      <c r="I584" s="89"/>
      <c r="J584" s="89"/>
      <c r="K584" s="89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</row>
    <row r="585" spans="2:23" s="14" customFormat="1" ht="17.100000000000001" customHeight="1">
      <c r="B585" s="89"/>
      <c r="C585" s="90"/>
      <c r="D585" s="91"/>
      <c r="E585" s="92"/>
      <c r="F585" s="89"/>
      <c r="G585" s="89"/>
      <c r="H585" s="89"/>
      <c r="I585" s="89"/>
      <c r="J585" s="89"/>
      <c r="K585" s="89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</row>
    <row r="586" spans="2:23" s="14" customFormat="1" ht="17.100000000000001" customHeight="1">
      <c r="B586" s="89"/>
      <c r="C586" s="90"/>
      <c r="D586" s="91"/>
      <c r="E586" s="92"/>
      <c r="F586" s="89"/>
      <c r="G586" s="89"/>
      <c r="H586" s="89"/>
      <c r="I586" s="89"/>
      <c r="J586" s="89"/>
      <c r="K586" s="89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</row>
    <row r="587" spans="2:23" s="14" customFormat="1" ht="17.100000000000001" customHeight="1">
      <c r="B587" s="89"/>
      <c r="C587" s="90"/>
      <c r="D587" s="91"/>
      <c r="E587" s="92"/>
      <c r="F587" s="89"/>
      <c r="G587" s="89"/>
      <c r="H587" s="89"/>
      <c r="I587" s="89"/>
      <c r="J587" s="89"/>
      <c r="K587" s="89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</row>
    <row r="588" spans="2:23" s="14" customFormat="1" ht="17.100000000000001" customHeight="1">
      <c r="B588" s="89"/>
      <c r="C588" s="90"/>
      <c r="D588" s="91"/>
      <c r="E588" s="92"/>
      <c r="F588" s="89"/>
      <c r="G588" s="89"/>
      <c r="H588" s="89"/>
      <c r="I588" s="89"/>
      <c r="J588" s="89"/>
      <c r="K588" s="89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</row>
    <row r="589" spans="2:23" s="14" customFormat="1" ht="17.100000000000001" customHeight="1">
      <c r="B589" s="89"/>
      <c r="C589" s="90"/>
      <c r="D589" s="91"/>
      <c r="E589" s="92"/>
      <c r="F589" s="89"/>
      <c r="G589" s="89"/>
      <c r="H589" s="89"/>
      <c r="I589" s="89"/>
      <c r="J589" s="89"/>
      <c r="K589" s="89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</row>
    <row r="590" spans="2:23" s="14" customFormat="1" ht="17.100000000000001" customHeight="1">
      <c r="B590" s="89"/>
      <c r="C590" s="90"/>
      <c r="D590" s="91"/>
      <c r="E590" s="92"/>
      <c r="F590" s="89"/>
      <c r="G590" s="89"/>
      <c r="H590" s="89"/>
      <c r="I590" s="89"/>
      <c r="J590" s="89"/>
      <c r="K590" s="89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</row>
    <row r="591" spans="2:23" s="14" customFormat="1" ht="17.100000000000001" customHeight="1">
      <c r="B591" s="89"/>
      <c r="C591" s="90"/>
      <c r="D591" s="91"/>
      <c r="E591" s="92"/>
      <c r="F591" s="89"/>
      <c r="G591" s="89"/>
      <c r="H591" s="89"/>
      <c r="I591" s="89"/>
      <c r="J591" s="89"/>
      <c r="K591" s="89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</row>
    <row r="592" spans="2:23" s="14" customFormat="1" ht="17.100000000000001" customHeight="1">
      <c r="B592" s="89"/>
      <c r="C592" s="90"/>
      <c r="D592" s="91"/>
      <c r="E592" s="92"/>
      <c r="F592" s="89"/>
      <c r="G592" s="89"/>
      <c r="H592" s="89"/>
      <c r="I592" s="89"/>
      <c r="J592" s="89"/>
      <c r="K592" s="89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</row>
    <row r="593" spans="2:23" s="14" customFormat="1" ht="17.100000000000001" customHeight="1">
      <c r="B593" s="89"/>
      <c r="C593" s="90"/>
      <c r="D593" s="91"/>
      <c r="E593" s="92"/>
      <c r="F593" s="89"/>
      <c r="G593" s="89"/>
      <c r="H593" s="89"/>
      <c r="I593" s="89"/>
      <c r="J593" s="89"/>
      <c r="K593" s="89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</row>
    <row r="594" spans="2:23" s="14" customFormat="1" ht="17.100000000000001" customHeight="1">
      <c r="B594" s="89"/>
      <c r="C594" s="90"/>
      <c r="D594" s="91"/>
      <c r="E594" s="92"/>
      <c r="F594" s="89"/>
      <c r="G594" s="89"/>
      <c r="H594" s="89"/>
      <c r="I594" s="89"/>
      <c r="J594" s="89"/>
      <c r="K594" s="89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</row>
    <row r="595" spans="2:23" s="14" customFormat="1" ht="17.100000000000001" customHeight="1">
      <c r="B595" s="89"/>
      <c r="C595" s="90"/>
      <c r="D595" s="91"/>
      <c r="E595" s="92"/>
      <c r="F595" s="89"/>
      <c r="G595" s="89"/>
      <c r="H595" s="89"/>
      <c r="I595" s="89"/>
      <c r="J595" s="89"/>
      <c r="K595" s="89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</row>
    <row r="596" spans="2:23" s="14" customFormat="1" ht="17.100000000000001" customHeight="1">
      <c r="B596" s="89"/>
      <c r="C596" s="90"/>
      <c r="D596" s="91"/>
      <c r="E596" s="92"/>
      <c r="F596" s="89"/>
      <c r="G596" s="89"/>
      <c r="H596" s="89"/>
      <c r="I596" s="89"/>
      <c r="J596" s="89"/>
      <c r="K596" s="89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</row>
    <row r="597" spans="2:23" s="14" customFormat="1" ht="17.100000000000001" customHeight="1">
      <c r="B597" s="89"/>
      <c r="C597" s="90"/>
      <c r="D597" s="91"/>
      <c r="E597" s="92"/>
      <c r="F597" s="89"/>
      <c r="G597" s="89"/>
      <c r="H597" s="89"/>
      <c r="I597" s="89"/>
      <c r="J597" s="89"/>
      <c r="K597" s="89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</row>
    <row r="598" spans="2:23" s="14" customFormat="1" ht="17.100000000000001" customHeight="1">
      <c r="B598" s="89"/>
      <c r="C598" s="90"/>
      <c r="D598" s="91"/>
      <c r="E598" s="92"/>
      <c r="F598" s="89"/>
      <c r="G598" s="89"/>
      <c r="H598" s="89"/>
      <c r="I598" s="89"/>
      <c r="J598" s="89"/>
      <c r="K598" s="89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</row>
    <row r="599" spans="2:23" s="14" customFormat="1" ht="17.100000000000001" customHeight="1">
      <c r="B599" s="89"/>
      <c r="C599" s="90"/>
      <c r="D599" s="91"/>
      <c r="E599" s="92"/>
      <c r="F599" s="89"/>
      <c r="G599" s="89"/>
      <c r="H599" s="89"/>
      <c r="I599" s="89"/>
      <c r="J599" s="89"/>
      <c r="K599" s="89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</row>
    <row r="600" spans="2:23" s="14" customFormat="1" ht="17.100000000000001" customHeight="1">
      <c r="B600" s="89"/>
      <c r="C600" s="90"/>
      <c r="D600" s="91"/>
      <c r="E600" s="92"/>
      <c r="F600" s="89"/>
      <c r="G600" s="89"/>
      <c r="H600" s="89"/>
      <c r="I600" s="89"/>
      <c r="J600" s="89"/>
      <c r="K600" s="89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</row>
    <row r="601" spans="2:23" s="14" customFormat="1" ht="17.100000000000001" customHeight="1">
      <c r="B601" s="89"/>
      <c r="C601" s="90"/>
      <c r="D601" s="91"/>
      <c r="E601" s="92"/>
      <c r="F601" s="89"/>
      <c r="G601" s="89"/>
      <c r="H601" s="89"/>
      <c r="I601" s="89"/>
      <c r="J601" s="89"/>
      <c r="K601" s="89"/>
      <c r="L601" s="93"/>
      <c r="M601" s="93"/>
      <c r="N601" s="93"/>
      <c r="O601" s="93"/>
      <c r="P601" s="93"/>
      <c r="Q601" s="93"/>
      <c r="R601" s="93"/>
      <c r="S601" s="93"/>
      <c r="T601" s="93"/>
      <c r="U601" s="93"/>
      <c r="V601" s="93"/>
      <c r="W601" s="93"/>
    </row>
    <row r="602" spans="2:23" s="14" customFormat="1" ht="17.100000000000001" customHeight="1">
      <c r="B602" s="89"/>
      <c r="C602" s="90"/>
      <c r="D602" s="91"/>
      <c r="E602" s="92"/>
      <c r="F602" s="89"/>
      <c r="G602" s="89"/>
      <c r="H602" s="89"/>
      <c r="I602" s="89"/>
      <c r="J602" s="89"/>
      <c r="K602" s="89"/>
      <c r="L602" s="93"/>
      <c r="M602" s="93"/>
      <c r="N602" s="93"/>
      <c r="O602" s="93"/>
      <c r="P602" s="93"/>
      <c r="Q602" s="93"/>
      <c r="R602" s="93"/>
      <c r="S602" s="93"/>
      <c r="T602" s="93"/>
      <c r="U602" s="93"/>
      <c r="V602" s="93"/>
      <c r="W602" s="93"/>
    </row>
    <row r="603" spans="2:23" s="14" customFormat="1" ht="17.100000000000001" customHeight="1">
      <c r="B603" s="89"/>
      <c r="C603" s="90"/>
      <c r="D603" s="91"/>
      <c r="E603" s="92"/>
      <c r="F603" s="89"/>
      <c r="G603" s="89"/>
      <c r="H603" s="89"/>
      <c r="I603" s="89"/>
      <c r="J603" s="89"/>
      <c r="K603" s="89"/>
      <c r="L603" s="93"/>
      <c r="M603" s="93"/>
      <c r="N603" s="93"/>
      <c r="O603" s="93"/>
      <c r="P603" s="93"/>
      <c r="Q603" s="93"/>
      <c r="R603" s="93"/>
      <c r="S603" s="93"/>
      <c r="T603" s="93"/>
      <c r="U603" s="93"/>
      <c r="V603" s="93"/>
      <c r="W603" s="93"/>
    </row>
    <row r="604" spans="2:23" s="14" customFormat="1" ht="17.100000000000001" customHeight="1">
      <c r="B604" s="89"/>
      <c r="C604" s="90"/>
      <c r="D604" s="91"/>
      <c r="E604" s="92"/>
      <c r="F604" s="89"/>
      <c r="G604" s="89"/>
      <c r="H604" s="89"/>
      <c r="I604" s="89"/>
      <c r="J604" s="89"/>
      <c r="K604" s="89"/>
      <c r="L604" s="93"/>
      <c r="M604" s="93"/>
      <c r="N604" s="93"/>
      <c r="O604" s="93"/>
      <c r="P604" s="93"/>
      <c r="Q604" s="93"/>
      <c r="R604" s="93"/>
      <c r="S604" s="93"/>
      <c r="T604" s="93"/>
      <c r="U604" s="93"/>
      <c r="V604" s="93"/>
      <c r="W604" s="93"/>
    </row>
    <row r="605" spans="2:23" s="14" customFormat="1" ht="17.100000000000001" customHeight="1">
      <c r="B605" s="89"/>
      <c r="C605" s="90"/>
      <c r="D605" s="91"/>
      <c r="E605" s="92"/>
      <c r="F605" s="89"/>
      <c r="G605" s="89"/>
      <c r="H605" s="89"/>
      <c r="I605" s="89"/>
      <c r="J605" s="89"/>
      <c r="K605" s="89"/>
      <c r="L605" s="93"/>
      <c r="M605" s="93"/>
      <c r="N605" s="93"/>
      <c r="O605" s="93"/>
      <c r="P605" s="93"/>
      <c r="Q605" s="93"/>
      <c r="R605" s="93"/>
      <c r="S605" s="93"/>
      <c r="T605" s="93"/>
      <c r="U605" s="93"/>
      <c r="V605" s="93"/>
      <c r="W605" s="93"/>
    </row>
    <row r="606" spans="2:23" s="14" customFormat="1" ht="17.100000000000001" customHeight="1">
      <c r="B606" s="89"/>
      <c r="C606" s="90"/>
      <c r="D606" s="91"/>
      <c r="E606" s="92"/>
      <c r="F606" s="89"/>
      <c r="G606" s="89"/>
      <c r="H606" s="89"/>
      <c r="I606" s="89"/>
      <c r="J606" s="89"/>
      <c r="K606" s="89"/>
      <c r="L606" s="93"/>
      <c r="M606" s="93"/>
      <c r="N606" s="93"/>
      <c r="O606" s="93"/>
      <c r="P606" s="93"/>
      <c r="Q606" s="93"/>
      <c r="R606" s="93"/>
      <c r="S606" s="93"/>
      <c r="T606" s="93"/>
      <c r="U606" s="93"/>
      <c r="V606" s="93"/>
      <c r="W606" s="93"/>
    </row>
    <row r="607" spans="2:23" s="14" customFormat="1" ht="17.100000000000001" customHeight="1">
      <c r="B607" s="89"/>
      <c r="C607" s="90"/>
      <c r="D607" s="91"/>
      <c r="E607" s="92"/>
      <c r="F607" s="89"/>
      <c r="G607" s="89"/>
      <c r="H607" s="89"/>
      <c r="I607" s="89"/>
      <c r="J607" s="89"/>
      <c r="K607" s="89"/>
      <c r="L607" s="93"/>
      <c r="M607" s="93"/>
      <c r="N607" s="93"/>
      <c r="O607" s="93"/>
      <c r="P607" s="93"/>
      <c r="Q607" s="93"/>
      <c r="R607" s="93"/>
      <c r="S607" s="93"/>
      <c r="T607" s="93"/>
      <c r="U607" s="93"/>
      <c r="V607" s="93"/>
      <c r="W607" s="93"/>
    </row>
    <row r="608" spans="2:23" s="14" customFormat="1" ht="17.100000000000001" customHeight="1">
      <c r="B608" s="89"/>
      <c r="C608" s="90"/>
      <c r="D608" s="91"/>
      <c r="E608" s="92"/>
      <c r="F608" s="89"/>
      <c r="G608" s="89"/>
      <c r="H608" s="89"/>
      <c r="I608" s="89"/>
      <c r="J608" s="89"/>
      <c r="K608" s="89"/>
      <c r="L608" s="93"/>
      <c r="M608" s="93"/>
      <c r="N608" s="93"/>
      <c r="O608" s="93"/>
      <c r="P608" s="93"/>
      <c r="Q608" s="93"/>
      <c r="R608" s="93"/>
      <c r="S608" s="93"/>
      <c r="T608" s="93"/>
      <c r="U608" s="93"/>
      <c r="V608" s="93"/>
      <c r="W608" s="93"/>
    </row>
    <row r="609" spans="2:23" s="14" customFormat="1" ht="17.100000000000001" customHeight="1">
      <c r="B609" s="89"/>
      <c r="C609" s="90"/>
      <c r="D609" s="91"/>
      <c r="E609" s="92"/>
      <c r="F609" s="89"/>
      <c r="G609" s="89"/>
      <c r="H609" s="89"/>
      <c r="I609" s="89"/>
      <c r="J609" s="89"/>
      <c r="K609" s="89"/>
      <c r="L609" s="93"/>
      <c r="M609" s="93"/>
      <c r="N609" s="93"/>
      <c r="O609" s="93"/>
      <c r="P609" s="93"/>
      <c r="Q609" s="93"/>
      <c r="R609" s="93"/>
      <c r="S609" s="93"/>
      <c r="T609" s="93"/>
      <c r="U609" s="93"/>
      <c r="V609" s="93"/>
      <c r="W609" s="93"/>
    </row>
    <row r="610" spans="2:23" s="14" customFormat="1" ht="17.100000000000001" customHeight="1">
      <c r="B610" s="89"/>
      <c r="C610" s="90"/>
      <c r="D610" s="91"/>
      <c r="E610" s="92"/>
      <c r="F610" s="89"/>
      <c r="G610" s="89"/>
      <c r="H610" s="89"/>
      <c r="I610" s="89"/>
      <c r="J610" s="89"/>
      <c r="K610" s="89"/>
      <c r="L610" s="93"/>
      <c r="M610" s="93"/>
      <c r="N610" s="93"/>
      <c r="O610" s="93"/>
      <c r="P610" s="93"/>
      <c r="Q610" s="93"/>
      <c r="R610" s="93"/>
      <c r="S610" s="93"/>
      <c r="T610" s="93"/>
      <c r="U610" s="93"/>
      <c r="V610" s="93"/>
      <c r="W610" s="93"/>
    </row>
    <row r="611" spans="2:23" s="14" customFormat="1" ht="17.100000000000001" customHeight="1">
      <c r="B611" s="89"/>
      <c r="C611" s="90"/>
      <c r="D611" s="91"/>
      <c r="E611" s="92"/>
      <c r="F611" s="89"/>
      <c r="G611" s="89"/>
      <c r="H611" s="89"/>
      <c r="I611" s="89"/>
      <c r="J611" s="89"/>
      <c r="K611" s="89"/>
      <c r="L611" s="93"/>
      <c r="M611" s="93"/>
      <c r="N611" s="93"/>
      <c r="O611" s="93"/>
      <c r="P611" s="93"/>
      <c r="Q611" s="93"/>
      <c r="R611" s="93"/>
      <c r="S611" s="93"/>
      <c r="T611" s="93"/>
      <c r="U611" s="93"/>
      <c r="V611" s="93"/>
      <c r="W611" s="93"/>
    </row>
    <row r="612" spans="2:23" s="14" customFormat="1" ht="17.100000000000001" customHeight="1">
      <c r="B612" s="89"/>
      <c r="C612" s="90"/>
      <c r="D612" s="91"/>
      <c r="E612" s="92"/>
      <c r="F612" s="89"/>
      <c r="G612" s="89"/>
      <c r="H612" s="89"/>
      <c r="I612" s="89"/>
      <c r="J612" s="89"/>
      <c r="K612" s="89"/>
      <c r="L612" s="93"/>
      <c r="M612" s="93"/>
      <c r="N612" s="93"/>
      <c r="O612" s="93"/>
      <c r="P612" s="93"/>
      <c r="Q612" s="93"/>
      <c r="R612" s="93"/>
      <c r="S612" s="93"/>
      <c r="T612" s="93"/>
      <c r="U612" s="93"/>
      <c r="V612" s="93"/>
      <c r="W612" s="93"/>
    </row>
    <row r="613" spans="2:23" s="14" customFormat="1" ht="17.100000000000001" customHeight="1">
      <c r="B613" s="89"/>
      <c r="C613" s="90"/>
      <c r="D613" s="91"/>
      <c r="E613" s="92"/>
      <c r="F613" s="89"/>
      <c r="G613" s="89"/>
      <c r="H613" s="89"/>
      <c r="I613" s="89"/>
      <c r="J613" s="89"/>
      <c r="K613" s="89"/>
      <c r="L613" s="93"/>
      <c r="M613" s="93"/>
      <c r="N613" s="93"/>
      <c r="O613" s="93"/>
      <c r="P613" s="93"/>
      <c r="Q613" s="93"/>
      <c r="R613" s="93"/>
      <c r="S613" s="93"/>
      <c r="T613" s="93"/>
      <c r="U613" s="93"/>
      <c r="V613" s="93"/>
      <c r="W613" s="93"/>
    </row>
    <row r="614" spans="2:23" s="14" customFormat="1" ht="17.100000000000001" customHeight="1">
      <c r="B614" s="89"/>
      <c r="C614" s="90"/>
      <c r="D614" s="91"/>
      <c r="E614" s="92"/>
      <c r="F614" s="89"/>
      <c r="G614" s="89"/>
      <c r="H614" s="89"/>
      <c r="I614" s="89"/>
      <c r="J614" s="89"/>
      <c r="K614" s="89"/>
      <c r="L614" s="93"/>
      <c r="M614" s="93"/>
      <c r="N614" s="93"/>
      <c r="O614" s="93"/>
      <c r="P614" s="93"/>
      <c r="Q614" s="93"/>
      <c r="R614" s="93"/>
      <c r="S614" s="93"/>
      <c r="T614" s="93"/>
      <c r="U614" s="93"/>
      <c r="V614" s="93"/>
      <c r="W614" s="93"/>
    </row>
    <row r="615" spans="2:23" s="14" customFormat="1" ht="17.100000000000001" customHeight="1">
      <c r="B615" s="89"/>
      <c r="C615" s="90"/>
      <c r="D615" s="91"/>
      <c r="E615" s="92"/>
      <c r="F615" s="89"/>
      <c r="G615" s="89"/>
      <c r="H615" s="89"/>
      <c r="I615" s="89"/>
      <c r="J615" s="89"/>
      <c r="K615" s="89"/>
      <c r="L615" s="93"/>
      <c r="M615" s="93"/>
      <c r="N615" s="93"/>
      <c r="O615" s="93"/>
      <c r="P615" s="93"/>
      <c r="Q615" s="93"/>
      <c r="R615" s="93"/>
      <c r="S615" s="93"/>
      <c r="T615" s="93"/>
      <c r="U615" s="93"/>
      <c r="V615" s="93"/>
      <c r="W615" s="93"/>
    </row>
    <row r="616" spans="2:23" s="14" customFormat="1" ht="17.100000000000001" customHeight="1">
      <c r="B616" s="89"/>
      <c r="C616" s="90"/>
      <c r="D616" s="91"/>
      <c r="E616" s="92"/>
      <c r="F616" s="89"/>
      <c r="G616" s="89"/>
      <c r="H616" s="89"/>
      <c r="I616" s="89"/>
      <c r="J616" s="89"/>
      <c r="K616" s="89"/>
      <c r="L616" s="93"/>
      <c r="M616" s="93"/>
      <c r="N616" s="93"/>
      <c r="O616" s="93"/>
      <c r="P616" s="93"/>
      <c r="Q616" s="93"/>
      <c r="R616" s="93"/>
      <c r="S616" s="93"/>
      <c r="T616" s="93"/>
      <c r="U616" s="93"/>
      <c r="V616" s="93"/>
      <c r="W616" s="93"/>
    </row>
    <row r="617" spans="2:23" s="14" customFormat="1" ht="17.100000000000001" customHeight="1">
      <c r="B617" s="89"/>
      <c r="C617" s="90"/>
      <c r="D617" s="91"/>
      <c r="E617" s="92"/>
      <c r="F617" s="89"/>
      <c r="G617" s="89"/>
      <c r="H617" s="89"/>
      <c r="I617" s="89"/>
      <c r="J617" s="89"/>
      <c r="K617" s="89"/>
      <c r="L617" s="93"/>
      <c r="M617" s="93"/>
      <c r="N617" s="93"/>
      <c r="O617" s="93"/>
      <c r="P617" s="93"/>
      <c r="Q617" s="93"/>
      <c r="R617" s="93"/>
      <c r="S617" s="93"/>
      <c r="T617" s="93"/>
      <c r="U617" s="93"/>
      <c r="V617" s="93"/>
      <c r="W617" s="93"/>
    </row>
    <row r="618" spans="2:23" s="14" customFormat="1" ht="17.100000000000001" customHeight="1">
      <c r="B618" s="89"/>
      <c r="C618" s="90"/>
      <c r="D618" s="91"/>
      <c r="E618" s="92"/>
      <c r="F618" s="89"/>
      <c r="G618" s="89"/>
      <c r="H618" s="89"/>
      <c r="I618" s="89"/>
      <c r="J618" s="89"/>
      <c r="K618" s="89"/>
      <c r="L618" s="93"/>
      <c r="M618" s="93"/>
      <c r="N618" s="93"/>
      <c r="O618" s="93"/>
      <c r="P618" s="93"/>
      <c r="Q618" s="93"/>
      <c r="R618" s="93"/>
      <c r="S618" s="93"/>
      <c r="T618" s="93"/>
      <c r="U618" s="93"/>
      <c r="V618" s="93"/>
      <c r="W618" s="93"/>
    </row>
    <row r="619" spans="2:23" s="14" customFormat="1" ht="17.100000000000001" customHeight="1">
      <c r="B619" s="89"/>
      <c r="C619" s="90"/>
      <c r="D619" s="91"/>
      <c r="E619" s="92"/>
      <c r="F619" s="89"/>
      <c r="G619" s="89"/>
      <c r="H619" s="89"/>
      <c r="I619" s="89"/>
      <c r="J619" s="89"/>
      <c r="K619" s="89"/>
      <c r="L619" s="93"/>
      <c r="M619" s="93"/>
      <c r="N619" s="93"/>
      <c r="O619" s="93"/>
      <c r="P619" s="93"/>
      <c r="Q619" s="93"/>
      <c r="R619" s="93"/>
      <c r="S619" s="93"/>
      <c r="T619" s="93"/>
      <c r="U619" s="93"/>
      <c r="V619" s="93"/>
      <c r="W619" s="93"/>
    </row>
    <row r="620" spans="2:23" s="14" customFormat="1" ht="17.100000000000001" customHeight="1">
      <c r="B620" s="89"/>
      <c r="C620" s="90"/>
      <c r="D620" s="91"/>
      <c r="E620" s="92"/>
      <c r="F620" s="89"/>
      <c r="G620" s="89"/>
      <c r="H620" s="89"/>
      <c r="I620" s="89"/>
      <c r="J620" s="89"/>
      <c r="K620" s="89"/>
      <c r="L620" s="93"/>
      <c r="M620" s="93"/>
      <c r="N620" s="93"/>
      <c r="O620" s="93"/>
      <c r="P620" s="93"/>
      <c r="Q620" s="93"/>
      <c r="R620" s="93"/>
      <c r="S620" s="93"/>
      <c r="T620" s="93"/>
      <c r="U620" s="93"/>
      <c r="V620" s="93"/>
      <c r="W620" s="93"/>
    </row>
    <row r="621" spans="2:23" s="14" customFormat="1" ht="17.100000000000001" customHeight="1">
      <c r="B621" s="89"/>
      <c r="C621" s="90"/>
      <c r="D621" s="91"/>
      <c r="E621" s="92"/>
      <c r="F621" s="89"/>
      <c r="G621" s="89"/>
      <c r="H621" s="89"/>
      <c r="I621" s="89"/>
      <c r="J621" s="89"/>
      <c r="K621" s="89"/>
      <c r="L621" s="93"/>
      <c r="M621" s="93"/>
      <c r="N621" s="93"/>
      <c r="O621" s="93"/>
      <c r="P621" s="93"/>
      <c r="Q621" s="93"/>
      <c r="R621" s="93"/>
      <c r="S621" s="93"/>
      <c r="T621" s="93"/>
      <c r="U621" s="93"/>
      <c r="V621" s="93"/>
      <c r="W621" s="93"/>
    </row>
    <row r="622" spans="2:23" s="14" customFormat="1" ht="17.100000000000001" customHeight="1">
      <c r="B622" s="89"/>
      <c r="C622" s="90"/>
      <c r="D622" s="91"/>
      <c r="E622" s="92"/>
      <c r="F622" s="89"/>
      <c r="G622" s="89"/>
      <c r="H622" s="89"/>
      <c r="I622" s="89"/>
      <c r="J622" s="89"/>
      <c r="K622" s="89"/>
      <c r="L622" s="93"/>
      <c r="M622" s="93"/>
      <c r="N622" s="93"/>
      <c r="O622" s="93"/>
      <c r="P622" s="93"/>
      <c r="Q622" s="93"/>
      <c r="R622" s="93"/>
      <c r="S622" s="93"/>
      <c r="T622" s="93"/>
      <c r="U622" s="93"/>
      <c r="V622" s="93"/>
      <c r="W622" s="93"/>
    </row>
    <row r="623" spans="2:23" s="14" customFormat="1" ht="17.100000000000001" customHeight="1">
      <c r="B623" s="89"/>
      <c r="C623" s="90"/>
      <c r="D623" s="91"/>
      <c r="E623" s="92"/>
      <c r="F623" s="89"/>
      <c r="G623" s="89"/>
      <c r="H623" s="89"/>
      <c r="I623" s="89"/>
      <c r="J623" s="89"/>
      <c r="K623" s="89"/>
      <c r="L623" s="93"/>
      <c r="M623" s="93"/>
      <c r="N623" s="93"/>
      <c r="O623" s="93"/>
      <c r="P623" s="93"/>
      <c r="Q623" s="93"/>
      <c r="R623" s="93"/>
      <c r="S623" s="93"/>
      <c r="T623" s="93"/>
      <c r="U623" s="93"/>
      <c r="V623" s="93"/>
      <c r="W623" s="93"/>
    </row>
    <row r="624" spans="2:23" s="14" customFormat="1" ht="17.100000000000001" customHeight="1">
      <c r="B624" s="89"/>
      <c r="C624" s="90"/>
      <c r="D624" s="91"/>
      <c r="E624" s="92"/>
      <c r="F624" s="89"/>
      <c r="G624" s="89"/>
      <c r="H624" s="89"/>
      <c r="I624" s="89"/>
      <c r="J624" s="89"/>
      <c r="K624" s="89"/>
      <c r="L624" s="93"/>
      <c r="M624" s="93"/>
      <c r="N624" s="93"/>
      <c r="O624" s="93"/>
      <c r="P624" s="93"/>
      <c r="Q624" s="93"/>
      <c r="R624" s="93"/>
      <c r="S624" s="93"/>
      <c r="T624" s="93"/>
      <c r="U624" s="93"/>
      <c r="V624" s="93"/>
      <c r="W624" s="93"/>
    </row>
    <row r="625" spans="2:23" s="14" customFormat="1" ht="17.100000000000001" customHeight="1">
      <c r="B625" s="89"/>
      <c r="C625" s="90"/>
      <c r="D625" s="91"/>
      <c r="E625" s="92"/>
      <c r="F625" s="89"/>
      <c r="G625" s="89"/>
      <c r="H625" s="89"/>
      <c r="I625" s="89"/>
      <c r="J625" s="89"/>
      <c r="K625" s="89"/>
      <c r="L625" s="93"/>
      <c r="M625" s="93"/>
      <c r="N625" s="93"/>
      <c r="O625" s="93"/>
      <c r="P625" s="93"/>
      <c r="Q625" s="93"/>
      <c r="R625" s="93"/>
      <c r="S625" s="93"/>
      <c r="T625" s="93"/>
      <c r="U625" s="93"/>
      <c r="V625" s="93"/>
      <c r="W625" s="93"/>
    </row>
    <row r="626" spans="2:23" s="14" customFormat="1" ht="17.100000000000001" customHeight="1">
      <c r="B626" s="89"/>
      <c r="C626" s="90"/>
      <c r="D626" s="91"/>
      <c r="E626" s="92"/>
      <c r="F626" s="89"/>
      <c r="G626" s="89"/>
      <c r="H626" s="89"/>
      <c r="I626" s="89"/>
      <c r="J626" s="89"/>
      <c r="K626" s="89"/>
      <c r="L626" s="93"/>
      <c r="M626" s="93"/>
      <c r="N626" s="93"/>
      <c r="O626" s="93"/>
      <c r="P626" s="93"/>
      <c r="Q626" s="93"/>
      <c r="R626" s="93"/>
      <c r="S626" s="93"/>
      <c r="T626" s="93"/>
      <c r="U626" s="93"/>
      <c r="V626" s="93"/>
      <c r="W626" s="93"/>
    </row>
    <row r="627" spans="2:23" s="14" customFormat="1" ht="17.100000000000001" customHeight="1">
      <c r="B627" s="89"/>
      <c r="C627" s="90"/>
      <c r="D627" s="91"/>
      <c r="E627" s="92"/>
      <c r="F627" s="89"/>
      <c r="G627" s="89"/>
      <c r="H627" s="89"/>
      <c r="I627" s="89"/>
      <c r="J627" s="89"/>
      <c r="K627" s="89"/>
      <c r="L627" s="93"/>
      <c r="M627" s="93"/>
      <c r="N627" s="93"/>
      <c r="O627" s="93"/>
      <c r="P627" s="93"/>
      <c r="Q627" s="93"/>
      <c r="R627" s="93"/>
      <c r="S627" s="93"/>
      <c r="T627" s="93"/>
      <c r="U627" s="93"/>
      <c r="V627" s="93"/>
      <c r="W627" s="93"/>
    </row>
    <row r="628" spans="2:23" s="14" customFormat="1" ht="17.100000000000001" customHeight="1">
      <c r="B628" s="89"/>
      <c r="C628" s="90"/>
      <c r="D628" s="91"/>
      <c r="E628" s="92"/>
      <c r="F628" s="89"/>
      <c r="G628" s="89"/>
      <c r="H628" s="89"/>
      <c r="I628" s="89"/>
      <c r="J628" s="89"/>
      <c r="K628" s="89"/>
      <c r="L628" s="93"/>
      <c r="M628" s="93"/>
      <c r="N628" s="93"/>
      <c r="O628" s="93"/>
      <c r="P628" s="93"/>
      <c r="Q628" s="93"/>
      <c r="R628" s="93"/>
      <c r="S628" s="93"/>
      <c r="T628" s="93"/>
      <c r="U628" s="93"/>
      <c r="V628" s="93"/>
      <c r="W628" s="93"/>
    </row>
    <row r="629" spans="2:23" s="14" customFormat="1" ht="17.100000000000001" customHeight="1">
      <c r="B629" s="89"/>
      <c r="C629" s="90"/>
      <c r="D629" s="91"/>
      <c r="E629" s="92"/>
      <c r="F629" s="89"/>
      <c r="G629" s="89"/>
      <c r="H629" s="89"/>
      <c r="I629" s="89"/>
      <c r="J629" s="89"/>
      <c r="K629" s="89"/>
      <c r="L629" s="93"/>
      <c r="M629" s="93"/>
      <c r="N629" s="93"/>
      <c r="O629" s="93"/>
      <c r="P629" s="93"/>
      <c r="Q629" s="93"/>
      <c r="R629" s="93"/>
      <c r="S629" s="93"/>
      <c r="T629" s="93"/>
      <c r="U629" s="93"/>
      <c r="V629" s="93"/>
      <c r="W629" s="93"/>
    </row>
    <row r="630" spans="2:23" s="14" customFormat="1" ht="17.100000000000001" customHeight="1">
      <c r="B630" s="89"/>
      <c r="C630" s="90"/>
      <c r="D630" s="91"/>
      <c r="E630" s="92"/>
      <c r="F630" s="89"/>
      <c r="G630" s="89"/>
      <c r="H630" s="89"/>
      <c r="I630" s="89"/>
      <c r="J630" s="89"/>
      <c r="K630" s="89"/>
      <c r="L630" s="93"/>
      <c r="M630" s="93"/>
      <c r="N630" s="93"/>
      <c r="O630" s="93"/>
      <c r="P630" s="93"/>
      <c r="Q630" s="93"/>
      <c r="R630" s="93"/>
      <c r="S630" s="93"/>
      <c r="T630" s="93"/>
      <c r="U630" s="93"/>
      <c r="V630" s="93"/>
      <c r="W630" s="93"/>
    </row>
    <row r="631" spans="2:23" s="14" customFormat="1" ht="17.100000000000001" customHeight="1">
      <c r="B631" s="89"/>
      <c r="C631" s="90"/>
      <c r="D631" s="91"/>
      <c r="E631" s="92"/>
      <c r="F631" s="89"/>
      <c r="G631" s="89"/>
      <c r="H631" s="89"/>
      <c r="I631" s="89"/>
      <c r="J631" s="89"/>
      <c r="K631" s="89"/>
      <c r="L631" s="93"/>
      <c r="M631" s="93"/>
      <c r="N631" s="93"/>
      <c r="O631" s="93"/>
      <c r="P631" s="93"/>
      <c r="Q631" s="93"/>
      <c r="R631" s="93"/>
      <c r="S631" s="93"/>
      <c r="T631" s="93"/>
      <c r="U631" s="93"/>
      <c r="V631" s="93"/>
      <c r="W631" s="93"/>
    </row>
    <row r="632" spans="2:23" s="14" customFormat="1" ht="17.100000000000001" customHeight="1">
      <c r="B632" s="89"/>
      <c r="C632" s="90"/>
      <c r="D632" s="91"/>
      <c r="E632" s="92"/>
      <c r="F632" s="89"/>
      <c r="G632" s="89"/>
      <c r="H632" s="89"/>
      <c r="I632" s="89"/>
      <c r="J632" s="89"/>
      <c r="K632" s="89"/>
      <c r="L632" s="93"/>
      <c r="M632" s="93"/>
      <c r="N632" s="93"/>
      <c r="O632" s="93"/>
      <c r="P632" s="93"/>
      <c r="Q632" s="93"/>
      <c r="R632" s="93"/>
      <c r="S632" s="93"/>
      <c r="T632" s="93"/>
      <c r="U632" s="93"/>
      <c r="V632" s="93"/>
      <c r="W632" s="93"/>
    </row>
    <row r="633" spans="2:23" s="14" customFormat="1" ht="17.100000000000001" customHeight="1">
      <c r="B633" s="89"/>
      <c r="C633" s="90"/>
      <c r="D633" s="91"/>
      <c r="E633" s="92"/>
      <c r="F633" s="89"/>
      <c r="G633" s="89"/>
      <c r="H633" s="89"/>
      <c r="I633" s="89"/>
      <c r="J633" s="89"/>
      <c r="K633" s="89"/>
      <c r="L633" s="93"/>
      <c r="M633" s="93"/>
      <c r="N633" s="93"/>
      <c r="O633" s="93"/>
      <c r="P633" s="93"/>
      <c r="Q633" s="93"/>
      <c r="R633" s="93"/>
      <c r="S633" s="93"/>
      <c r="T633" s="93"/>
      <c r="U633" s="93"/>
      <c r="V633" s="93"/>
      <c r="W633" s="93"/>
    </row>
    <row r="634" spans="2:23" s="14" customFormat="1" ht="17.100000000000001" customHeight="1">
      <c r="B634" s="89"/>
      <c r="C634" s="90"/>
      <c r="D634" s="91"/>
      <c r="E634" s="92"/>
      <c r="F634" s="89"/>
      <c r="G634" s="89"/>
      <c r="H634" s="89"/>
      <c r="I634" s="89"/>
      <c r="J634" s="89"/>
      <c r="K634" s="89"/>
      <c r="L634" s="93"/>
      <c r="M634" s="93"/>
      <c r="N634" s="93"/>
      <c r="O634" s="93"/>
      <c r="P634" s="93"/>
      <c r="Q634" s="93"/>
      <c r="R634" s="93"/>
      <c r="S634" s="93"/>
      <c r="T634" s="93"/>
      <c r="U634" s="93"/>
      <c r="V634" s="93"/>
      <c r="W634" s="93"/>
    </row>
    <row r="635" spans="2:23" s="14" customFormat="1" ht="17.100000000000001" customHeight="1">
      <c r="B635" s="89"/>
      <c r="C635" s="90"/>
      <c r="D635" s="91"/>
      <c r="E635" s="92"/>
      <c r="F635" s="89"/>
      <c r="G635" s="89"/>
      <c r="H635" s="89"/>
      <c r="I635" s="89"/>
      <c r="J635" s="89"/>
      <c r="K635" s="89"/>
      <c r="L635" s="93"/>
      <c r="M635" s="93"/>
      <c r="N635" s="93"/>
      <c r="O635" s="93"/>
      <c r="P635" s="93"/>
      <c r="Q635" s="93"/>
      <c r="R635" s="93"/>
      <c r="S635" s="93"/>
      <c r="T635" s="93"/>
      <c r="U635" s="93"/>
      <c r="V635" s="93"/>
      <c r="W635" s="93"/>
    </row>
    <row r="636" spans="2:23" s="14" customFormat="1" ht="17.100000000000001" customHeight="1">
      <c r="B636" s="89"/>
      <c r="C636" s="90"/>
      <c r="D636" s="91"/>
      <c r="E636" s="92"/>
      <c r="F636" s="89"/>
      <c r="G636" s="89"/>
      <c r="H636" s="89"/>
      <c r="I636" s="89"/>
      <c r="J636" s="89"/>
      <c r="K636" s="89"/>
      <c r="L636" s="93"/>
      <c r="M636" s="93"/>
      <c r="N636" s="93"/>
      <c r="O636" s="93"/>
      <c r="P636" s="93"/>
      <c r="Q636" s="93"/>
      <c r="R636" s="93"/>
      <c r="S636" s="93"/>
      <c r="T636" s="93"/>
      <c r="U636" s="93"/>
      <c r="V636" s="93"/>
      <c r="W636" s="93"/>
    </row>
    <row r="637" spans="2:23" s="14" customFormat="1" ht="17.100000000000001" customHeight="1">
      <c r="B637" s="89"/>
      <c r="C637" s="90"/>
      <c r="D637" s="91"/>
      <c r="E637" s="92"/>
      <c r="F637" s="89"/>
      <c r="G637" s="89"/>
      <c r="H637" s="89"/>
      <c r="I637" s="89"/>
      <c r="J637" s="89"/>
      <c r="K637" s="89"/>
      <c r="L637" s="93"/>
      <c r="M637" s="93"/>
      <c r="N637" s="93"/>
      <c r="O637" s="93"/>
      <c r="P637" s="93"/>
      <c r="Q637" s="93"/>
      <c r="R637" s="93"/>
      <c r="S637" s="93"/>
      <c r="T637" s="93"/>
      <c r="U637" s="93"/>
      <c r="V637" s="93"/>
      <c r="W637" s="93"/>
    </row>
    <row r="638" spans="2:23" s="14" customFormat="1" ht="17.100000000000001" customHeight="1">
      <c r="B638" s="89"/>
      <c r="C638" s="90"/>
      <c r="D638" s="91"/>
      <c r="E638" s="92"/>
      <c r="F638" s="89"/>
      <c r="G638" s="89"/>
      <c r="H638" s="89"/>
      <c r="I638" s="89"/>
      <c r="J638" s="89"/>
      <c r="K638" s="89"/>
      <c r="L638" s="93"/>
      <c r="M638" s="93"/>
      <c r="N638" s="93"/>
      <c r="O638" s="93"/>
      <c r="P638" s="93"/>
      <c r="Q638" s="93"/>
      <c r="R638" s="93"/>
      <c r="S638" s="93"/>
      <c r="T638" s="93"/>
      <c r="U638" s="93"/>
      <c r="V638" s="93"/>
      <c r="W638" s="93"/>
    </row>
    <row r="639" spans="2:23" s="14" customFormat="1" ht="17.100000000000001" customHeight="1">
      <c r="B639" s="89"/>
      <c r="C639" s="90"/>
      <c r="D639" s="91"/>
      <c r="E639" s="92"/>
      <c r="F639" s="89"/>
      <c r="G639" s="89"/>
      <c r="H639" s="89"/>
      <c r="I639" s="89"/>
      <c r="J639" s="89"/>
      <c r="K639" s="89"/>
      <c r="L639" s="93"/>
      <c r="M639" s="93"/>
      <c r="N639" s="93"/>
      <c r="O639" s="93"/>
      <c r="P639" s="93"/>
      <c r="Q639" s="93"/>
      <c r="R639" s="93"/>
      <c r="S639" s="93"/>
      <c r="T639" s="93"/>
      <c r="U639" s="93"/>
      <c r="V639" s="93"/>
      <c r="W639" s="93"/>
    </row>
    <row r="640" spans="2:23" s="14" customFormat="1" ht="17.100000000000001" customHeight="1">
      <c r="B640" s="89"/>
      <c r="C640" s="90"/>
      <c r="D640" s="91"/>
      <c r="E640" s="92"/>
      <c r="F640" s="89"/>
      <c r="G640" s="89"/>
      <c r="H640" s="89"/>
      <c r="I640" s="89"/>
      <c r="J640" s="89"/>
      <c r="K640" s="89"/>
      <c r="L640" s="93"/>
      <c r="M640" s="93"/>
      <c r="N640" s="93"/>
      <c r="O640" s="93"/>
      <c r="P640" s="93"/>
      <c r="Q640" s="93"/>
      <c r="R640" s="93"/>
      <c r="S640" s="93"/>
      <c r="T640" s="93"/>
      <c r="U640" s="93"/>
      <c r="V640" s="93"/>
      <c r="W640" s="93"/>
    </row>
    <row r="641" spans="2:23" s="14" customFormat="1" ht="17.100000000000001" customHeight="1">
      <c r="B641" s="89"/>
      <c r="C641" s="90"/>
      <c r="D641" s="91"/>
      <c r="E641" s="92"/>
      <c r="F641" s="89"/>
      <c r="G641" s="89"/>
      <c r="H641" s="89"/>
      <c r="I641" s="89"/>
      <c r="J641" s="89"/>
      <c r="K641" s="89"/>
      <c r="L641" s="93"/>
      <c r="M641" s="93"/>
      <c r="N641" s="93"/>
      <c r="O641" s="93"/>
      <c r="P641" s="93"/>
      <c r="Q641" s="93"/>
      <c r="R641" s="93"/>
      <c r="S641" s="93"/>
      <c r="T641" s="93"/>
      <c r="U641" s="93"/>
      <c r="V641" s="93"/>
      <c r="W641" s="93"/>
    </row>
    <row r="642" spans="2:23" s="14" customFormat="1" ht="17.100000000000001" customHeight="1">
      <c r="B642" s="89"/>
      <c r="C642" s="90"/>
      <c r="D642" s="91"/>
      <c r="E642" s="92"/>
      <c r="F642" s="89"/>
      <c r="G642" s="89"/>
      <c r="H642" s="89"/>
      <c r="I642" s="89"/>
      <c r="J642" s="89"/>
      <c r="K642" s="89"/>
      <c r="L642" s="93"/>
      <c r="M642" s="93"/>
      <c r="N642" s="93"/>
      <c r="O642" s="93"/>
      <c r="P642" s="93"/>
      <c r="Q642" s="93"/>
      <c r="R642" s="93"/>
      <c r="S642" s="93"/>
      <c r="T642" s="93"/>
      <c r="U642" s="93"/>
      <c r="V642" s="93"/>
      <c r="W642" s="93"/>
    </row>
    <row r="643" spans="2:23" s="14" customFormat="1" ht="17.100000000000001" customHeight="1">
      <c r="B643" s="89"/>
      <c r="C643" s="90"/>
      <c r="D643" s="91"/>
      <c r="E643" s="92"/>
      <c r="F643" s="89"/>
      <c r="G643" s="89"/>
      <c r="H643" s="89"/>
      <c r="I643" s="89"/>
      <c r="J643" s="89"/>
      <c r="K643" s="89"/>
      <c r="L643" s="93"/>
      <c r="M643" s="93"/>
      <c r="N643" s="93"/>
      <c r="O643" s="93"/>
      <c r="P643" s="93"/>
      <c r="Q643" s="93"/>
      <c r="R643" s="93"/>
      <c r="S643" s="93"/>
      <c r="T643" s="93"/>
      <c r="U643" s="93"/>
      <c r="V643" s="93"/>
      <c r="W643" s="93"/>
    </row>
    <row r="644" spans="2:23" s="14" customFormat="1" ht="17.100000000000001" customHeight="1">
      <c r="B644" s="89"/>
      <c r="C644" s="90"/>
      <c r="D644" s="91"/>
      <c r="E644" s="92"/>
      <c r="F644" s="89"/>
      <c r="G644" s="89"/>
      <c r="H644" s="89"/>
      <c r="I644" s="89"/>
      <c r="J644" s="89"/>
      <c r="K644" s="89"/>
      <c r="L644" s="93"/>
      <c r="M644" s="93"/>
      <c r="N644" s="93"/>
      <c r="O644" s="93"/>
      <c r="P644" s="93"/>
      <c r="Q644" s="93"/>
      <c r="R644" s="93"/>
      <c r="S644" s="93"/>
      <c r="T644" s="93"/>
      <c r="U644" s="93"/>
      <c r="V644" s="93"/>
      <c r="W644" s="93"/>
    </row>
    <row r="645" spans="2:23" s="14" customFormat="1" ht="17.100000000000001" customHeight="1">
      <c r="B645" s="89"/>
      <c r="C645" s="90"/>
      <c r="D645" s="91"/>
      <c r="E645" s="92"/>
      <c r="F645" s="89"/>
      <c r="G645" s="89"/>
      <c r="H645" s="89"/>
      <c r="I645" s="89"/>
      <c r="J645" s="89"/>
      <c r="K645" s="89"/>
      <c r="L645" s="93"/>
      <c r="M645" s="93"/>
      <c r="N645" s="93"/>
      <c r="O645" s="93"/>
      <c r="P645" s="93"/>
      <c r="Q645" s="93"/>
      <c r="R645" s="93"/>
      <c r="S645" s="93"/>
      <c r="T645" s="93"/>
      <c r="U645" s="93"/>
      <c r="V645" s="93"/>
      <c r="W645" s="93"/>
    </row>
    <row r="646" spans="2:23" s="14" customFormat="1" ht="17.100000000000001" customHeight="1">
      <c r="B646" s="89"/>
      <c r="C646" s="90"/>
      <c r="D646" s="91"/>
      <c r="E646" s="92"/>
      <c r="F646" s="89"/>
      <c r="G646" s="89"/>
      <c r="H646" s="89"/>
      <c r="I646" s="89"/>
      <c r="J646" s="89"/>
      <c r="K646" s="89"/>
      <c r="L646" s="93"/>
      <c r="M646" s="93"/>
      <c r="N646" s="93"/>
      <c r="O646" s="93"/>
      <c r="P646" s="93"/>
      <c r="Q646" s="93"/>
      <c r="R646" s="93"/>
      <c r="S646" s="93"/>
      <c r="T646" s="93"/>
      <c r="U646" s="93"/>
      <c r="V646" s="93"/>
      <c r="W646" s="93"/>
    </row>
    <row r="647" spans="2:23" s="14" customFormat="1" ht="17.100000000000001" customHeight="1">
      <c r="B647" s="89"/>
      <c r="C647" s="90"/>
      <c r="D647" s="91"/>
      <c r="E647" s="92"/>
      <c r="F647" s="89"/>
      <c r="G647" s="89"/>
      <c r="H647" s="89"/>
      <c r="I647" s="89"/>
      <c r="J647" s="89"/>
      <c r="K647" s="89"/>
      <c r="L647" s="93"/>
      <c r="M647" s="93"/>
      <c r="N647" s="93"/>
      <c r="O647" s="93"/>
      <c r="P647" s="93"/>
      <c r="Q647" s="93"/>
      <c r="R647" s="93"/>
      <c r="S647" s="93"/>
      <c r="T647" s="93"/>
      <c r="U647" s="93"/>
      <c r="V647" s="93"/>
      <c r="W647" s="93"/>
    </row>
    <row r="648" spans="2:23" s="14" customFormat="1" ht="17.100000000000001" customHeight="1">
      <c r="B648" s="89"/>
      <c r="C648" s="90"/>
      <c r="D648" s="91"/>
      <c r="E648" s="92"/>
      <c r="F648" s="89"/>
      <c r="G648" s="89"/>
      <c r="H648" s="89"/>
      <c r="I648" s="89"/>
      <c r="J648" s="89"/>
      <c r="K648" s="89"/>
      <c r="L648" s="93"/>
      <c r="M648" s="93"/>
      <c r="N648" s="93"/>
      <c r="O648" s="93"/>
      <c r="P648" s="93"/>
      <c r="Q648" s="93"/>
      <c r="R648" s="93"/>
      <c r="S648" s="93"/>
      <c r="T648" s="93"/>
      <c r="U648" s="93"/>
      <c r="V648" s="93"/>
      <c r="W648" s="93"/>
    </row>
    <row r="649" spans="2:23" s="14" customFormat="1" ht="17.100000000000001" customHeight="1">
      <c r="B649" s="89"/>
      <c r="C649" s="90"/>
      <c r="D649" s="91"/>
      <c r="E649" s="92"/>
      <c r="F649" s="89"/>
      <c r="G649" s="89"/>
      <c r="H649" s="89"/>
      <c r="I649" s="89"/>
      <c r="J649" s="89"/>
      <c r="K649" s="89"/>
      <c r="L649" s="93"/>
      <c r="M649" s="93"/>
      <c r="N649" s="93"/>
      <c r="O649" s="93"/>
      <c r="P649" s="93"/>
      <c r="Q649" s="93"/>
      <c r="R649" s="93"/>
      <c r="S649" s="93"/>
      <c r="T649" s="93"/>
      <c r="U649" s="93"/>
      <c r="V649" s="93"/>
      <c r="W649" s="93"/>
    </row>
    <row r="650" spans="2:23" s="14" customFormat="1" ht="17.100000000000001" customHeight="1">
      <c r="B650" s="89"/>
      <c r="C650" s="90"/>
      <c r="D650" s="91"/>
      <c r="E650" s="92"/>
      <c r="F650" s="89"/>
      <c r="G650" s="89"/>
      <c r="H650" s="89"/>
      <c r="I650" s="89"/>
      <c r="J650" s="89"/>
      <c r="K650" s="89"/>
      <c r="L650" s="93"/>
      <c r="M650" s="93"/>
      <c r="N650" s="93"/>
      <c r="O650" s="93"/>
      <c r="P650" s="93"/>
      <c r="Q650" s="93"/>
      <c r="R650" s="93"/>
      <c r="S650" s="93"/>
      <c r="T650" s="93"/>
      <c r="U650" s="93"/>
      <c r="V650" s="93"/>
      <c r="W650" s="93"/>
    </row>
    <row r="651" spans="2:23" s="14" customFormat="1" ht="17.100000000000001" customHeight="1">
      <c r="B651" s="89"/>
      <c r="C651" s="90"/>
      <c r="D651" s="91"/>
      <c r="E651" s="92"/>
      <c r="F651" s="89"/>
      <c r="G651" s="89"/>
      <c r="H651" s="89"/>
      <c r="I651" s="89"/>
      <c r="J651" s="89"/>
      <c r="K651" s="89"/>
      <c r="L651" s="93"/>
      <c r="M651" s="93"/>
      <c r="N651" s="93"/>
      <c r="O651" s="93"/>
      <c r="P651" s="93"/>
      <c r="Q651" s="93"/>
      <c r="R651" s="93"/>
      <c r="S651" s="93"/>
      <c r="T651" s="93"/>
      <c r="U651" s="93"/>
      <c r="V651" s="93"/>
      <c r="W651" s="93"/>
    </row>
    <row r="652" spans="2:23" s="14" customFormat="1" ht="17.100000000000001" customHeight="1">
      <c r="B652" s="89"/>
      <c r="C652" s="90"/>
      <c r="D652" s="91"/>
      <c r="E652" s="92"/>
      <c r="F652" s="89"/>
      <c r="G652" s="89"/>
      <c r="H652" s="89"/>
      <c r="I652" s="89"/>
      <c r="J652" s="89"/>
      <c r="K652" s="89"/>
      <c r="L652" s="93"/>
      <c r="M652" s="93"/>
      <c r="N652" s="93"/>
      <c r="O652" s="93"/>
      <c r="P652" s="93"/>
      <c r="Q652" s="93"/>
      <c r="R652" s="93"/>
      <c r="S652" s="93"/>
      <c r="T652" s="93"/>
      <c r="U652" s="93"/>
      <c r="V652" s="93"/>
      <c r="W652" s="93"/>
    </row>
    <row r="653" spans="2:23" s="14" customFormat="1" ht="17.100000000000001" customHeight="1">
      <c r="B653" s="89"/>
      <c r="C653" s="90"/>
      <c r="D653" s="91"/>
      <c r="E653" s="92"/>
      <c r="F653" s="89"/>
      <c r="G653" s="89"/>
      <c r="H653" s="89"/>
      <c r="I653" s="89"/>
      <c r="J653" s="89"/>
      <c r="K653" s="89"/>
      <c r="L653" s="93"/>
      <c r="M653" s="93"/>
      <c r="N653" s="93"/>
      <c r="O653" s="93"/>
      <c r="P653" s="93"/>
      <c r="Q653" s="93"/>
      <c r="R653" s="93"/>
      <c r="S653" s="93"/>
      <c r="T653" s="93"/>
      <c r="U653" s="93"/>
      <c r="V653" s="93"/>
      <c r="W653" s="93"/>
    </row>
    <row r="654" spans="2:23" s="14" customFormat="1" ht="17.100000000000001" customHeight="1">
      <c r="B654" s="89"/>
      <c r="C654" s="90"/>
      <c r="D654" s="91"/>
      <c r="E654" s="92"/>
      <c r="F654" s="89"/>
      <c r="G654" s="89"/>
      <c r="H654" s="89"/>
      <c r="I654" s="89"/>
      <c r="J654" s="89"/>
      <c r="K654" s="89"/>
      <c r="L654" s="93"/>
      <c r="M654" s="93"/>
      <c r="N654" s="93"/>
      <c r="O654" s="93"/>
      <c r="P654" s="93"/>
      <c r="Q654" s="93"/>
      <c r="R654" s="93"/>
      <c r="S654" s="93"/>
      <c r="T654" s="93"/>
      <c r="U654" s="93"/>
      <c r="V654" s="93"/>
      <c r="W654" s="93"/>
    </row>
    <row r="655" spans="2:23" s="14" customFormat="1" ht="17.100000000000001" customHeight="1">
      <c r="B655" s="89"/>
      <c r="C655" s="90"/>
      <c r="D655" s="91"/>
      <c r="E655" s="92"/>
      <c r="F655" s="89"/>
      <c r="G655" s="89"/>
      <c r="H655" s="89"/>
      <c r="I655" s="89"/>
      <c r="J655" s="89"/>
      <c r="K655" s="89"/>
      <c r="L655" s="93"/>
      <c r="M655" s="93"/>
      <c r="N655" s="93"/>
      <c r="O655" s="93"/>
      <c r="P655" s="93"/>
      <c r="Q655" s="93"/>
      <c r="R655" s="93"/>
      <c r="S655" s="93"/>
      <c r="T655" s="93"/>
      <c r="U655" s="93"/>
      <c r="V655" s="93"/>
      <c r="W655" s="93"/>
    </row>
    <row r="656" spans="2:23" s="14" customFormat="1" ht="17.100000000000001" customHeight="1">
      <c r="B656" s="89"/>
      <c r="C656" s="90"/>
      <c r="D656" s="91"/>
      <c r="E656" s="92"/>
      <c r="F656" s="89"/>
      <c r="G656" s="89"/>
      <c r="H656" s="89"/>
      <c r="I656" s="89"/>
      <c r="J656" s="89"/>
      <c r="K656" s="89"/>
      <c r="L656" s="93"/>
      <c r="M656" s="93"/>
      <c r="N656" s="93"/>
      <c r="O656" s="93"/>
      <c r="P656" s="93"/>
      <c r="Q656" s="93"/>
      <c r="R656" s="93"/>
      <c r="S656" s="93"/>
      <c r="T656" s="93"/>
      <c r="U656" s="93"/>
      <c r="V656" s="93"/>
      <c r="W656" s="93"/>
    </row>
    <row r="657" spans="2:23" s="14" customFormat="1" ht="17.100000000000001" customHeight="1">
      <c r="B657" s="89"/>
      <c r="C657" s="90"/>
      <c r="D657" s="91"/>
      <c r="E657" s="92"/>
      <c r="F657" s="89"/>
      <c r="G657" s="89"/>
      <c r="H657" s="89"/>
      <c r="I657" s="89"/>
      <c r="J657" s="89"/>
      <c r="K657" s="89"/>
      <c r="L657" s="93"/>
      <c r="M657" s="93"/>
      <c r="N657" s="93"/>
      <c r="O657" s="93"/>
      <c r="P657" s="93"/>
      <c r="Q657" s="93"/>
      <c r="R657" s="93"/>
      <c r="S657" s="93"/>
      <c r="T657" s="93"/>
      <c r="U657" s="93"/>
      <c r="V657" s="93"/>
      <c r="W657" s="93"/>
    </row>
    <row r="658" spans="2:23" s="14" customFormat="1" ht="17.100000000000001" customHeight="1">
      <c r="B658" s="89"/>
      <c r="C658" s="90"/>
      <c r="D658" s="91"/>
      <c r="E658" s="92"/>
      <c r="F658" s="89"/>
      <c r="G658" s="89"/>
      <c r="H658" s="89"/>
      <c r="I658" s="89"/>
      <c r="J658" s="89"/>
      <c r="K658" s="89"/>
      <c r="L658" s="93"/>
      <c r="M658" s="93"/>
      <c r="N658" s="93"/>
      <c r="O658" s="93"/>
      <c r="P658" s="93"/>
      <c r="Q658" s="93"/>
      <c r="R658" s="93"/>
      <c r="S658" s="93"/>
      <c r="T658" s="93"/>
      <c r="U658" s="93"/>
      <c r="V658" s="93"/>
      <c r="W658" s="93"/>
    </row>
    <row r="659" spans="2:23" s="14" customFormat="1" ht="17.100000000000001" customHeight="1">
      <c r="B659" s="89"/>
      <c r="C659" s="90"/>
      <c r="D659" s="91"/>
      <c r="E659" s="92"/>
      <c r="F659" s="89"/>
      <c r="G659" s="89"/>
      <c r="H659" s="89"/>
      <c r="I659" s="89"/>
      <c r="J659" s="89"/>
      <c r="K659" s="89"/>
      <c r="L659" s="93"/>
      <c r="M659" s="93"/>
      <c r="N659" s="93"/>
      <c r="O659" s="93"/>
      <c r="P659" s="93"/>
      <c r="Q659" s="93"/>
      <c r="R659" s="93"/>
      <c r="S659" s="93"/>
      <c r="T659" s="93"/>
      <c r="U659" s="93"/>
      <c r="V659" s="93"/>
      <c r="W659" s="93"/>
    </row>
    <row r="660" spans="2:23" s="14" customFormat="1" ht="17.100000000000001" customHeight="1">
      <c r="B660" s="89"/>
      <c r="C660" s="90"/>
      <c r="D660" s="91"/>
      <c r="E660" s="92"/>
      <c r="F660" s="89"/>
      <c r="G660" s="89"/>
      <c r="H660" s="89"/>
      <c r="I660" s="89"/>
      <c r="J660" s="89"/>
      <c r="K660" s="89"/>
      <c r="L660" s="93"/>
      <c r="M660" s="93"/>
      <c r="N660" s="93"/>
      <c r="O660" s="93"/>
      <c r="P660" s="93"/>
      <c r="Q660" s="93"/>
      <c r="R660" s="93"/>
      <c r="S660" s="93"/>
      <c r="T660" s="93"/>
      <c r="U660" s="93"/>
      <c r="V660" s="93"/>
      <c r="W660" s="93"/>
    </row>
    <row r="661" spans="2:23" s="14" customFormat="1" ht="17.100000000000001" customHeight="1">
      <c r="B661" s="89"/>
      <c r="C661" s="90"/>
      <c r="D661" s="91"/>
      <c r="E661" s="92"/>
      <c r="F661" s="89"/>
      <c r="G661" s="89"/>
      <c r="H661" s="89"/>
      <c r="I661" s="89"/>
      <c r="J661" s="89"/>
      <c r="K661" s="89"/>
      <c r="L661" s="93"/>
      <c r="M661" s="93"/>
      <c r="N661" s="93"/>
      <c r="O661" s="93"/>
      <c r="P661" s="93"/>
      <c r="Q661" s="93"/>
      <c r="R661" s="93"/>
      <c r="S661" s="93"/>
      <c r="T661" s="93"/>
      <c r="U661" s="93"/>
      <c r="V661" s="93"/>
      <c r="W661" s="93"/>
    </row>
    <row r="662" spans="2:23" s="14" customFormat="1" ht="17.100000000000001" customHeight="1">
      <c r="B662" s="89"/>
      <c r="C662" s="90"/>
      <c r="D662" s="91"/>
      <c r="E662" s="92"/>
      <c r="F662" s="89"/>
      <c r="G662" s="89"/>
      <c r="H662" s="89"/>
      <c r="I662" s="89"/>
      <c r="J662" s="89"/>
      <c r="K662" s="89"/>
      <c r="L662" s="93"/>
      <c r="M662" s="93"/>
      <c r="N662" s="93"/>
      <c r="O662" s="93"/>
      <c r="P662" s="93"/>
      <c r="Q662" s="93"/>
      <c r="R662" s="93"/>
      <c r="S662" s="93"/>
      <c r="T662" s="93"/>
      <c r="U662" s="93"/>
      <c r="V662" s="93"/>
      <c r="W662" s="93"/>
    </row>
    <row r="663" spans="2:23" s="14" customFormat="1" ht="17.100000000000001" customHeight="1">
      <c r="B663" s="89"/>
      <c r="C663" s="90"/>
      <c r="D663" s="91"/>
      <c r="E663" s="92"/>
      <c r="F663" s="89"/>
      <c r="G663" s="89"/>
      <c r="H663" s="89"/>
      <c r="I663" s="89"/>
      <c r="J663" s="89"/>
      <c r="K663" s="89"/>
      <c r="L663" s="93"/>
      <c r="M663" s="93"/>
      <c r="N663" s="93"/>
      <c r="O663" s="93"/>
      <c r="P663" s="93"/>
      <c r="Q663" s="93"/>
      <c r="R663" s="93"/>
      <c r="S663" s="93"/>
      <c r="T663" s="93"/>
      <c r="U663" s="93"/>
      <c r="V663" s="93"/>
      <c r="W663" s="93"/>
    </row>
    <row r="664" spans="2:23" s="14" customFormat="1" ht="17.100000000000001" customHeight="1">
      <c r="B664" s="89"/>
      <c r="C664" s="90"/>
      <c r="D664" s="91"/>
      <c r="E664" s="92"/>
      <c r="F664" s="89"/>
      <c r="G664" s="89"/>
      <c r="H664" s="89"/>
      <c r="I664" s="89"/>
      <c r="J664" s="89"/>
      <c r="K664" s="89"/>
      <c r="L664" s="93"/>
      <c r="M664" s="93"/>
      <c r="N664" s="93"/>
      <c r="O664" s="93"/>
      <c r="P664" s="93"/>
      <c r="Q664" s="93"/>
      <c r="R664" s="93"/>
      <c r="S664" s="93"/>
      <c r="T664" s="93"/>
      <c r="U664" s="93"/>
      <c r="V664" s="93"/>
      <c r="W664" s="93"/>
    </row>
    <row r="665" spans="2:23" s="14" customFormat="1" ht="17.100000000000001" customHeight="1">
      <c r="B665" s="89"/>
      <c r="C665" s="90"/>
      <c r="D665" s="91"/>
      <c r="E665" s="92"/>
      <c r="F665" s="89"/>
      <c r="G665" s="89"/>
      <c r="H665" s="89"/>
      <c r="I665" s="89"/>
      <c r="J665" s="89"/>
      <c r="K665" s="89"/>
      <c r="L665" s="93"/>
      <c r="M665" s="93"/>
      <c r="N665" s="93"/>
      <c r="O665" s="93"/>
      <c r="P665" s="93"/>
      <c r="Q665" s="93"/>
      <c r="R665" s="93"/>
      <c r="S665" s="93"/>
      <c r="T665" s="93"/>
      <c r="U665" s="93"/>
      <c r="V665" s="93"/>
      <c r="W665" s="93"/>
    </row>
    <row r="666" spans="2:23" s="14" customFormat="1" ht="17.100000000000001" customHeight="1">
      <c r="B666" s="89"/>
      <c r="C666" s="90"/>
      <c r="D666" s="91"/>
      <c r="E666" s="92"/>
      <c r="F666" s="89"/>
      <c r="G666" s="89"/>
      <c r="H666" s="89"/>
      <c r="I666" s="89"/>
      <c r="J666" s="89"/>
      <c r="K666" s="89"/>
      <c r="L666" s="93"/>
      <c r="M666" s="93"/>
      <c r="N666" s="93"/>
      <c r="O666" s="93"/>
      <c r="P666" s="93"/>
      <c r="Q666" s="93"/>
      <c r="R666" s="93"/>
      <c r="S666" s="93"/>
      <c r="T666" s="93"/>
      <c r="U666" s="93"/>
      <c r="V666" s="93"/>
      <c r="W666" s="93"/>
    </row>
    <row r="667" spans="2:23" s="14" customFormat="1" ht="17.100000000000001" customHeight="1">
      <c r="B667" s="89"/>
      <c r="C667" s="90"/>
      <c r="D667" s="91"/>
      <c r="E667" s="92"/>
      <c r="F667" s="89"/>
      <c r="G667" s="89"/>
      <c r="H667" s="89"/>
      <c r="I667" s="89"/>
      <c r="J667" s="89"/>
      <c r="K667" s="89"/>
      <c r="L667" s="93"/>
      <c r="M667" s="93"/>
      <c r="N667" s="93"/>
      <c r="O667" s="93"/>
      <c r="P667" s="93"/>
      <c r="Q667" s="93"/>
      <c r="R667" s="93"/>
      <c r="S667" s="93"/>
      <c r="T667" s="93"/>
      <c r="U667" s="93"/>
      <c r="V667" s="93"/>
      <c r="W667" s="93"/>
    </row>
    <row r="668" spans="2:23" s="14" customFormat="1" ht="17.100000000000001" customHeight="1">
      <c r="B668" s="89"/>
      <c r="C668" s="90"/>
      <c r="D668" s="91"/>
      <c r="E668" s="92"/>
      <c r="F668" s="89"/>
      <c r="G668" s="89"/>
      <c r="H668" s="89"/>
      <c r="I668" s="89"/>
      <c r="J668" s="89"/>
      <c r="K668" s="89"/>
      <c r="L668" s="93"/>
      <c r="M668" s="93"/>
      <c r="N668" s="93"/>
      <c r="O668" s="93"/>
      <c r="P668" s="93"/>
      <c r="Q668" s="93"/>
      <c r="R668" s="93"/>
      <c r="S668" s="93"/>
      <c r="T668" s="93"/>
      <c r="U668" s="93"/>
      <c r="V668" s="93"/>
      <c r="W668" s="93"/>
    </row>
    <row r="669" spans="2:23" s="14" customFormat="1" ht="17.100000000000001" customHeight="1">
      <c r="B669" s="89"/>
      <c r="C669" s="90"/>
      <c r="D669" s="91"/>
      <c r="E669" s="92"/>
      <c r="F669" s="89"/>
      <c r="G669" s="89"/>
      <c r="H669" s="89"/>
      <c r="I669" s="89"/>
      <c r="J669" s="89"/>
      <c r="K669" s="89"/>
      <c r="L669" s="93"/>
      <c r="M669" s="93"/>
      <c r="N669" s="93"/>
      <c r="O669" s="93"/>
      <c r="P669" s="93"/>
      <c r="Q669" s="93"/>
      <c r="R669" s="93"/>
      <c r="S669" s="93"/>
      <c r="T669" s="93"/>
      <c r="U669" s="93"/>
      <c r="V669" s="93"/>
      <c r="W669" s="93"/>
    </row>
    <row r="670" spans="2:23" s="14" customFormat="1" ht="17.100000000000001" customHeight="1">
      <c r="B670" s="89"/>
      <c r="C670" s="90"/>
      <c r="D670" s="91"/>
      <c r="E670" s="92"/>
      <c r="F670" s="89"/>
      <c r="G670" s="89"/>
      <c r="H670" s="89"/>
      <c r="I670" s="89"/>
      <c r="J670" s="89"/>
      <c r="K670" s="89"/>
      <c r="L670" s="93"/>
      <c r="M670" s="93"/>
      <c r="N670" s="93"/>
      <c r="O670" s="93"/>
      <c r="P670" s="93"/>
      <c r="Q670" s="93"/>
      <c r="R670" s="93"/>
      <c r="S670" s="93"/>
      <c r="T670" s="93"/>
      <c r="U670" s="93"/>
      <c r="V670" s="93"/>
      <c r="W670" s="93"/>
    </row>
    <row r="671" spans="2:23" s="14" customFormat="1" ht="17.100000000000001" customHeight="1">
      <c r="B671" s="89"/>
      <c r="C671" s="90"/>
      <c r="D671" s="91"/>
      <c r="E671" s="92"/>
      <c r="F671" s="89"/>
      <c r="G671" s="89"/>
      <c r="H671" s="89"/>
      <c r="I671" s="89"/>
      <c r="J671" s="89"/>
      <c r="K671" s="89"/>
      <c r="L671" s="93"/>
      <c r="M671" s="93"/>
      <c r="N671" s="93"/>
      <c r="O671" s="93"/>
      <c r="P671" s="93"/>
      <c r="Q671" s="93"/>
      <c r="R671" s="93"/>
      <c r="S671" s="93"/>
      <c r="T671" s="93"/>
      <c r="U671" s="93"/>
      <c r="V671" s="93"/>
      <c r="W671" s="93"/>
    </row>
    <row r="672" spans="2:23" s="14" customFormat="1" ht="17.100000000000001" customHeight="1">
      <c r="B672" s="89"/>
      <c r="C672" s="90"/>
      <c r="D672" s="91"/>
      <c r="E672" s="92"/>
      <c r="F672" s="89"/>
      <c r="G672" s="89"/>
      <c r="H672" s="89"/>
      <c r="I672" s="89"/>
      <c r="J672" s="89"/>
      <c r="K672" s="89"/>
      <c r="L672" s="93"/>
      <c r="M672" s="93"/>
      <c r="N672" s="93"/>
      <c r="O672" s="93"/>
      <c r="P672" s="93"/>
      <c r="Q672" s="93"/>
      <c r="R672" s="93"/>
      <c r="S672" s="93"/>
      <c r="T672" s="93"/>
      <c r="U672" s="93"/>
      <c r="V672" s="93"/>
      <c r="W672" s="93"/>
    </row>
    <row r="673" spans="2:23" s="14" customFormat="1" ht="17.100000000000001" customHeight="1">
      <c r="B673" s="89"/>
      <c r="C673" s="90"/>
      <c r="D673" s="91"/>
      <c r="E673" s="92"/>
      <c r="F673" s="89"/>
      <c r="G673" s="89"/>
      <c r="H673" s="89"/>
      <c r="I673" s="89"/>
      <c r="J673" s="89"/>
      <c r="K673" s="89"/>
      <c r="L673" s="93"/>
      <c r="M673" s="93"/>
      <c r="N673" s="93"/>
      <c r="O673" s="93"/>
      <c r="P673" s="93"/>
      <c r="Q673" s="93"/>
      <c r="R673" s="93"/>
      <c r="S673" s="93"/>
      <c r="T673" s="93"/>
      <c r="U673" s="93"/>
      <c r="V673" s="93"/>
      <c r="W673" s="93"/>
    </row>
    <row r="674" spans="2:23" s="14" customFormat="1" ht="17.100000000000001" customHeight="1">
      <c r="B674" s="89"/>
      <c r="C674" s="90"/>
      <c r="D674" s="91"/>
      <c r="E674" s="92"/>
      <c r="F674" s="89"/>
      <c r="G674" s="89"/>
      <c r="H674" s="89"/>
      <c r="I674" s="89"/>
      <c r="J674" s="89"/>
      <c r="K674" s="89"/>
      <c r="L674" s="93"/>
      <c r="M674" s="93"/>
      <c r="N674" s="93"/>
      <c r="O674" s="93"/>
      <c r="P674" s="93"/>
      <c r="Q674" s="93"/>
      <c r="R674" s="93"/>
      <c r="S674" s="93"/>
      <c r="T674" s="93"/>
      <c r="U674" s="93"/>
      <c r="V674" s="93"/>
      <c r="W674" s="93"/>
    </row>
    <row r="675" spans="2:23" s="14" customFormat="1" ht="17.100000000000001" customHeight="1">
      <c r="B675" s="89"/>
      <c r="C675" s="90"/>
      <c r="D675" s="91"/>
      <c r="E675" s="92"/>
      <c r="F675" s="89"/>
      <c r="G675" s="89"/>
      <c r="H675" s="89"/>
      <c r="I675" s="89"/>
      <c r="J675" s="89"/>
      <c r="K675" s="89"/>
      <c r="L675" s="93"/>
      <c r="M675" s="93"/>
      <c r="N675" s="93"/>
      <c r="O675" s="93"/>
      <c r="P675" s="93"/>
      <c r="Q675" s="93"/>
      <c r="R675" s="93"/>
      <c r="S675" s="93"/>
      <c r="T675" s="93"/>
      <c r="U675" s="93"/>
      <c r="V675" s="93"/>
      <c r="W675" s="93"/>
    </row>
    <row r="676" spans="2:23" s="14" customFormat="1" ht="17.100000000000001" customHeight="1">
      <c r="B676" s="89"/>
      <c r="C676" s="90"/>
      <c r="D676" s="91"/>
      <c r="E676" s="92"/>
      <c r="F676" s="89"/>
      <c r="G676" s="89"/>
      <c r="H676" s="89"/>
      <c r="I676" s="89"/>
      <c r="J676" s="89"/>
      <c r="K676" s="89"/>
      <c r="L676" s="93"/>
      <c r="M676" s="93"/>
      <c r="N676" s="93"/>
      <c r="O676" s="93"/>
      <c r="P676" s="93"/>
      <c r="Q676" s="93"/>
      <c r="R676" s="93"/>
      <c r="S676" s="93"/>
      <c r="T676" s="93"/>
      <c r="U676" s="93"/>
      <c r="V676" s="93"/>
      <c r="W676" s="93"/>
    </row>
    <row r="677" spans="2:23" s="14" customFormat="1" ht="17.100000000000001" customHeight="1">
      <c r="B677" s="89"/>
      <c r="C677" s="90"/>
      <c r="D677" s="91"/>
      <c r="E677" s="92"/>
      <c r="F677" s="89"/>
      <c r="G677" s="89"/>
      <c r="H677" s="89"/>
      <c r="I677" s="89"/>
      <c r="J677" s="89"/>
      <c r="K677" s="89"/>
      <c r="L677" s="93"/>
      <c r="M677" s="93"/>
      <c r="N677" s="93"/>
      <c r="O677" s="93"/>
      <c r="P677" s="93"/>
      <c r="Q677" s="93"/>
      <c r="R677" s="93"/>
      <c r="S677" s="93"/>
      <c r="T677" s="93"/>
      <c r="U677" s="93"/>
      <c r="V677" s="93"/>
      <c r="W677" s="93"/>
    </row>
    <row r="678" spans="2:23" s="14" customFormat="1" ht="17.100000000000001" customHeight="1">
      <c r="B678" s="89"/>
      <c r="C678" s="90"/>
      <c r="D678" s="91"/>
      <c r="E678" s="92"/>
      <c r="F678" s="89"/>
      <c r="G678" s="89"/>
      <c r="H678" s="89"/>
      <c r="I678" s="89"/>
      <c r="J678" s="89"/>
      <c r="K678" s="89"/>
      <c r="L678" s="93"/>
      <c r="M678" s="93"/>
      <c r="N678" s="93"/>
      <c r="O678" s="93"/>
      <c r="P678" s="93"/>
      <c r="Q678" s="93"/>
      <c r="R678" s="93"/>
      <c r="S678" s="93"/>
      <c r="T678" s="93"/>
      <c r="U678" s="93"/>
      <c r="V678" s="93"/>
      <c r="W678" s="93"/>
    </row>
    <row r="679" spans="2:23" s="14" customFormat="1" ht="17.100000000000001" customHeight="1">
      <c r="B679" s="89"/>
      <c r="C679" s="90"/>
      <c r="D679" s="91"/>
      <c r="E679" s="92"/>
      <c r="F679" s="89"/>
      <c r="G679" s="89"/>
      <c r="H679" s="89"/>
      <c r="I679" s="89"/>
      <c r="J679" s="89"/>
      <c r="K679" s="89"/>
      <c r="L679" s="93"/>
      <c r="M679" s="93"/>
      <c r="N679" s="93"/>
      <c r="O679" s="93"/>
      <c r="P679" s="93"/>
      <c r="Q679" s="93"/>
      <c r="R679" s="93"/>
      <c r="S679" s="93"/>
      <c r="T679" s="93"/>
      <c r="U679" s="93"/>
      <c r="V679" s="93"/>
      <c r="W679" s="93"/>
    </row>
    <row r="680" spans="2:23" s="14" customFormat="1" ht="17.100000000000001" customHeight="1">
      <c r="B680" s="89"/>
      <c r="C680" s="90"/>
      <c r="D680" s="91"/>
      <c r="E680" s="92"/>
      <c r="F680" s="89"/>
      <c r="G680" s="89"/>
      <c r="H680" s="89"/>
      <c r="I680" s="89"/>
      <c r="J680" s="89"/>
      <c r="K680" s="89"/>
      <c r="L680" s="93"/>
      <c r="M680" s="93"/>
      <c r="N680" s="93"/>
      <c r="O680" s="93"/>
      <c r="P680" s="93"/>
      <c r="Q680" s="93"/>
      <c r="R680" s="93"/>
      <c r="S680" s="93"/>
      <c r="T680" s="93"/>
      <c r="U680" s="93"/>
      <c r="V680" s="93"/>
      <c r="W680" s="93"/>
    </row>
    <row r="681" spans="2:23" s="14" customFormat="1" ht="17.100000000000001" customHeight="1">
      <c r="B681" s="89"/>
      <c r="C681" s="90"/>
      <c r="D681" s="91"/>
      <c r="E681" s="92"/>
      <c r="F681" s="89"/>
      <c r="G681" s="89"/>
      <c r="H681" s="89"/>
      <c r="I681" s="89"/>
      <c r="J681" s="89"/>
      <c r="K681" s="89"/>
      <c r="L681" s="93"/>
      <c r="M681" s="93"/>
      <c r="N681" s="93"/>
      <c r="O681" s="93"/>
      <c r="P681" s="93"/>
      <c r="Q681" s="93"/>
      <c r="R681" s="93"/>
      <c r="S681" s="93"/>
      <c r="T681" s="93"/>
      <c r="U681" s="93"/>
      <c r="V681" s="93"/>
      <c r="W681" s="93"/>
    </row>
    <row r="682" spans="2:23" s="14" customFormat="1" ht="17.100000000000001" customHeight="1">
      <c r="B682" s="89"/>
      <c r="C682" s="90"/>
      <c r="D682" s="91"/>
      <c r="E682" s="92"/>
      <c r="F682" s="89"/>
      <c r="G682" s="89"/>
      <c r="H682" s="89"/>
      <c r="I682" s="89"/>
      <c r="J682" s="89"/>
      <c r="K682" s="89"/>
      <c r="L682" s="93"/>
      <c r="M682" s="93"/>
      <c r="N682" s="93"/>
      <c r="O682" s="93"/>
      <c r="P682" s="93"/>
      <c r="Q682" s="93"/>
      <c r="R682" s="93"/>
      <c r="S682" s="93"/>
      <c r="T682" s="93"/>
      <c r="U682" s="93"/>
      <c r="V682" s="93"/>
      <c r="W682" s="93"/>
    </row>
    <row r="683" spans="2:23" s="14" customFormat="1" ht="17.100000000000001" customHeight="1">
      <c r="B683" s="89"/>
      <c r="C683" s="90"/>
      <c r="D683" s="91"/>
      <c r="E683" s="92"/>
      <c r="F683" s="89"/>
      <c r="G683" s="89"/>
      <c r="H683" s="89"/>
      <c r="I683" s="89"/>
      <c r="J683" s="89"/>
      <c r="K683" s="89"/>
      <c r="L683" s="93"/>
      <c r="M683" s="93"/>
      <c r="N683" s="93"/>
      <c r="O683" s="93"/>
      <c r="P683" s="93"/>
      <c r="Q683" s="93"/>
      <c r="R683" s="93"/>
      <c r="S683" s="93"/>
      <c r="T683" s="93"/>
      <c r="U683" s="93"/>
      <c r="V683" s="93"/>
      <c r="W683" s="93"/>
    </row>
    <row r="684" spans="2:23" s="14" customFormat="1" ht="17.100000000000001" customHeight="1">
      <c r="B684" s="89"/>
      <c r="C684" s="90"/>
      <c r="D684" s="91"/>
      <c r="E684" s="92"/>
      <c r="F684" s="89"/>
      <c r="G684" s="89"/>
      <c r="H684" s="89"/>
      <c r="I684" s="89"/>
      <c r="J684" s="89"/>
      <c r="K684" s="89"/>
      <c r="L684" s="93"/>
      <c r="M684" s="93"/>
      <c r="N684" s="93"/>
      <c r="O684" s="93"/>
      <c r="P684" s="93"/>
      <c r="Q684" s="93"/>
      <c r="R684" s="93"/>
      <c r="S684" s="93"/>
      <c r="T684" s="93"/>
      <c r="U684" s="93"/>
      <c r="V684" s="93"/>
      <c r="W684" s="93"/>
    </row>
    <row r="685" spans="2:23" s="14" customFormat="1" ht="17.100000000000001" customHeight="1">
      <c r="B685" s="89"/>
      <c r="C685" s="90"/>
      <c r="D685" s="91"/>
      <c r="E685" s="92"/>
      <c r="F685" s="89"/>
      <c r="G685" s="89"/>
      <c r="H685" s="89"/>
      <c r="I685" s="89"/>
      <c r="J685" s="89"/>
      <c r="K685" s="89"/>
      <c r="L685" s="93"/>
      <c r="M685" s="93"/>
      <c r="N685" s="93"/>
      <c r="O685" s="93"/>
      <c r="P685" s="93"/>
      <c r="Q685" s="93"/>
      <c r="R685" s="93"/>
      <c r="S685" s="93"/>
      <c r="T685" s="93"/>
      <c r="U685" s="93"/>
      <c r="V685" s="93"/>
      <c r="W685" s="93"/>
    </row>
    <row r="686" spans="2:23" s="14" customFormat="1" ht="17.100000000000001" customHeight="1">
      <c r="B686" s="89"/>
      <c r="C686" s="90"/>
      <c r="D686" s="91"/>
      <c r="E686" s="92"/>
      <c r="F686" s="89"/>
      <c r="G686" s="89"/>
      <c r="H686" s="89"/>
      <c r="I686" s="89"/>
      <c r="J686" s="89"/>
      <c r="K686" s="89"/>
      <c r="L686" s="93"/>
      <c r="M686" s="93"/>
      <c r="N686" s="93"/>
      <c r="O686" s="93"/>
      <c r="P686" s="93"/>
      <c r="Q686" s="93"/>
      <c r="R686" s="93"/>
      <c r="S686" s="93"/>
      <c r="T686" s="93"/>
      <c r="U686" s="93"/>
      <c r="V686" s="93"/>
      <c r="W686" s="93"/>
    </row>
    <row r="687" spans="2:23" s="14" customFormat="1" ht="17.100000000000001" customHeight="1">
      <c r="B687" s="89"/>
      <c r="C687" s="90"/>
      <c r="D687" s="91"/>
      <c r="E687" s="92"/>
      <c r="F687" s="89"/>
      <c r="G687" s="89"/>
      <c r="H687" s="89"/>
      <c r="I687" s="89"/>
      <c r="J687" s="89"/>
      <c r="K687" s="89"/>
      <c r="L687" s="93"/>
      <c r="M687" s="93"/>
      <c r="N687" s="93"/>
      <c r="O687" s="93"/>
      <c r="P687" s="93"/>
      <c r="Q687" s="93"/>
      <c r="R687" s="93"/>
      <c r="S687" s="93"/>
      <c r="T687" s="93"/>
      <c r="U687" s="93"/>
      <c r="V687" s="93"/>
      <c r="W687" s="93"/>
    </row>
    <row r="688" spans="2:23" s="14" customFormat="1" ht="17.100000000000001" customHeight="1">
      <c r="B688" s="89"/>
      <c r="C688" s="90"/>
      <c r="D688" s="91"/>
      <c r="E688" s="92"/>
      <c r="F688" s="89"/>
      <c r="G688" s="89"/>
      <c r="H688" s="89"/>
      <c r="I688" s="89"/>
      <c r="J688" s="89"/>
      <c r="K688" s="89"/>
      <c r="L688" s="93"/>
      <c r="M688" s="93"/>
      <c r="N688" s="93"/>
      <c r="O688" s="93"/>
      <c r="P688" s="93"/>
      <c r="Q688" s="93"/>
      <c r="R688" s="93"/>
      <c r="S688" s="93"/>
      <c r="T688" s="93"/>
      <c r="U688" s="93"/>
      <c r="V688" s="93"/>
      <c r="W688" s="93"/>
    </row>
    <row r="689" spans="2:23" s="14" customFormat="1" ht="17.100000000000001" customHeight="1">
      <c r="B689" s="89"/>
      <c r="C689" s="90"/>
      <c r="D689" s="91"/>
      <c r="E689" s="92"/>
      <c r="F689" s="89"/>
      <c r="G689" s="89"/>
      <c r="H689" s="89"/>
      <c r="I689" s="89"/>
      <c r="J689" s="89"/>
      <c r="K689" s="89"/>
      <c r="L689" s="93"/>
      <c r="M689" s="93"/>
      <c r="N689" s="93"/>
      <c r="O689" s="93"/>
      <c r="P689" s="93"/>
      <c r="Q689" s="93"/>
      <c r="R689" s="93"/>
      <c r="S689" s="93"/>
      <c r="T689" s="93"/>
      <c r="U689" s="93"/>
      <c r="V689" s="93"/>
      <c r="W689" s="93"/>
    </row>
    <row r="690" spans="2:23" s="14" customFormat="1" ht="17.100000000000001" customHeight="1">
      <c r="B690" s="89"/>
      <c r="C690" s="90"/>
      <c r="D690" s="91"/>
      <c r="E690" s="92"/>
      <c r="F690" s="89"/>
      <c r="G690" s="89"/>
      <c r="H690" s="89"/>
      <c r="I690" s="89"/>
      <c r="J690" s="89"/>
      <c r="K690" s="89"/>
      <c r="L690" s="93"/>
      <c r="M690" s="93"/>
      <c r="N690" s="93"/>
      <c r="O690" s="93"/>
      <c r="P690" s="93"/>
      <c r="Q690" s="93"/>
      <c r="R690" s="93"/>
      <c r="S690" s="93"/>
      <c r="T690" s="93"/>
      <c r="U690" s="93"/>
      <c r="V690" s="93"/>
      <c r="W690" s="93"/>
    </row>
    <row r="691" spans="2:23" s="14" customFormat="1" ht="17.100000000000001" customHeight="1">
      <c r="B691" s="89"/>
      <c r="C691" s="90"/>
      <c r="D691" s="91"/>
      <c r="E691" s="92"/>
      <c r="F691" s="89"/>
      <c r="G691" s="89"/>
      <c r="H691" s="89"/>
      <c r="I691" s="89"/>
      <c r="J691" s="89"/>
      <c r="K691" s="89"/>
      <c r="L691" s="93"/>
      <c r="M691" s="93"/>
      <c r="N691" s="93"/>
      <c r="O691" s="93"/>
      <c r="P691" s="93"/>
      <c r="Q691" s="93"/>
      <c r="R691" s="93"/>
      <c r="S691" s="93"/>
      <c r="T691" s="93"/>
      <c r="U691" s="93"/>
      <c r="V691" s="93"/>
      <c r="W691" s="93"/>
    </row>
    <row r="692" spans="2:23" s="14" customFormat="1" ht="17.100000000000001" customHeight="1">
      <c r="B692" s="89"/>
      <c r="C692" s="90"/>
      <c r="D692" s="91"/>
      <c r="E692" s="92"/>
      <c r="F692" s="89"/>
      <c r="G692" s="89"/>
      <c r="H692" s="89"/>
      <c r="I692" s="89"/>
      <c r="J692" s="89"/>
      <c r="K692" s="89"/>
      <c r="L692" s="93"/>
      <c r="M692" s="93"/>
      <c r="N692" s="93"/>
      <c r="O692" s="93"/>
      <c r="P692" s="93"/>
      <c r="Q692" s="93"/>
      <c r="R692" s="93"/>
      <c r="S692" s="93"/>
      <c r="T692" s="93"/>
      <c r="U692" s="93"/>
      <c r="V692" s="93"/>
      <c r="W692" s="93"/>
    </row>
    <row r="693" spans="2:23" s="14" customFormat="1" ht="17.100000000000001" customHeight="1">
      <c r="B693" s="89"/>
      <c r="C693" s="90"/>
      <c r="D693" s="91"/>
      <c r="E693" s="92"/>
      <c r="F693" s="89"/>
      <c r="G693" s="89"/>
      <c r="H693" s="89"/>
      <c r="I693" s="89"/>
      <c r="J693" s="89"/>
      <c r="K693" s="89"/>
      <c r="L693" s="93"/>
      <c r="M693" s="93"/>
      <c r="N693" s="93"/>
      <c r="O693" s="93"/>
      <c r="P693" s="93"/>
      <c r="Q693" s="93"/>
      <c r="R693" s="93"/>
      <c r="S693" s="93"/>
      <c r="T693" s="93"/>
      <c r="U693" s="93"/>
      <c r="V693" s="93"/>
      <c r="W693" s="93"/>
    </row>
    <row r="694" spans="2:23" s="14" customFormat="1" ht="17.100000000000001" customHeight="1">
      <c r="B694" s="89"/>
      <c r="C694" s="90"/>
      <c r="D694" s="91"/>
      <c r="E694" s="92"/>
      <c r="F694" s="89"/>
      <c r="G694" s="89"/>
      <c r="H694" s="89"/>
      <c r="I694" s="89"/>
      <c r="J694" s="89"/>
      <c r="K694" s="89"/>
      <c r="L694" s="93"/>
      <c r="M694" s="93"/>
      <c r="N694" s="93"/>
      <c r="O694" s="93"/>
      <c r="P694" s="93"/>
      <c r="Q694" s="93"/>
      <c r="R694" s="93"/>
      <c r="S694" s="93"/>
      <c r="T694" s="93"/>
      <c r="U694" s="93"/>
      <c r="V694" s="93"/>
      <c r="W694" s="93"/>
    </row>
    <row r="695" spans="2:23" s="14" customFormat="1" ht="17.100000000000001" customHeight="1">
      <c r="B695" s="89"/>
      <c r="C695" s="90"/>
      <c r="D695" s="91"/>
      <c r="E695" s="92"/>
      <c r="F695" s="89"/>
      <c r="G695" s="89"/>
      <c r="H695" s="89"/>
      <c r="I695" s="89"/>
      <c r="J695" s="89"/>
      <c r="K695" s="89"/>
      <c r="L695" s="93"/>
      <c r="M695" s="93"/>
      <c r="N695" s="93"/>
      <c r="O695" s="93"/>
      <c r="P695" s="93"/>
      <c r="Q695" s="93"/>
      <c r="R695" s="93"/>
      <c r="S695" s="93"/>
      <c r="T695" s="93"/>
      <c r="U695" s="93"/>
      <c r="V695" s="93"/>
      <c r="W695" s="93"/>
    </row>
    <row r="696" spans="2:23" s="14" customFormat="1" ht="17.100000000000001" customHeight="1">
      <c r="B696" s="89"/>
      <c r="C696" s="90"/>
      <c r="D696" s="91"/>
      <c r="E696" s="92"/>
      <c r="F696" s="89"/>
      <c r="G696" s="89"/>
      <c r="H696" s="89"/>
      <c r="I696" s="89"/>
      <c r="J696" s="89"/>
      <c r="K696" s="89"/>
      <c r="L696" s="93"/>
      <c r="M696" s="93"/>
      <c r="N696" s="93"/>
      <c r="O696" s="93"/>
      <c r="P696" s="93"/>
      <c r="Q696" s="93"/>
      <c r="R696" s="93"/>
      <c r="S696" s="93"/>
      <c r="T696" s="93"/>
      <c r="U696" s="93"/>
      <c r="V696" s="93"/>
      <c r="W696" s="93"/>
    </row>
    <row r="697" spans="2:23" s="14" customFormat="1" ht="17.100000000000001" customHeight="1">
      <c r="B697" s="89"/>
      <c r="C697" s="90"/>
      <c r="D697" s="91"/>
      <c r="E697" s="92"/>
      <c r="F697" s="89"/>
      <c r="G697" s="89"/>
      <c r="H697" s="89"/>
      <c r="I697" s="89"/>
      <c r="J697" s="89"/>
      <c r="K697" s="89"/>
      <c r="L697" s="93"/>
      <c r="M697" s="93"/>
      <c r="N697" s="93"/>
      <c r="O697" s="93"/>
      <c r="P697" s="93"/>
      <c r="Q697" s="93"/>
      <c r="R697" s="93"/>
      <c r="S697" s="93"/>
      <c r="T697" s="93"/>
      <c r="U697" s="93"/>
      <c r="V697" s="93"/>
      <c r="W697" s="93"/>
    </row>
    <row r="698" spans="2:23" s="14" customFormat="1" ht="17.100000000000001" customHeight="1">
      <c r="B698" s="89"/>
      <c r="C698" s="90"/>
      <c r="D698" s="91"/>
      <c r="E698" s="92"/>
      <c r="F698" s="89"/>
      <c r="G698" s="89"/>
      <c r="H698" s="89"/>
      <c r="I698" s="89"/>
      <c r="J698" s="89"/>
      <c r="K698" s="89"/>
      <c r="L698" s="93"/>
      <c r="M698" s="93"/>
      <c r="N698" s="93"/>
      <c r="O698" s="93"/>
      <c r="P698" s="93"/>
      <c r="Q698" s="93"/>
      <c r="R698" s="93"/>
      <c r="S698" s="93"/>
      <c r="T698" s="93"/>
      <c r="U698" s="93"/>
      <c r="V698" s="93"/>
      <c r="W698" s="93"/>
    </row>
    <row r="699" spans="2:23" s="14" customFormat="1" ht="17.100000000000001" customHeight="1">
      <c r="B699" s="89"/>
      <c r="C699" s="90"/>
      <c r="D699" s="91"/>
      <c r="E699" s="92"/>
      <c r="F699" s="89"/>
      <c r="G699" s="89"/>
      <c r="H699" s="89"/>
      <c r="I699" s="89"/>
      <c r="J699" s="89"/>
      <c r="K699" s="89"/>
      <c r="L699" s="93"/>
      <c r="M699" s="93"/>
      <c r="N699" s="93"/>
      <c r="O699" s="93"/>
      <c r="P699" s="93"/>
      <c r="Q699" s="93"/>
      <c r="R699" s="93"/>
      <c r="S699" s="93"/>
      <c r="T699" s="93"/>
      <c r="U699" s="93"/>
      <c r="V699" s="93"/>
      <c r="W699" s="93"/>
    </row>
    <row r="700" spans="2:23" s="14" customFormat="1" ht="17.100000000000001" customHeight="1">
      <c r="B700" s="89"/>
      <c r="C700" s="90"/>
      <c r="D700" s="91"/>
      <c r="E700" s="92"/>
      <c r="F700" s="89"/>
      <c r="G700" s="89"/>
      <c r="H700" s="89"/>
      <c r="I700" s="89"/>
      <c r="J700" s="89"/>
      <c r="K700" s="89"/>
      <c r="L700" s="93"/>
      <c r="M700" s="93"/>
      <c r="N700" s="93"/>
      <c r="O700" s="93"/>
      <c r="P700" s="93"/>
      <c r="Q700" s="93"/>
      <c r="R700" s="93"/>
      <c r="S700" s="93"/>
      <c r="T700" s="93"/>
      <c r="U700" s="93"/>
      <c r="V700" s="93"/>
      <c r="W700" s="93"/>
    </row>
    <row r="701" spans="2:23" s="14" customFormat="1" ht="17.100000000000001" customHeight="1">
      <c r="B701" s="89"/>
      <c r="C701" s="90"/>
      <c r="D701" s="91"/>
      <c r="E701" s="92"/>
      <c r="F701" s="89"/>
      <c r="G701" s="89"/>
      <c r="H701" s="89"/>
      <c r="I701" s="89"/>
      <c r="J701" s="89"/>
      <c r="K701" s="89"/>
      <c r="L701" s="93"/>
      <c r="M701" s="93"/>
      <c r="N701" s="93"/>
      <c r="O701" s="93"/>
      <c r="P701" s="93"/>
      <c r="Q701" s="93"/>
      <c r="R701" s="93"/>
      <c r="S701" s="93"/>
      <c r="T701" s="93"/>
      <c r="U701" s="93"/>
      <c r="V701" s="93"/>
      <c r="W701" s="93"/>
    </row>
    <row r="702" spans="2:23" s="14" customFormat="1" ht="17.100000000000001" customHeight="1">
      <c r="B702" s="89"/>
      <c r="C702" s="90"/>
      <c r="D702" s="91"/>
      <c r="E702" s="92"/>
      <c r="F702" s="89"/>
      <c r="G702" s="89"/>
      <c r="H702" s="89"/>
      <c r="I702" s="89"/>
      <c r="J702" s="89"/>
      <c r="K702" s="89"/>
      <c r="L702" s="93"/>
      <c r="M702" s="93"/>
      <c r="N702" s="93"/>
      <c r="O702" s="93"/>
      <c r="P702" s="93"/>
      <c r="Q702" s="93"/>
      <c r="R702" s="93"/>
      <c r="S702" s="93"/>
      <c r="T702" s="93"/>
      <c r="U702" s="93"/>
      <c r="V702" s="93"/>
      <c r="W702" s="93"/>
    </row>
    <row r="703" spans="2:23" s="14" customFormat="1" ht="17.100000000000001" customHeight="1">
      <c r="B703" s="89"/>
      <c r="C703" s="90"/>
      <c r="D703" s="91"/>
      <c r="E703" s="92"/>
      <c r="F703" s="89"/>
      <c r="G703" s="89"/>
      <c r="H703" s="89"/>
      <c r="I703" s="89"/>
      <c r="J703" s="89"/>
      <c r="K703" s="89"/>
      <c r="L703" s="93"/>
      <c r="M703" s="93"/>
      <c r="N703" s="93"/>
      <c r="O703" s="93"/>
      <c r="P703" s="93"/>
      <c r="Q703" s="93"/>
      <c r="R703" s="93"/>
      <c r="S703" s="93"/>
      <c r="T703" s="93"/>
      <c r="U703" s="93"/>
      <c r="V703" s="93"/>
      <c r="W703" s="93"/>
    </row>
    <row r="704" spans="2:23" s="14" customFormat="1" ht="17.100000000000001" customHeight="1">
      <c r="B704" s="89"/>
      <c r="C704" s="90"/>
      <c r="D704" s="91"/>
      <c r="E704" s="92"/>
      <c r="F704" s="89"/>
      <c r="G704" s="89"/>
      <c r="H704" s="89"/>
      <c r="I704" s="89"/>
      <c r="J704" s="89"/>
      <c r="K704" s="89"/>
      <c r="L704" s="93"/>
      <c r="M704" s="93"/>
      <c r="N704" s="93"/>
      <c r="O704" s="93"/>
      <c r="P704" s="93"/>
      <c r="Q704" s="93"/>
      <c r="R704" s="93"/>
      <c r="S704" s="93"/>
      <c r="T704" s="93"/>
      <c r="U704" s="93"/>
      <c r="V704" s="93"/>
      <c r="W704" s="93"/>
    </row>
    <row r="705" spans="2:23" s="14" customFormat="1" ht="17.100000000000001" customHeight="1">
      <c r="B705" s="89"/>
      <c r="C705" s="90"/>
      <c r="D705" s="91"/>
      <c r="E705" s="92"/>
      <c r="F705" s="89"/>
      <c r="G705" s="89"/>
      <c r="H705" s="89"/>
      <c r="I705" s="89"/>
      <c r="J705" s="89"/>
      <c r="K705" s="89"/>
      <c r="L705" s="93"/>
      <c r="M705" s="93"/>
      <c r="N705" s="93"/>
      <c r="O705" s="93"/>
      <c r="P705" s="93"/>
      <c r="Q705" s="93"/>
      <c r="R705" s="93"/>
      <c r="S705" s="93"/>
      <c r="T705" s="93"/>
      <c r="U705" s="93"/>
      <c r="V705" s="93"/>
      <c r="W705" s="93"/>
    </row>
    <row r="706" spans="2:23" s="14" customFormat="1" ht="17.100000000000001" customHeight="1">
      <c r="B706" s="89"/>
      <c r="C706" s="90"/>
      <c r="D706" s="91"/>
      <c r="E706" s="92"/>
      <c r="F706" s="89"/>
      <c r="G706" s="89"/>
      <c r="H706" s="89"/>
      <c r="I706" s="89"/>
      <c r="J706" s="89"/>
      <c r="K706" s="89"/>
      <c r="L706" s="93"/>
      <c r="M706" s="93"/>
      <c r="N706" s="93"/>
      <c r="O706" s="93"/>
      <c r="P706" s="93"/>
      <c r="Q706" s="93"/>
      <c r="R706" s="93"/>
      <c r="S706" s="93"/>
      <c r="T706" s="93"/>
      <c r="U706" s="93"/>
      <c r="V706" s="93"/>
      <c r="W706" s="93"/>
    </row>
    <row r="707" spans="2:23" s="14" customFormat="1" ht="17.100000000000001" customHeight="1">
      <c r="B707" s="89"/>
      <c r="C707" s="90"/>
      <c r="D707" s="91"/>
      <c r="E707" s="92"/>
      <c r="F707" s="89"/>
      <c r="G707" s="89"/>
      <c r="H707" s="89"/>
      <c r="I707" s="89"/>
      <c r="J707" s="89"/>
      <c r="K707" s="89"/>
      <c r="L707" s="93"/>
      <c r="M707" s="93"/>
      <c r="N707" s="93"/>
      <c r="O707" s="93"/>
      <c r="P707" s="93"/>
      <c r="Q707" s="93"/>
      <c r="R707" s="93"/>
      <c r="S707" s="93"/>
      <c r="T707" s="93"/>
      <c r="U707" s="93"/>
      <c r="V707" s="93"/>
      <c r="W707" s="93"/>
    </row>
    <row r="708" spans="2:23" s="14" customFormat="1" ht="17.100000000000001" customHeight="1">
      <c r="B708" s="89"/>
      <c r="C708" s="90"/>
      <c r="D708" s="91"/>
      <c r="E708" s="92"/>
      <c r="F708" s="89"/>
      <c r="G708" s="89"/>
      <c r="H708" s="89"/>
      <c r="I708" s="89"/>
      <c r="J708" s="89"/>
      <c r="K708" s="89"/>
      <c r="L708" s="93"/>
      <c r="M708" s="93"/>
      <c r="N708" s="93"/>
      <c r="O708" s="93"/>
      <c r="P708" s="93"/>
      <c r="Q708" s="93"/>
      <c r="R708" s="93"/>
      <c r="S708" s="93"/>
      <c r="T708" s="93"/>
      <c r="U708" s="93"/>
      <c r="V708" s="93"/>
      <c r="W708" s="93"/>
    </row>
    <row r="709" spans="2:23" s="14" customFormat="1" ht="17.100000000000001" customHeight="1">
      <c r="B709" s="89"/>
      <c r="C709" s="90"/>
      <c r="D709" s="91"/>
      <c r="E709" s="92"/>
      <c r="F709" s="89"/>
      <c r="G709" s="89"/>
      <c r="H709" s="89"/>
      <c r="I709" s="89"/>
      <c r="J709" s="89"/>
      <c r="K709" s="89"/>
      <c r="L709" s="93"/>
      <c r="M709" s="93"/>
      <c r="N709" s="93"/>
      <c r="O709" s="93"/>
      <c r="P709" s="93"/>
      <c r="Q709" s="93"/>
      <c r="R709" s="93"/>
      <c r="S709" s="93"/>
      <c r="T709" s="93"/>
      <c r="U709" s="93"/>
      <c r="V709" s="93"/>
      <c r="W709" s="93"/>
    </row>
    <row r="710" spans="2:23" s="14" customFormat="1" ht="17.100000000000001" customHeight="1">
      <c r="B710" s="89"/>
      <c r="C710" s="90"/>
      <c r="D710" s="91"/>
      <c r="E710" s="92"/>
      <c r="F710" s="89"/>
      <c r="G710" s="89"/>
      <c r="H710" s="89"/>
      <c r="I710" s="89"/>
      <c r="J710" s="89"/>
      <c r="K710" s="89"/>
      <c r="L710" s="93"/>
      <c r="M710" s="93"/>
      <c r="N710" s="93"/>
      <c r="O710" s="93"/>
      <c r="P710" s="93"/>
      <c r="Q710" s="93"/>
      <c r="R710" s="93"/>
      <c r="S710" s="93"/>
      <c r="T710" s="93"/>
      <c r="U710" s="93"/>
      <c r="V710" s="93"/>
      <c r="W710" s="93"/>
    </row>
    <row r="711" spans="2:23" s="14" customFormat="1" ht="17.100000000000001" customHeight="1">
      <c r="B711" s="89"/>
      <c r="C711" s="90"/>
      <c r="D711" s="91"/>
      <c r="E711" s="92"/>
      <c r="F711" s="89"/>
      <c r="G711" s="89"/>
      <c r="H711" s="89"/>
      <c r="I711" s="89"/>
      <c r="J711" s="89"/>
      <c r="K711" s="89"/>
      <c r="L711" s="93"/>
      <c r="M711" s="93"/>
      <c r="N711" s="93"/>
      <c r="O711" s="93"/>
      <c r="P711" s="93"/>
      <c r="Q711" s="93"/>
      <c r="R711" s="93"/>
      <c r="S711" s="93"/>
      <c r="T711" s="93"/>
      <c r="U711" s="93"/>
      <c r="V711" s="93"/>
      <c r="W711" s="93"/>
    </row>
    <row r="712" spans="2:23" s="14" customFormat="1" ht="17.100000000000001" customHeight="1">
      <c r="B712" s="89"/>
      <c r="C712" s="90"/>
      <c r="D712" s="91"/>
      <c r="E712" s="92"/>
      <c r="F712" s="89"/>
      <c r="G712" s="89"/>
      <c r="H712" s="89"/>
      <c r="I712" s="89"/>
      <c r="J712" s="89"/>
      <c r="K712" s="89"/>
      <c r="L712" s="93"/>
      <c r="M712" s="93"/>
      <c r="N712" s="93"/>
      <c r="O712" s="93"/>
      <c r="P712" s="93"/>
      <c r="Q712" s="93"/>
      <c r="R712" s="93"/>
      <c r="S712" s="93"/>
      <c r="T712" s="93"/>
      <c r="U712" s="93"/>
      <c r="V712" s="93"/>
      <c r="W712" s="93"/>
    </row>
    <row r="713" spans="2:23" s="14" customFormat="1" ht="17.100000000000001" customHeight="1">
      <c r="B713" s="89"/>
      <c r="C713" s="90"/>
      <c r="D713" s="91"/>
      <c r="E713" s="92"/>
      <c r="F713" s="89"/>
      <c r="G713" s="89"/>
      <c r="H713" s="89"/>
      <c r="I713" s="89"/>
      <c r="J713" s="89"/>
      <c r="K713" s="89"/>
      <c r="L713" s="93"/>
      <c r="M713" s="93"/>
      <c r="N713" s="93"/>
      <c r="O713" s="93"/>
      <c r="P713" s="93"/>
      <c r="Q713" s="93"/>
      <c r="R713" s="93"/>
      <c r="S713" s="93"/>
      <c r="T713" s="93"/>
      <c r="U713" s="93"/>
      <c r="V713" s="93"/>
      <c r="W713" s="93"/>
    </row>
    <row r="714" spans="2:23" s="14" customFormat="1" ht="17.100000000000001" customHeight="1">
      <c r="B714" s="89"/>
      <c r="C714" s="90"/>
      <c r="D714" s="91"/>
      <c r="E714" s="92"/>
      <c r="F714" s="89"/>
      <c r="G714" s="89"/>
      <c r="H714" s="89"/>
      <c r="I714" s="89"/>
      <c r="J714" s="89"/>
      <c r="K714" s="89"/>
      <c r="L714" s="93"/>
      <c r="M714" s="93"/>
      <c r="N714" s="93"/>
      <c r="O714" s="93"/>
      <c r="P714" s="93"/>
      <c r="Q714" s="93"/>
      <c r="R714" s="93"/>
      <c r="S714" s="93"/>
      <c r="T714" s="93"/>
      <c r="U714" s="93"/>
      <c r="V714" s="93"/>
      <c r="W714" s="93"/>
    </row>
    <row r="715" spans="2:23" s="14" customFormat="1" ht="17.100000000000001" customHeight="1">
      <c r="B715" s="89"/>
      <c r="C715" s="90"/>
      <c r="D715" s="91"/>
      <c r="E715" s="92"/>
      <c r="F715" s="89"/>
      <c r="G715" s="89"/>
      <c r="H715" s="89"/>
      <c r="I715" s="89"/>
      <c r="J715" s="89"/>
      <c r="K715" s="89"/>
      <c r="L715" s="93"/>
      <c r="M715" s="93"/>
      <c r="N715" s="93"/>
      <c r="O715" s="93"/>
      <c r="P715" s="93"/>
      <c r="Q715" s="93"/>
      <c r="R715" s="93"/>
      <c r="S715" s="93"/>
      <c r="T715" s="93"/>
      <c r="U715" s="93"/>
      <c r="V715" s="93"/>
      <c r="W715" s="93"/>
    </row>
    <row r="716" spans="2:23" s="14" customFormat="1" ht="17.100000000000001" customHeight="1">
      <c r="B716" s="89"/>
      <c r="C716" s="90"/>
      <c r="D716" s="91"/>
      <c r="E716" s="92"/>
      <c r="F716" s="89"/>
      <c r="G716" s="89"/>
      <c r="H716" s="89"/>
      <c r="I716" s="89"/>
      <c r="J716" s="89"/>
      <c r="K716" s="89"/>
      <c r="L716" s="93"/>
      <c r="M716" s="93"/>
      <c r="N716" s="93"/>
      <c r="O716" s="93"/>
      <c r="P716" s="93"/>
      <c r="Q716" s="93"/>
      <c r="R716" s="93"/>
      <c r="S716" s="93"/>
      <c r="T716" s="93"/>
      <c r="U716" s="93"/>
      <c r="V716" s="93"/>
      <c r="W716" s="93"/>
    </row>
    <row r="717" spans="2:23" s="14" customFormat="1" ht="17.100000000000001" customHeight="1">
      <c r="B717" s="89"/>
      <c r="C717" s="90"/>
      <c r="D717" s="91"/>
      <c r="E717" s="92"/>
      <c r="F717" s="89"/>
      <c r="G717" s="89"/>
      <c r="H717" s="89"/>
      <c r="I717" s="89"/>
      <c r="J717" s="89"/>
      <c r="K717" s="89"/>
      <c r="L717" s="93"/>
      <c r="M717" s="93"/>
      <c r="N717" s="93"/>
      <c r="O717" s="93"/>
      <c r="P717" s="93"/>
      <c r="Q717" s="93"/>
      <c r="R717" s="93"/>
      <c r="S717" s="93"/>
      <c r="T717" s="93"/>
      <c r="U717" s="93"/>
      <c r="V717" s="93"/>
      <c r="W717" s="93"/>
    </row>
    <row r="718" spans="2:23" s="14" customFormat="1" ht="17.100000000000001" customHeight="1">
      <c r="B718" s="89"/>
      <c r="C718" s="90"/>
      <c r="D718" s="91"/>
      <c r="E718" s="92"/>
      <c r="F718" s="89"/>
      <c r="G718" s="89"/>
      <c r="H718" s="89"/>
      <c r="I718" s="89"/>
      <c r="J718" s="89"/>
      <c r="K718" s="89"/>
      <c r="L718" s="93"/>
      <c r="M718" s="93"/>
      <c r="N718" s="93"/>
      <c r="O718" s="93"/>
      <c r="P718" s="93"/>
      <c r="Q718" s="93"/>
      <c r="R718" s="93"/>
      <c r="S718" s="93"/>
      <c r="T718" s="93"/>
      <c r="U718" s="93"/>
      <c r="V718" s="93"/>
      <c r="W718" s="93"/>
    </row>
    <row r="719" spans="2:23" s="14" customFormat="1" ht="17.100000000000001" customHeight="1">
      <c r="B719" s="89"/>
      <c r="C719" s="90"/>
      <c r="D719" s="91"/>
      <c r="E719" s="92"/>
      <c r="F719" s="89"/>
      <c r="G719" s="89"/>
      <c r="H719" s="89"/>
      <c r="I719" s="89"/>
      <c r="J719" s="89"/>
      <c r="K719" s="89"/>
      <c r="L719" s="93"/>
      <c r="M719" s="93"/>
      <c r="N719" s="93"/>
      <c r="O719" s="93"/>
      <c r="P719" s="93"/>
      <c r="Q719" s="93"/>
      <c r="R719" s="93"/>
      <c r="S719" s="93"/>
      <c r="T719" s="93"/>
      <c r="U719" s="93"/>
      <c r="V719" s="93"/>
      <c r="W719" s="93"/>
    </row>
    <row r="720" spans="2:23" s="14" customFormat="1" ht="17.100000000000001" customHeight="1">
      <c r="B720" s="89"/>
      <c r="C720" s="90"/>
      <c r="D720" s="91"/>
      <c r="E720" s="92"/>
      <c r="F720" s="89"/>
      <c r="G720" s="89"/>
      <c r="H720" s="89"/>
      <c r="I720" s="89"/>
      <c r="J720" s="89"/>
      <c r="K720" s="89"/>
      <c r="L720" s="93"/>
      <c r="M720" s="93"/>
      <c r="N720" s="93"/>
      <c r="O720" s="93"/>
      <c r="P720" s="93"/>
      <c r="Q720" s="93"/>
      <c r="R720" s="93"/>
      <c r="S720" s="93"/>
      <c r="T720" s="93"/>
      <c r="U720" s="93"/>
      <c r="V720" s="93"/>
      <c r="W720" s="93"/>
    </row>
    <row r="721" spans="2:23" s="14" customFormat="1" ht="17.100000000000001" customHeight="1">
      <c r="B721" s="89"/>
      <c r="C721" s="90"/>
      <c r="D721" s="91"/>
      <c r="E721" s="92"/>
      <c r="F721" s="89"/>
      <c r="G721" s="89"/>
      <c r="H721" s="89"/>
      <c r="I721" s="89"/>
      <c r="J721" s="89"/>
      <c r="K721" s="89"/>
      <c r="L721" s="93"/>
      <c r="M721" s="93"/>
      <c r="N721" s="93"/>
      <c r="O721" s="93"/>
      <c r="P721" s="93"/>
      <c r="Q721" s="93"/>
      <c r="R721" s="93"/>
      <c r="S721" s="93"/>
      <c r="T721" s="93"/>
      <c r="U721" s="93"/>
      <c r="V721" s="93"/>
      <c r="W721" s="93"/>
    </row>
    <row r="722" spans="2:23" s="14" customFormat="1" ht="17.100000000000001" customHeight="1">
      <c r="B722" s="89"/>
      <c r="C722" s="90"/>
      <c r="D722" s="91"/>
      <c r="E722" s="92"/>
      <c r="F722" s="89"/>
      <c r="G722" s="89"/>
      <c r="H722" s="89"/>
      <c r="I722" s="89"/>
      <c r="J722" s="89"/>
      <c r="K722" s="89"/>
      <c r="L722" s="93"/>
      <c r="M722" s="93"/>
      <c r="N722" s="93"/>
      <c r="O722" s="93"/>
      <c r="P722" s="93"/>
      <c r="Q722" s="93"/>
      <c r="R722" s="93"/>
      <c r="S722" s="93"/>
      <c r="T722" s="93"/>
      <c r="U722" s="93"/>
      <c r="V722" s="93"/>
      <c r="W722" s="93"/>
    </row>
    <row r="723" spans="2:23" s="14" customFormat="1" ht="17.100000000000001" customHeight="1">
      <c r="B723" s="89"/>
      <c r="C723" s="90"/>
      <c r="D723" s="91"/>
      <c r="E723" s="92"/>
      <c r="F723" s="89"/>
      <c r="G723" s="89"/>
      <c r="H723" s="89"/>
      <c r="I723" s="89"/>
      <c r="J723" s="89"/>
      <c r="K723" s="89"/>
      <c r="L723" s="93"/>
      <c r="M723" s="93"/>
      <c r="N723" s="93"/>
      <c r="O723" s="93"/>
      <c r="P723" s="93"/>
      <c r="Q723" s="93"/>
      <c r="R723" s="93"/>
      <c r="S723" s="93"/>
      <c r="T723" s="93"/>
      <c r="U723" s="93"/>
      <c r="V723" s="93"/>
      <c r="W723" s="93"/>
    </row>
    <row r="724" spans="2:23" s="14" customFormat="1" ht="17.100000000000001" customHeight="1">
      <c r="B724" s="89"/>
      <c r="C724" s="90"/>
      <c r="D724" s="91"/>
      <c r="E724" s="92"/>
      <c r="F724" s="89"/>
      <c r="G724" s="89"/>
      <c r="H724" s="89"/>
      <c r="I724" s="89"/>
      <c r="J724" s="89"/>
      <c r="K724" s="89"/>
      <c r="L724" s="93"/>
      <c r="M724" s="93"/>
      <c r="N724" s="93"/>
      <c r="O724" s="93"/>
      <c r="P724" s="93"/>
      <c r="Q724" s="93"/>
      <c r="R724" s="93"/>
      <c r="S724" s="93"/>
      <c r="T724" s="93"/>
      <c r="U724" s="93"/>
      <c r="V724" s="93"/>
      <c r="W724" s="93"/>
    </row>
    <row r="725" spans="2:23" s="14" customFormat="1" ht="17.100000000000001" customHeight="1">
      <c r="B725" s="89"/>
      <c r="C725" s="90"/>
      <c r="D725" s="91"/>
      <c r="E725" s="92"/>
      <c r="F725" s="89"/>
      <c r="G725" s="89"/>
      <c r="H725" s="89"/>
      <c r="I725" s="89"/>
      <c r="J725" s="89"/>
      <c r="K725" s="89"/>
      <c r="L725" s="93"/>
      <c r="M725" s="93"/>
      <c r="N725" s="93"/>
      <c r="O725" s="93"/>
      <c r="P725" s="93"/>
      <c r="Q725" s="93"/>
      <c r="R725" s="93"/>
      <c r="S725" s="93"/>
      <c r="T725" s="93"/>
      <c r="U725" s="93"/>
      <c r="V725" s="93"/>
      <c r="W725" s="93"/>
    </row>
    <row r="726" spans="2:23" s="14" customFormat="1" ht="17.100000000000001" customHeight="1">
      <c r="B726" s="89"/>
      <c r="C726" s="90"/>
      <c r="D726" s="91"/>
      <c r="E726" s="92"/>
      <c r="F726" s="89"/>
      <c r="G726" s="89"/>
      <c r="H726" s="89"/>
      <c r="I726" s="89"/>
      <c r="J726" s="89"/>
      <c r="K726" s="89"/>
      <c r="L726" s="93"/>
      <c r="M726" s="93"/>
      <c r="N726" s="93"/>
      <c r="O726" s="93"/>
      <c r="P726" s="93"/>
      <c r="Q726" s="93"/>
      <c r="R726" s="93"/>
      <c r="S726" s="93"/>
      <c r="T726" s="93"/>
      <c r="U726" s="93"/>
      <c r="V726" s="93"/>
      <c r="W726" s="93"/>
    </row>
    <row r="727" spans="2:23" s="14" customFormat="1" ht="17.100000000000001" customHeight="1">
      <c r="B727" s="89"/>
      <c r="C727" s="90"/>
      <c r="D727" s="91"/>
      <c r="E727" s="92"/>
      <c r="F727" s="89"/>
      <c r="G727" s="89"/>
      <c r="H727" s="89"/>
      <c r="I727" s="89"/>
      <c r="J727" s="89"/>
      <c r="K727" s="89"/>
      <c r="L727" s="93"/>
      <c r="M727" s="93"/>
      <c r="N727" s="93"/>
      <c r="O727" s="93"/>
      <c r="P727" s="93"/>
      <c r="Q727" s="93"/>
      <c r="R727" s="93"/>
      <c r="S727" s="93"/>
      <c r="T727" s="93"/>
      <c r="U727" s="93"/>
      <c r="V727" s="93"/>
      <c r="W727" s="93"/>
    </row>
    <row r="728" spans="2:23" s="14" customFormat="1" ht="17.100000000000001" customHeight="1">
      <c r="B728" s="89"/>
      <c r="C728" s="90"/>
      <c r="D728" s="91"/>
      <c r="E728" s="92"/>
      <c r="F728" s="89"/>
      <c r="G728" s="89"/>
      <c r="H728" s="89"/>
      <c r="I728" s="89"/>
      <c r="J728" s="89"/>
      <c r="K728" s="89"/>
      <c r="L728" s="93"/>
      <c r="M728" s="93"/>
      <c r="N728" s="93"/>
      <c r="O728" s="93"/>
      <c r="P728" s="93"/>
      <c r="Q728" s="93"/>
      <c r="R728" s="93"/>
      <c r="S728" s="93"/>
      <c r="T728" s="93"/>
      <c r="U728" s="93"/>
      <c r="V728" s="93"/>
      <c r="W728" s="93"/>
    </row>
    <row r="729" spans="2:23" s="14" customFormat="1" ht="17.100000000000001" customHeight="1">
      <c r="B729" s="89"/>
      <c r="C729" s="90"/>
      <c r="D729" s="91"/>
      <c r="E729" s="92"/>
      <c r="F729" s="89"/>
      <c r="G729" s="89"/>
      <c r="H729" s="89"/>
      <c r="I729" s="89"/>
      <c r="J729" s="89"/>
      <c r="K729" s="89"/>
      <c r="L729" s="93"/>
      <c r="M729" s="93"/>
      <c r="N729" s="93"/>
      <c r="O729" s="93"/>
      <c r="P729" s="93"/>
      <c r="Q729" s="93"/>
      <c r="R729" s="93"/>
      <c r="S729" s="93"/>
      <c r="T729" s="93"/>
      <c r="U729" s="93"/>
      <c r="V729" s="93"/>
      <c r="W729" s="93"/>
    </row>
    <row r="730" spans="2:23" s="14" customFormat="1" ht="17.100000000000001" customHeight="1">
      <c r="B730" s="89"/>
      <c r="C730" s="90"/>
      <c r="D730" s="91"/>
      <c r="E730" s="92"/>
      <c r="F730" s="89"/>
      <c r="G730" s="89"/>
      <c r="H730" s="89"/>
      <c r="I730" s="89"/>
      <c r="J730" s="89"/>
      <c r="K730" s="89"/>
      <c r="L730" s="93"/>
      <c r="M730" s="93"/>
      <c r="N730" s="93"/>
      <c r="O730" s="93"/>
      <c r="P730" s="93"/>
      <c r="Q730" s="93"/>
      <c r="R730" s="93"/>
      <c r="S730" s="93"/>
      <c r="T730" s="93"/>
      <c r="U730" s="93"/>
      <c r="V730" s="93"/>
      <c r="W730" s="93"/>
    </row>
    <row r="731" spans="2:23" s="14" customFormat="1" ht="17.100000000000001" customHeight="1">
      <c r="B731" s="89"/>
      <c r="C731" s="90"/>
      <c r="D731" s="91"/>
      <c r="E731" s="92"/>
      <c r="F731" s="89"/>
      <c r="G731" s="89"/>
      <c r="H731" s="89"/>
      <c r="I731" s="89"/>
      <c r="J731" s="89"/>
      <c r="K731" s="89"/>
      <c r="L731" s="93"/>
      <c r="M731" s="93"/>
      <c r="N731" s="93"/>
      <c r="O731" s="93"/>
      <c r="P731" s="93"/>
      <c r="Q731" s="93"/>
      <c r="R731" s="93"/>
      <c r="S731" s="93"/>
      <c r="T731" s="93"/>
      <c r="U731" s="93"/>
      <c r="V731" s="93"/>
      <c r="W731" s="93"/>
    </row>
    <row r="732" spans="2:23" s="14" customFormat="1" ht="17.100000000000001" customHeight="1">
      <c r="B732" s="89"/>
      <c r="C732" s="90"/>
      <c r="D732" s="91"/>
      <c r="E732" s="92"/>
      <c r="F732" s="89"/>
      <c r="G732" s="89"/>
      <c r="H732" s="89"/>
      <c r="I732" s="89"/>
      <c r="J732" s="89"/>
      <c r="K732" s="89"/>
      <c r="L732" s="93"/>
      <c r="M732" s="93"/>
      <c r="N732" s="93"/>
      <c r="O732" s="93"/>
      <c r="P732" s="93"/>
      <c r="Q732" s="93"/>
      <c r="R732" s="93"/>
      <c r="S732" s="93"/>
      <c r="T732" s="93"/>
      <c r="U732" s="93"/>
      <c r="V732" s="93"/>
      <c r="W732" s="93"/>
    </row>
    <row r="733" spans="2:23" s="14" customFormat="1" ht="17.100000000000001" customHeight="1">
      <c r="B733" s="89"/>
      <c r="C733" s="90"/>
      <c r="D733" s="91"/>
      <c r="E733" s="92"/>
      <c r="F733" s="89"/>
      <c r="G733" s="89"/>
      <c r="H733" s="89"/>
      <c r="I733" s="89"/>
      <c r="J733" s="89"/>
      <c r="K733" s="89"/>
      <c r="L733" s="93"/>
      <c r="M733" s="93"/>
      <c r="N733" s="93"/>
      <c r="O733" s="93"/>
      <c r="P733" s="93"/>
      <c r="Q733" s="93"/>
      <c r="R733" s="93"/>
      <c r="S733" s="93"/>
      <c r="T733" s="93"/>
      <c r="U733" s="93"/>
      <c r="V733" s="93"/>
      <c r="W733" s="93"/>
    </row>
    <row r="734" spans="2:23" s="14" customFormat="1" ht="17.100000000000001" customHeight="1">
      <c r="B734" s="89"/>
      <c r="C734" s="90"/>
      <c r="D734" s="91"/>
      <c r="E734" s="92"/>
      <c r="F734" s="89"/>
      <c r="G734" s="89"/>
      <c r="H734" s="89"/>
      <c r="I734" s="89"/>
      <c r="J734" s="89"/>
      <c r="K734" s="89"/>
      <c r="L734" s="93"/>
      <c r="M734" s="93"/>
      <c r="N734" s="93"/>
      <c r="O734" s="93"/>
      <c r="P734" s="93"/>
      <c r="Q734" s="93"/>
      <c r="R734" s="93"/>
      <c r="S734" s="93"/>
      <c r="T734" s="93"/>
      <c r="U734" s="93"/>
      <c r="V734" s="93"/>
      <c r="W734" s="93"/>
    </row>
    <row r="735" spans="2:23" s="14" customFormat="1" ht="17.100000000000001" customHeight="1">
      <c r="B735" s="89"/>
      <c r="C735" s="90"/>
      <c r="D735" s="91"/>
      <c r="E735" s="92"/>
      <c r="F735" s="89"/>
      <c r="G735" s="89"/>
      <c r="H735" s="89"/>
      <c r="I735" s="89"/>
      <c r="J735" s="89"/>
      <c r="K735" s="89"/>
      <c r="L735" s="93"/>
      <c r="M735" s="93"/>
      <c r="N735" s="93"/>
      <c r="O735" s="93"/>
      <c r="P735" s="93"/>
      <c r="Q735" s="93"/>
      <c r="R735" s="93"/>
      <c r="S735" s="93"/>
      <c r="T735" s="93"/>
      <c r="U735" s="93"/>
      <c r="V735" s="93"/>
      <c r="W735" s="93"/>
    </row>
    <row r="736" spans="2:23" s="14" customFormat="1" ht="17.100000000000001" customHeight="1">
      <c r="B736" s="89"/>
      <c r="C736" s="90"/>
      <c r="D736" s="91"/>
      <c r="E736" s="92"/>
      <c r="F736" s="89"/>
      <c r="G736" s="89"/>
      <c r="H736" s="89"/>
      <c r="I736" s="89"/>
      <c r="J736" s="89"/>
      <c r="K736" s="89"/>
      <c r="L736" s="93"/>
      <c r="M736" s="93"/>
      <c r="N736" s="93"/>
      <c r="O736" s="93"/>
      <c r="P736" s="93"/>
      <c r="Q736" s="93"/>
      <c r="R736" s="93"/>
      <c r="S736" s="93"/>
      <c r="T736" s="93"/>
      <c r="U736" s="93"/>
      <c r="V736" s="93"/>
      <c r="W736" s="93"/>
    </row>
    <row r="737" spans="2:23" s="14" customFormat="1" ht="17.100000000000001" customHeight="1">
      <c r="B737" s="89"/>
      <c r="C737" s="90"/>
      <c r="D737" s="91"/>
      <c r="E737" s="92"/>
      <c r="F737" s="89"/>
      <c r="G737" s="89"/>
      <c r="H737" s="89"/>
      <c r="I737" s="89"/>
      <c r="J737" s="89"/>
      <c r="K737" s="89"/>
      <c r="L737" s="93"/>
      <c r="M737" s="93"/>
      <c r="N737" s="93"/>
      <c r="O737" s="93"/>
      <c r="P737" s="93"/>
      <c r="Q737" s="93"/>
      <c r="R737" s="93"/>
      <c r="S737" s="93"/>
      <c r="T737" s="93"/>
      <c r="U737" s="93"/>
      <c r="V737" s="93"/>
      <c r="W737" s="93"/>
    </row>
    <row r="738" spans="2:23" s="14" customFormat="1" ht="17.100000000000001" customHeight="1">
      <c r="B738" s="89"/>
      <c r="C738" s="90"/>
      <c r="D738" s="91"/>
      <c r="E738" s="92"/>
      <c r="F738" s="89"/>
      <c r="G738" s="89"/>
      <c r="H738" s="89"/>
      <c r="I738" s="89"/>
      <c r="J738" s="89"/>
      <c r="K738" s="89"/>
      <c r="L738" s="93"/>
      <c r="M738" s="93"/>
      <c r="N738" s="93"/>
      <c r="O738" s="93"/>
      <c r="P738" s="93"/>
      <c r="Q738" s="93"/>
      <c r="R738" s="93"/>
      <c r="S738" s="93"/>
      <c r="T738" s="93"/>
      <c r="U738" s="93"/>
      <c r="V738" s="93"/>
      <c r="W738" s="93"/>
    </row>
    <row r="739" spans="2:23" s="14" customFormat="1" ht="17.100000000000001" customHeight="1">
      <c r="B739" s="89"/>
      <c r="C739" s="90"/>
      <c r="D739" s="91"/>
      <c r="E739" s="92"/>
      <c r="F739" s="89"/>
      <c r="G739" s="89"/>
      <c r="H739" s="89"/>
      <c r="I739" s="89"/>
      <c r="J739" s="89"/>
      <c r="K739" s="89"/>
      <c r="L739" s="93"/>
      <c r="M739" s="93"/>
      <c r="N739" s="93"/>
      <c r="O739" s="93"/>
      <c r="P739" s="93"/>
      <c r="Q739" s="93"/>
      <c r="R739" s="93"/>
      <c r="S739" s="93"/>
      <c r="T739" s="93"/>
      <c r="U739" s="93"/>
      <c r="V739" s="93"/>
      <c r="W739" s="93"/>
    </row>
    <row r="740" spans="2:23" s="14" customFormat="1" ht="17.100000000000001" customHeight="1">
      <c r="B740" s="89"/>
      <c r="C740" s="90"/>
      <c r="D740" s="91"/>
      <c r="E740" s="92"/>
      <c r="F740" s="89"/>
      <c r="G740" s="89"/>
      <c r="H740" s="89"/>
      <c r="I740" s="89"/>
      <c r="J740" s="89"/>
      <c r="K740" s="89"/>
      <c r="L740" s="93"/>
      <c r="M740" s="93"/>
      <c r="N740" s="93"/>
      <c r="O740" s="93"/>
      <c r="P740" s="93"/>
      <c r="Q740" s="93"/>
      <c r="R740" s="93"/>
      <c r="S740" s="93"/>
      <c r="T740" s="93"/>
      <c r="U740" s="93"/>
      <c r="V740" s="93"/>
      <c r="W740" s="93"/>
    </row>
    <row r="741" spans="2:23" s="14" customFormat="1" ht="17.100000000000001" customHeight="1">
      <c r="B741" s="89"/>
      <c r="C741" s="90"/>
      <c r="D741" s="91"/>
      <c r="E741" s="92"/>
      <c r="F741" s="89"/>
      <c r="G741" s="89"/>
      <c r="H741" s="89"/>
      <c r="I741" s="89"/>
      <c r="J741" s="89"/>
      <c r="K741" s="89"/>
      <c r="L741" s="93"/>
      <c r="M741" s="93"/>
      <c r="N741" s="93"/>
      <c r="O741" s="93"/>
      <c r="P741" s="93"/>
      <c r="Q741" s="93"/>
      <c r="R741" s="93"/>
      <c r="S741" s="93"/>
      <c r="T741" s="93"/>
      <c r="U741" s="93"/>
      <c r="V741" s="93"/>
      <c r="W741" s="93"/>
    </row>
    <row r="742" spans="2:23" s="14" customFormat="1" ht="17.100000000000001" customHeight="1">
      <c r="B742" s="89"/>
      <c r="C742" s="90"/>
      <c r="D742" s="91"/>
      <c r="E742" s="92"/>
      <c r="F742" s="89"/>
      <c r="G742" s="89"/>
      <c r="H742" s="89"/>
      <c r="I742" s="89"/>
      <c r="J742" s="89"/>
      <c r="K742" s="89"/>
      <c r="L742" s="93"/>
      <c r="M742" s="93"/>
      <c r="N742" s="93"/>
      <c r="O742" s="93"/>
      <c r="P742" s="93"/>
      <c r="Q742" s="93"/>
      <c r="R742" s="93"/>
      <c r="S742" s="93"/>
      <c r="T742" s="93"/>
      <c r="U742" s="93"/>
      <c r="V742" s="93"/>
      <c r="W742" s="93"/>
    </row>
    <row r="743" spans="2:23" s="14" customFormat="1" ht="17.100000000000001" customHeight="1">
      <c r="B743" s="89"/>
      <c r="C743" s="90"/>
      <c r="D743" s="91"/>
      <c r="E743" s="92"/>
      <c r="F743" s="89"/>
      <c r="G743" s="89"/>
      <c r="H743" s="89"/>
      <c r="I743" s="89"/>
      <c r="J743" s="89"/>
      <c r="K743" s="89"/>
      <c r="L743" s="93"/>
      <c r="M743" s="93"/>
      <c r="N743" s="93"/>
      <c r="O743" s="93"/>
      <c r="P743" s="93"/>
      <c r="Q743" s="93"/>
      <c r="R743" s="93"/>
      <c r="S743" s="93"/>
      <c r="T743" s="93"/>
      <c r="U743" s="93"/>
      <c r="V743" s="93"/>
      <c r="W743" s="93"/>
    </row>
    <row r="744" spans="2:23" s="14" customFormat="1" ht="17.100000000000001" customHeight="1">
      <c r="B744" s="89"/>
      <c r="C744" s="90"/>
      <c r="D744" s="91"/>
      <c r="E744" s="92"/>
      <c r="F744" s="89"/>
      <c r="G744" s="89"/>
      <c r="H744" s="89"/>
      <c r="I744" s="89"/>
      <c r="J744" s="89"/>
      <c r="K744" s="89"/>
      <c r="L744" s="93"/>
      <c r="M744" s="93"/>
      <c r="N744" s="93"/>
      <c r="O744" s="93"/>
      <c r="P744" s="93"/>
      <c r="Q744" s="93"/>
      <c r="R744" s="93"/>
      <c r="S744" s="93"/>
      <c r="T744" s="93"/>
      <c r="U744" s="93"/>
      <c r="V744" s="93"/>
      <c r="W744" s="93"/>
    </row>
    <row r="745" spans="2:23" s="14" customFormat="1" ht="17.100000000000001" customHeight="1">
      <c r="B745" s="89"/>
      <c r="C745" s="90"/>
      <c r="D745" s="91"/>
      <c r="E745" s="92"/>
      <c r="F745" s="89"/>
      <c r="G745" s="89"/>
      <c r="H745" s="89"/>
      <c r="I745" s="89"/>
      <c r="J745" s="89"/>
      <c r="K745" s="89"/>
      <c r="L745" s="93"/>
      <c r="M745" s="93"/>
      <c r="N745" s="93"/>
      <c r="O745" s="93"/>
      <c r="P745" s="93"/>
      <c r="Q745" s="93"/>
      <c r="R745" s="93"/>
      <c r="S745" s="93"/>
      <c r="T745" s="93"/>
      <c r="U745" s="93"/>
      <c r="V745" s="93"/>
      <c r="W745" s="93"/>
    </row>
    <row r="746" spans="2:23" s="14" customFormat="1" ht="17.100000000000001" customHeight="1">
      <c r="B746" s="89"/>
      <c r="C746" s="90"/>
      <c r="D746" s="91"/>
      <c r="E746" s="92"/>
      <c r="F746" s="89"/>
      <c r="G746" s="89"/>
      <c r="H746" s="89"/>
      <c r="I746" s="89"/>
      <c r="J746" s="89"/>
      <c r="K746" s="89"/>
      <c r="L746" s="93"/>
      <c r="M746" s="93"/>
      <c r="N746" s="93"/>
      <c r="O746" s="93"/>
      <c r="P746" s="93"/>
      <c r="Q746" s="93"/>
      <c r="R746" s="93"/>
      <c r="S746" s="93"/>
      <c r="T746" s="93"/>
      <c r="U746" s="93"/>
      <c r="V746" s="93"/>
      <c r="W746" s="93"/>
    </row>
    <row r="747" spans="2:23" s="14" customFormat="1" ht="17.100000000000001" customHeight="1">
      <c r="B747" s="89"/>
      <c r="C747" s="90"/>
      <c r="D747" s="91"/>
      <c r="E747" s="92"/>
      <c r="F747" s="89"/>
      <c r="G747" s="89"/>
      <c r="H747" s="89"/>
      <c r="I747" s="89"/>
      <c r="J747" s="89"/>
      <c r="K747" s="89"/>
      <c r="L747" s="93"/>
      <c r="M747" s="93"/>
      <c r="N747" s="93"/>
      <c r="O747" s="93"/>
      <c r="P747" s="93"/>
      <c r="Q747" s="93"/>
      <c r="R747" s="93"/>
      <c r="S747" s="93"/>
      <c r="T747" s="93"/>
      <c r="U747" s="93"/>
      <c r="V747" s="93"/>
      <c r="W747" s="93"/>
    </row>
    <row r="748" spans="2:23" s="14" customFormat="1" ht="17.100000000000001" customHeight="1">
      <c r="B748" s="89"/>
      <c r="C748" s="90"/>
      <c r="D748" s="91"/>
      <c r="E748" s="92"/>
      <c r="F748" s="89"/>
      <c r="G748" s="89"/>
      <c r="H748" s="89"/>
      <c r="I748" s="89"/>
      <c r="J748" s="89"/>
      <c r="K748" s="89"/>
      <c r="L748" s="93"/>
      <c r="M748" s="93"/>
      <c r="N748" s="93"/>
      <c r="O748" s="93"/>
      <c r="P748" s="93"/>
      <c r="Q748" s="93"/>
      <c r="R748" s="93"/>
      <c r="S748" s="93"/>
      <c r="T748" s="93"/>
      <c r="U748" s="93"/>
      <c r="V748" s="93"/>
      <c r="W748" s="93"/>
    </row>
    <row r="749" spans="2:23" s="14" customFormat="1" ht="17.100000000000001" customHeight="1">
      <c r="B749" s="89"/>
      <c r="C749" s="90"/>
      <c r="D749" s="91"/>
      <c r="E749" s="92"/>
      <c r="F749" s="89"/>
      <c r="G749" s="89"/>
      <c r="H749" s="89"/>
      <c r="I749" s="89"/>
      <c r="J749" s="89"/>
      <c r="K749" s="89"/>
      <c r="L749" s="93"/>
      <c r="M749" s="93"/>
      <c r="N749" s="93"/>
      <c r="O749" s="93"/>
      <c r="P749" s="93"/>
      <c r="Q749" s="93"/>
      <c r="R749" s="93"/>
      <c r="S749" s="93"/>
      <c r="T749" s="93"/>
      <c r="U749" s="93"/>
      <c r="V749" s="93"/>
      <c r="W749" s="93"/>
    </row>
    <row r="750" spans="2:23" s="14" customFormat="1" ht="17.100000000000001" customHeight="1">
      <c r="B750" s="89"/>
      <c r="C750" s="90"/>
      <c r="D750" s="91"/>
      <c r="E750" s="92"/>
      <c r="F750" s="89"/>
      <c r="G750" s="89"/>
      <c r="H750" s="89"/>
      <c r="I750" s="89"/>
      <c r="J750" s="89"/>
      <c r="K750" s="89"/>
      <c r="L750" s="93"/>
      <c r="M750" s="93"/>
      <c r="N750" s="93"/>
      <c r="O750" s="93"/>
      <c r="P750" s="93"/>
      <c r="Q750" s="93"/>
      <c r="R750" s="93"/>
      <c r="S750" s="93"/>
      <c r="T750" s="93"/>
      <c r="U750" s="93"/>
      <c r="V750" s="93"/>
      <c r="W750" s="93"/>
    </row>
    <row r="751" spans="2:23" s="14" customFormat="1" ht="17.100000000000001" customHeight="1">
      <c r="B751" s="89"/>
      <c r="C751" s="90"/>
      <c r="D751" s="91"/>
      <c r="E751" s="92"/>
      <c r="F751" s="89"/>
      <c r="G751" s="89"/>
      <c r="H751" s="89"/>
      <c r="I751" s="89"/>
      <c r="J751" s="89"/>
      <c r="K751" s="89"/>
      <c r="L751" s="93"/>
      <c r="M751" s="93"/>
      <c r="N751" s="93"/>
      <c r="O751" s="93"/>
      <c r="P751" s="93"/>
      <c r="Q751" s="93"/>
      <c r="R751" s="93"/>
      <c r="S751" s="93"/>
      <c r="T751" s="93"/>
      <c r="U751" s="93"/>
      <c r="V751" s="93"/>
      <c r="W751" s="93"/>
    </row>
    <row r="752" spans="2:23" s="14" customFormat="1" ht="17.100000000000001" customHeight="1">
      <c r="B752" s="89"/>
      <c r="C752" s="90"/>
      <c r="D752" s="91"/>
      <c r="E752" s="92"/>
      <c r="F752" s="89"/>
      <c r="G752" s="89"/>
      <c r="H752" s="89"/>
      <c r="I752" s="89"/>
      <c r="J752" s="89"/>
      <c r="K752" s="89"/>
      <c r="L752" s="93"/>
      <c r="M752" s="93"/>
      <c r="N752" s="93"/>
      <c r="O752" s="93"/>
      <c r="P752" s="93"/>
      <c r="Q752" s="93"/>
      <c r="R752" s="93"/>
      <c r="S752" s="93"/>
      <c r="T752" s="93"/>
      <c r="U752" s="93"/>
      <c r="V752" s="93"/>
      <c r="W752" s="93"/>
    </row>
    <row r="753" spans="2:23" s="14" customFormat="1" ht="17.100000000000001" customHeight="1">
      <c r="B753" s="89"/>
      <c r="C753" s="90"/>
      <c r="D753" s="91"/>
      <c r="E753" s="92"/>
      <c r="F753" s="89"/>
      <c r="G753" s="89"/>
      <c r="H753" s="89"/>
      <c r="I753" s="89"/>
      <c r="J753" s="89"/>
      <c r="K753" s="89"/>
      <c r="L753" s="93"/>
      <c r="M753" s="93"/>
      <c r="N753" s="93"/>
      <c r="O753" s="93"/>
      <c r="P753" s="93"/>
      <c r="Q753" s="93"/>
      <c r="R753" s="93"/>
      <c r="S753" s="93"/>
      <c r="T753" s="93"/>
      <c r="U753" s="93"/>
      <c r="V753" s="93"/>
      <c r="W753" s="93"/>
    </row>
    <row r="754" spans="2:23" s="14" customFormat="1" ht="17.100000000000001" customHeight="1">
      <c r="B754" s="89"/>
      <c r="C754" s="90"/>
      <c r="D754" s="91"/>
      <c r="E754" s="92"/>
      <c r="F754" s="89"/>
      <c r="G754" s="89"/>
      <c r="H754" s="89"/>
      <c r="I754" s="89"/>
      <c r="J754" s="89"/>
      <c r="K754" s="89"/>
      <c r="L754" s="93"/>
      <c r="M754" s="93"/>
      <c r="N754" s="93"/>
      <c r="O754" s="93"/>
      <c r="P754" s="93"/>
      <c r="Q754" s="93"/>
      <c r="R754" s="93"/>
      <c r="S754" s="93"/>
      <c r="T754" s="93"/>
      <c r="U754" s="93"/>
      <c r="V754" s="93"/>
      <c r="W754" s="93"/>
    </row>
    <row r="755" spans="2:23" s="14" customFormat="1" ht="17.100000000000001" customHeight="1">
      <c r="B755" s="89"/>
      <c r="C755" s="90"/>
      <c r="D755" s="91"/>
      <c r="E755" s="92"/>
      <c r="F755" s="89"/>
      <c r="G755" s="89"/>
      <c r="H755" s="89"/>
      <c r="I755" s="89"/>
      <c r="J755" s="89"/>
      <c r="K755" s="89"/>
      <c r="L755" s="93"/>
      <c r="M755" s="93"/>
      <c r="N755" s="93"/>
      <c r="O755" s="93"/>
      <c r="P755" s="93"/>
      <c r="Q755" s="93"/>
      <c r="R755" s="93"/>
      <c r="S755" s="93"/>
      <c r="T755" s="93"/>
      <c r="U755" s="93"/>
      <c r="V755" s="93"/>
      <c r="W755" s="93"/>
    </row>
    <row r="756" spans="2:23" s="14" customFormat="1" ht="17.100000000000001" customHeight="1">
      <c r="B756" s="89"/>
      <c r="C756" s="90"/>
      <c r="D756" s="91"/>
      <c r="E756" s="92"/>
      <c r="F756" s="89"/>
      <c r="G756" s="89"/>
      <c r="H756" s="89"/>
      <c r="I756" s="89"/>
      <c r="J756" s="89"/>
      <c r="K756" s="89"/>
      <c r="L756" s="93"/>
      <c r="M756" s="93"/>
      <c r="N756" s="93"/>
      <c r="O756" s="93"/>
      <c r="P756" s="93"/>
      <c r="Q756" s="93"/>
      <c r="R756" s="93"/>
      <c r="S756" s="93"/>
      <c r="T756" s="93"/>
      <c r="U756" s="93"/>
      <c r="V756" s="93"/>
      <c r="W756" s="93"/>
    </row>
    <row r="757" spans="2:23" s="14" customFormat="1" ht="17.100000000000001" customHeight="1">
      <c r="B757" s="89"/>
      <c r="C757" s="90"/>
      <c r="D757" s="91"/>
      <c r="E757" s="92"/>
      <c r="F757" s="89"/>
      <c r="G757" s="89"/>
      <c r="H757" s="89"/>
      <c r="I757" s="89"/>
      <c r="J757" s="89"/>
      <c r="K757" s="89"/>
      <c r="L757" s="93"/>
      <c r="M757" s="93"/>
      <c r="N757" s="93"/>
      <c r="O757" s="93"/>
      <c r="P757" s="93"/>
      <c r="Q757" s="93"/>
      <c r="R757" s="93"/>
      <c r="S757" s="93"/>
      <c r="T757" s="93"/>
      <c r="U757" s="93"/>
      <c r="V757" s="93"/>
      <c r="W757" s="93"/>
    </row>
    <row r="758" spans="2:23" s="14" customFormat="1" ht="17.100000000000001" customHeight="1">
      <c r="B758" s="89"/>
      <c r="C758" s="90"/>
      <c r="D758" s="91"/>
      <c r="E758" s="92"/>
      <c r="F758" s="89"/>
      <c r="G758" s="89"/>
      <c r="H758" s="89"/>
      <c r="I758" s="89"/>
      <c r="J758" s="89"/>
      <c r="K758" s="89"/>
      <c r="L758" s="93"/>
      <c r="M758" s="93"/>
      <c r="N758" s="93"/>
      <c r="O758" s="93"/>
      <c r="P758" s="93"/>
      <c r="Q758" s="93"/>
      <c r="R758" s="93"/>
      <c r="S758" s="93"/>
      <c r="T758" s="93"/>
      <c r="U758" s="93"/>
      <c r="V758" s="93"/>
      <c r="W758" s="93"/>
    </row>
    <row r="759" spans="2:23" s="14" customFormat="1" ht="17.100000000000001" customHeight="1">
      <c r="B759" s="89"/>
      <c r="C759" s="90"/>
      <c r="D759" s="91"/>
      <c r="E759" s="92"/>
      <c r="F759" s="89"/>
      <c r="G759" s="89"/>
      <c r="H759" s="89"/>
      <c r="I759" s="89"/>
      <c r="J759" s="89"/>
      <c r="K759" s="89"/>
      <c r="L759" s="93"/>
      <c r="M759" s="93"/>
      <c r="N759" s="93"/>
      <c r="O759" s="93"/>
      <c r="P759" s="93"/>
      <c r="Q759" s="93"/>
      <c r="R759" s="93"/>
      <c r="S759" s="93"/>
      <c r="T759" s="93"/>
      <c r="U759" s="93"/>
      <c r="V759" s="93"/>
      <c r="W759" s="93"/>
    </row>
    <row r="760" spans="2:23" s="14" customFormat="1" ht="17.100000000000001" customHeight="1">
      <c r="B760" s="89"/>
      <c r="C760" s="90"/>
      <c r="D760" s="91"/>
      <c r="E760" s="92"/>
      <c r="F760" s="89"/>
      <c r="G760" s="89"/>
      <c r="H760" s="89"/>
      <c r="I760" s="89"/>
      <c r="J760" s="89"/>
      <c r="K760" s="89"/>
      <c r="L760" s="93"/>
      <c r="M760" s="93"/>
      <c r="N760" s="93"/>
      <c r="O760" s="93"/>
      <c r="P760" s="93"/>
      <c r="Q760" s="93"/>
      <c r="R760" s="93"/>
      <c r="S760" s="93"/>
      <c r="T760" s="93"/>
      <c r="U760" s="93"/>
      <c r="V760" s="93"/>
      <c r="W760" s="93"/>
    </row>
    <row r="761" spans="2:23" s="14" customFormat="1" ht="17.100000000000001" customHeight="1">
      <c r="B761" s="89"/>
      <c r="C761" s="90"/>
      <c r="D761" s="91"/>
      <c r="E761" s="92"/>
      <c r="F761" s="89"/>
      <c r="G761" s="89"/>
      <c r="H761" s="89"/>
      <c r="I761" s="89"/>
      <c r="J761" s="89"/>
      <c r="K761" s="89"/>
      <c r="L761" s="93"/>
      <c r="M761" s="93"/>
      <c r="N761" s="93"/>
      <c r="O761" s="93"/>
      <c r="P761" s="93"/>
      <c r="Q761" s="93"/>
      <c r="R761" s="93"/>
      <c r="S761" s="93"/>
      <c r="T761" s="93"/>
      <c r="U761" s="93"/>
      <c r="V761" s="93"/>
      <c r="W761" s="93"/>
    </row>
    <row r="762" spans="2:23" s="14" customFormat="1" ht="17.100000000000001" customHeight="1">
      <c r="B762" s="89"/>
      <c r="C762" s="90"/>
      <c r="D762" s="91"/>
      <c r="E762" s="92"/>
      <c r="F762" s="89"/>
      <c r="G762" s="89"/>
      <c r="H762" s="89"/>
      <c r="I762" s="89"/>
      <c r="J762" s="89"/>
      <c r="K762" s="89"/>
      <c r="L762" s="93"/>
      <c r="M762" s="93"/>
      <c r="N762" s="93"/>
      <c r="O762" s="93"/>
      <c r="P762" s="93"/>
      <c r="Q762" s="93"/>
      <c r="R762" s="93"/>
      <c r="S762" s="93"/>
      <c r="T762" s="93"/>
      <c r="U762" s="93"/>
      <c r="V762" s="93"/>
      <c r="W762" s="93"/>
    </row>
    <row r="763" spans="2:23" s="14" customFormat="1" ht="17.100000000000001" customHeight="1">
      <c r="B763" s="89"/>
      <c r="C763" s="90"/>
      <c r="D763" s="91"/>
      <c r="E763" s="92"/>
      <c r="F763" s="89"/>
      <c r="G763" s="89"/>
      <c r="H763" s="89"/>
      <c r="I763" s="89"/>
      <c r="J763" s="89"/>
      <c r="K763" s="89"/>
      <c r="L763" s="93"/>
      <c r="M763" s="93"/>
      <c r="N763" s="93"/>
      <c r="O763" s="93"/>
      <c r="P763" s="93"/>
      <c r="Q763" s="93"/>
      <c r="R763" s="93"/>
      <c r="S763" s="93"/>
      <c r="T763" s="93"/>
      <c r="U763" s="93"/>
      <c r="V763" s="93"/>
      <c r="W763" s="93"/>
    </row>
    <row r="764" spans="2:23" s="14" customFormat="1" ht="17.100000000000001" customHeight="1">
      <c r="B764" s="89"/>
      <c r="C764" s="90"/>
      <c r="D764" s="91"/>
      <c r="E764" s="92"/>
      <c r="F764" s="89"/>
      <c r="G764" s="89"/>
      <c r="H764" s="89"/>
      <c r="I764" s="89"/>
      <c r="J764" s="89"/>
      <c r="K764" s="89"/>
      <c r="L764" s="93"/>
      <c r="M764" s="93"/>
      <c r="N764" s="93"/>
      <c r="O764" s="93"/>
      <c r="P764" s="93"/>
      <c r="Q764" s="93"/>
      <c r="R764" s="93"/>
      <c r="S764" s="93"/>
      <c r="T764" s="93"/>
      <c r="U764" s="93"/>
      <c r="V764" s="93"/>
      <c r="W764" s="93"/>
    </row>
    <row r="765" spans="2:23" s="14" customFormat="1" ht="17.100000000000001" customHeight="1">
      <c r="B765" s="89"/>
      <c r="C765" s="90"/>
      <c r="D765" s="91"/>
      <c r="E765" s="92"/>
      <c r="F765" s="89"/>
      <c r="G765" s="89"/>
      <c r="H765" s="89"/>
      <c r="I765" s="89"/>
      <c r="J765" s="89"/>
      <c r="K765" s="89"/>
      <c r="L765" s="93"/>
      <c r="M765" s="93"/>
      <c r="N765" s="93"/>
      <c r="O765" s="93"/>
      <c r="P765" s="93"/>
      <c r="Q765" s="93"/>
      <c r="R765" s="93"/>
      <c r="S765" s="93"/>
      <c r="T765" s="93"/>
      <c r="U765" s="93"/>
      <c r="V765" s="93"/>
      <c r="W765" s="93"/>
    </row>
    <row r="766" spans="2:23" s="14" customFormat="1" ht="17.100000000000001" customHeight="1">
      <c r="B766" s="89"/>
      <c r="C766" s="90"/>
      <c r="D766" s="91"/>
      <c r="E766" s="92"/>
      <c r="F766" s="89"/>
      <c r="G766" s="89"/>
      <c r="H766" s="89"/>
      <c r="I766" s="89"/>
      <c r="J766" s="89"/>
      <c r="K766" s="89"/>
      <c r="L766" s="93"/>
      <c r="M766" s="93"/>
      <c r="N766" s="93"/>
      <c r="O766" s="93"/>
      <c r="P766" s="93"/>
      <c r="Q766" s="93"/>
      <c r="R766" s="93"/>
      <c r="S766" s="93"/>
      <c r="T766" s="93"/>
      <c r="U766" s="93"/>
      <c r="V766" s="93"/>
      <c r="W766" s="93"/>
    </row>
    <row r="767" spans="2:23" s="14" customFormat="1" ht="17.100000000000001" customHeight="1">
      <c r="B767" s="89"/>
      <c r="C767" s="90"/>
      <c r="D767" s="91"/>
      <c r="E767" s="92"/>
      <c r="F767" s="89"/>
      <c r="G767" s="89"/>
      <c r="H767" s="89"/>
      <c r="I767" s="89"/>
      <c r="J767" s="89"/>
      <c r="K767" s="89"/>
      <c r="L767" s="93"/>
      <c r="M767" s="93"/>
      <c r="N767" s="93"/>
      <c r="O767" s="93"/>
      <c r="P767" s="93"/>
      <c r="Q767" s="93"/>
      <c r="R767" s="93"/>
      <c r="S767" s="93"/>
      <c r="T767" s="93"/>
      <c r="U767" s="93"/>
      <c r="V767" s="93"/>
      <c r="W767" s="93"/>
    </row>
    <row r="768" spans="2:23" s="14" customFormat="1" ht="17.100000000000001" customHeight="1">
      <c r="B768" s="89"/>
      <c r="C768" s="90"/>
      <c r="D768" s="91"/>
      <c r="E768" s="92"/>
      <c r="F768" s="89"/>
      <c r="G768" s="89"/>
      <c r="H768" s="89"/>
      <c r="I768" s="89"/>
      <c r="J768" s="89"/>
      <c r="K768" s="89"/>
      <c r="L768" s="93"/>
      <c r="M768" s="93"/>
      <c r="N768" s="93"/>
      <c r="O768" s="93"/>
      <c r="P768" s="93"/>
      <c r="Q768" s="93"/>
      <c r="R768" s="93"/>
      <c r="S768" s="93"/>
      <c r="T768" s="93"/>
      <c r="U768" s="93"/>
      <c r="V768" s="93"/>
      <c r="W768" s="93"/>
    </row>
    <row r="769" spans="2:23" s="14" customFormat="1" ht="17.100000000000001" customHeight="1">
      <c r="B769" s="89"/>
      <c r="C769" s="90"/>
      <c r="D769" s="91"/>
      <c r="E769" s="92"/>
      <c r="F769" s="89"/>
      <c r="G769" s="89"/>
      <c r="H769" s="89"/>
      <c r="I769" s="89"/>
      <c r="J769" s="89"/>
      <c r="K769" s="89"/>
      <c r="L769" s="93"/>
      <c r="M769" s="93"/>
      <c r="N769" s="93"/>
      <c r="O769" s="93"/>
      <c r="P769" s="93"/>
      <c r="Q769" s="93"/>
      <c r="R769" s="93"/>
      <c r="S769" s="93"/>
      <c r="T769" s="93"/>
      <c r="U769" s="93"/>
      <c r="V769" s="93"/>
      <c r="W769" s="93"/>
    </row>
    <row r="770" spans="2:23" s="14" customFormat="1" ht="17.100000000000001" customHeight="1">
      <c r="B770" s="89"/>
      <c r="C770" s="90"/>
      <c r="D770" s="91"/>
      <c r="E770" s="92"/>
      <c r="F770" s="89"/>
      <c r="G770" s="89"/>
      <c r="H770" s="89"/>
      <c r="I770" s="89"/>
      <c r="J770" s="89"/>
      <c r="K770" s="89"/>
      <c r="L770" s="93"/>
      <c r="M770" s="93"/>
      <c r="N770" s="93"/>
      <c r="O770" s="93"/>
      <c r="P770" s="93"/>
      <c r="Q770" s="93"/>
      <c r="R770" s="93"/>
      <c r="S770" s="93"/>
      <c r="T770" s="93"/>
      <c r="U770" s="93"/>
      <c r="V770" s="93"/>
      <c r="W770" s="93"/>
    </row>
    <row r="771" spans="2:23" s="14" customFormat="1" ht="17.100000000000001" customHeight="1">
      <c r="B771" s="89"/>
      <c r="C771" s="90"/>
      <c r="D771" s="91"/>
      <c r="E771" s="92"/>
      <c r="F771" s="89"/>
      <c r="G771" s="89"/>
      <c r="H771" s="89"/>
      <c r="I771" s="89"/>
      <c r="J771" s="89"/>
      <c r="K771" s="89"/>
      <c r="L771" s="93"/>
      <c r="M771" s="93"/>
      <c r="N771" s="93"/>
      <c r="O771" s="93"/>
      <c r="P771" s="93"/>
      <c r="Q771" s="93"/>
      <c r="R771" s="93"/>
      <c r="S771" s="93"/>
      <c r="T771" s="93"/>
      <c r="U771" s="93"/>
      <c r="V771" s="93"/>
      <c r="W771" s="93"/>
    </row>
    <row r="772" spans="2:23" s="14" customFormat="1" ht="17.100000000000001" customHeight="1">
      <c r="B772" s="89"/>
      <c r="C772" s="90"/>
      <c r="D772" s="91"/>
      <c r="E772" s="92"/>
      <c r="F772" s="89"/>
      <c r="G772" s="89"/>
      <c r="H772" s="89"/>
      <c r="I772" s="89"/>
      <c r="J772" s="89"/>
      <c r="K772" s="89"/>
      <c r="L772" s="93"/>
      <c r="M772" s="93"/>
      <c r="N772" s="93"/>
      <c r="O772" s="93"/>
      <c r="P772" s="93"/>
      <c r="Q772" s="93"/>
      <c r="R772" s="93"/>
      <c r="S772" s="93"/>
      <c r="T772" s="93"/>
      <c r="U772" s="93"/>
      <c r="V772" s="93"/>
      <c r="W772" s="93"/>
    </row>
    <row r="773" spans="2:23" s="14" customFormat="1" ht="17.100000000000001" customHeight="1">
      <c r="B773" s="89"/>
      <c r="C773" s="90"/>
      <c r="D773" s="91"/>
      <c r="E773" s="92"/>
      <c r="F773" s="89"/>
      <c r="G773" s="89"/>
      <c r="H773" s="89"/>
      <c r="I773" s="89"/>
      <c r="J773" s="89"/>
      <c r="K773" s="89"/>
      <c r="L773" s="93"/>
      <c r="M773" s="93"/>
      <c r="N773" s="93"/>
      <c r="O773" s="93"/>
      <c r="P773" s="93"/>
      <c r="Q773" s="93"/>
      <c r="R773" s="93"/>
      <c r="S773" s="93"/>
      <c r="T773" s="93"/>
      <c r="U773" s="93"/>
      <c r="V773" s="93"/>
      <c r="W773" s="93"/>
    </row>
    <row r="774" spans="2:23" s="14" customFormat="1" ht="17.100000000000001" customHeight="1">
      <c r="B774" s="89"/>
      <c r="C774" s="90"/>
      <c r="D774" s="91"/>
      <c r="E774" s="92"/>
      <c r="F774" s="89"/>
      <c r="G774" s="89"/>
      <c r="H774" s="89"/>
      <c r="I774" s="89"/>
      <c r="J774" s="89"/>
      <c r="K774" s="89"/>
      <c r="L774" s="93"/>
      <c r="M774" s="93"/>
      <c r="N774" s="93"/>
      <c r="O774" s="93"/>
      <c r="P774" s="93"/>
      <c r="Q774" s="93"/>
      <c r="R774" s="93"/>
      <c r="S774" s="93"/>
      <c r="T774" s="93"/>
      <c r="U774" s="93"/>
      <c r="V774" s="93"/>
      <c r="W774" s="93"/>
    </row>
    <row r="775" spans="2:23" s="14" customFormat="1" ht="17.100000000000001" customHeight="1">
      <c r="B775" s="89"/>
      <c r="C775" s="90"/>
      <c r="D775" s="91"/>
      <c r="E775" s="92"/>
      <c r="F775" s="89"/>
      <c r="G775" s="89"/>
      <c r="H775" s="89"/>
      <c r="I775" s="89"/>
      <c r="J775" s="89"/>
      <c r="K775" s="89"/>
      <c r="L775" s="93"/>
      <c r="M775" s="93"/>
      <c r="N775" s="93"/>
      <c r="O775" s="93"/>
      <c r="P775" s="93"/>
      <c r="Q775" s="93"/>
      <c r="R775" s="93"/>
      <c r="S775" s="93"/>
      <c r="T775" s="93"/>
      <c r="U775" s="93"/>
      <c r="V775" s="93"/>
      <c r="W775" s="93"/>
    </row>
    <row r="776" spans="2:23" s="14" customFormat="1" ht="17.100000000000001" customHeight="1">
      <c r="B776" s="89"/>
      <c r="C776" s="90"/>
      <c r="D776" s="91"/>
      <c r="E776" s="92"/>
      <c r="F776" s="89"/>
      <c r="G776" s="89"/>
      <c r="H776" s="89"/>
      <c r="I776" s="89"/>
      <c r="J776" s="89"/>
      <c r="K776" s="89"/>
      <c r="L776" s="93"/>
      <c r="M776" s="93"/>
      <c r="N776" s="93"/>
      <c r="O776" s="93"/>
      <c r="P776" s="93"/>
      <c r="Q776" s="93"/>
      <c r="R776" s="93"/>
      <c r="S776" s="93"/>
      <c r="T776" s="93"/>
      <c r="U776" s="93"/>
      <c r="V776" s="93"/>
      <c r="W776" s="93"/>
    </row>
    <row r="777" spans="2:23" s="14" customFormat="1" ht="17.100000000000001" customHeight="1">
      <c r="B777" s="89"/>
      <c r="C777" s="90"/>
      <c r="D777" s="91"/>
      <c r="E777" s="92"/>
      <c r="F777" s="89"/>
      <c r="G777" s="89"/>
      <c r="H777" s="89"/>
      <c r="I777" s="89"/>
      <c r="J777" s="89"/>
      <c r="K777" s="89"/>
      <c r="L777" s="93"/>
      <c r="M777" s="93"/>
      <c r="N777" s="93"/>
      <c r="O777" s="93"/>
      <c r="P777" s="93"/>
      <c r="Q777" s="93"/>
      <c r="R777" s="93"/>
      <c r="S777" s="93"/>
      <c r="T777" s="93"/>
      <c r="U777" s="93"/>
      <c r="V777" s="93"/>
      <c r="W777" s="93"/>
    </row>
    <row r="778" spans="2:23" s="14" customFormat="1" ht="17.100000000000001" customHeight="1">
      <c r="B778" s="89"/>
      <c r="C778" s="90"/>
      <c r="D778" s="91"/>
      <c r="E778" s="92"/>
      <c r="F778" s="89"/>
      <c r="G778" s="89"/>
      <c r="H778" s="89"/>
      <c r="I778" s="89"/>
      <c r="J778" s="89"/>
      <c r="K778" s="89"/>
      <c r="L778" s="93"/>
      <c r="M778" s="93"/>
      <c r="N778" s="93"/>
      <c r="O778" s="93"/>
      <c r="P778" s="93"/>
      <c r="Q778" s="93"/>
      <c r="R778" s="93"/>
      <c r="S778" s="93"/>
      <c r="T778" s="93"/>
      <c r="U778" s="93"/>
      <c r="V778" s="93"/>
      <c r="W778" s="93"/>
    </row>
    <row r="779" spans="2:23" s="14" customFormat="1" ht="17.100000000000001" customHeight="1">
      <c r="B779" s="89"/>
      <c r="C779" s="90"/>
      <c r="D779" s="91"/>
      <c r="E779" s="92"/>
      <c r="F779" s="89"/>
      <c r="G779" s="89"/>
      <c r="H779" s="89"/>
      <c r="I779" s="89"/>
      <c r="J779" s="89"/>
      <c r="K779" s="89"/>
      <c r="L779" s="93"/>
      <c r="M779" s="93"/>
      <c r="N779" s="93"/>
      <c r="O779" s="93"/>
      <c r="P779" s="93"/>
      <c r="Q779" s="93"/>
      <c r="R779" s="93"/>
      <c r="S779" s="93"/>
      <c r="T779" s="93"/>
      <c r="U779" s="93"/>
      <c r="V779" s="93"/>
      <c r="W779" s="93"/>
    </row>
    <row r="780" spans="2:23" s="14" customFormat="1" ht="17.100000000000001" customHeight="1">
      <c r="B780" s="89"/>
      <c r="C780" s="90"/>
      <c r="D780" s="91"/>
      <c r="E780" s="92"/>
      <c r="F780" s="89"/>
      <c r="G780" s="89"/>
      <c r="H780" s="89"/>
      <c r="I780" s="89"/>
      <c r="J780" s="89"/>
      <c r="K780" s="89"/>
      <c r="L780" s="93"/>
      <c r="M780" s="93"/>
      <c r="N780" s="93"/>
      <c r="O780" s="93"/>
      <c r="P780" s="93"/>
      <c r="Q780" s="93"/>
      <c r="R780" s="93"/>
      <c r="S780" s="93"/>
      <c r="T780" s="93"/>
      <c r="U780" s="93"/>
      <c r="V780" s="93"/>
      <c r="W780" s="93"/>
    </row>
    <row r="781" spans="2:23" s="14" customFormat="1" ht="17.100000000000001" customHeight="1">
      <c r="B781" s="89"/>
      <c r="C781" s="90"/>
      <c r="D781" s="91"/>
      <c r="E781" s="92"/>
      <c r="F781" s="89"/>
      <c r="G781" s="89"/>
      <c r="H781" s="89"/>
      <c r="I781" s="89"/>
      <c r="J781" s="89"/>
      <c r="K781" s="89"/>
      <c r="L781" s="93"/>
      <c r="M781" s="93"/>
      <c r="N781" s="93"/>
      <c r="O781" s="93"/>
      <c r="P781" s="93"/>
      <c r="Q781" s="93"/>
      <c r="R781" s="93"/>
      <c r="S781" s="93"/>
      <c r="T781" s="93"/>
      <c r="U781" s="93"/>
      <c r="V781" s="93"/>
      <c r="W781" s="93"/>
    </row>
    <row r="782" spans="2:23" s="14" customFormat="1" ht="17.100000000000001" customHeight="1">
      <c r="B782" s="89"/>
      <c r="C782" s="90"/>
      <c r="D782" s="91"/>
      <c r="E782" s="92"/>
      <c r="F782" s="89"/>
      <c r="G782" s="89"/>
      <c r="H782" s="89"/>
      <c r="I782" s="89"/>
      <c r="J782" s="89"/>
      <c r="K782" s="89"/>
      <c r="L782" s="93"/>
      <c r="M782" s="93"/>
      <c r="N782" s="93"/>
      <c r="O782" s="93"/>
      <c r="P782" s="93"/>
      <c r="Q782" s="93"/>
      <c r="R782" s="93"/>
      <c r="S782" s="93"/>
      <c r="T782" s="93"/>
      <c r="U782" s="93"/>
      <c r="V782" s="93"/>
      <c r="W782" s="93"/>
    </row>
    <row r="783" spans="2:23" s="14" customFormat="1" ht="17.100000000000001" customHeight="1">
      <c r="B783" s="89"/>
      <c r="C783" s="90"/>
      <c r="D783" s="91"/>
      <c r="E783" s="92"/>
      <c r="F783" s="89"/>
      <c r="G783" s="89"/>
      <c r="H783" s="89"/>
      <c r="I783" s="89"/>
      <c r="J783" s="89"/>
      <c r="K783" s="89"/>
      <c r="L783" s="93"/>
      <c r="M783" s="93"/>
      <c r="N783" s="93"/>
      <c r="O783" s="93"/>
      <c r="P783" s="93"/>
      <c r="Q783" s="93"/>
      <c r="R783" s="93"/>
      <c r="S783" s="93"/>
      <c r="T783" s="93"/>
      <c r="U783" s="93"/>
      <c r="V783" s="93"/>
      <c r="W783" s="93"/>
    </row>
    <row r="784" spans="2:23" s="14" customFormat="1" ht="17.100000000000001" customHeight="1">
      <c r="B784" s="89"/>
      <c r="C784" s="90"/>
      <c r="D784" s="91"/>
      <c r="E784" s="92"/>
      <c r="F784" s="89"/>
      <c r="G784" s="89"/>
      <c r="H784" s="89"/>
      <c r="I784" s="89"/>
      <c r="J784" s="89"/>
      <c r="K784" s="89"/>
      <c r="L784" s="93"/>
      <c r="M784" s="93"/>
      <c r="N784" s="93"/>
      <c r="O784" s="93"/>
      <c r="P784" s="93"/>
      <c r="Q784" s="93"/>
      <c r="R784" s="93"/>
      <c r="S784" s="93"/>
      <c r="T784" s="93"/>
      <c r="U784" s="93"/>
      <c r="V784" s="93"/>
      <c r="W784" s="93"/>
    </row>
    <row r="785" spans="2:23" s="14" customFormat="1" ht="17.100000000000001" customHeight="1">
      <c r="B785" s="89"/>
      <c r="C785" s="90"/>
      <c r="D785" s="91"/>
      <c r="E785" s="92"/>
      <c r="F785" s="89"/>
      <c r="G785" s="89"/>
      <c r="H785" s="89"/>
      <c r="I785" s="89"/>
      <c r="J785" s="89"/>
      <c r="K785" s="89"/>
      <c r="L785" s="93"/>
      <c r="M785" s="93"/>
      <c r="N785" s="93"/>
      <c r="O785" s="93"/>
      <c r="P785" s="93"/>
      <c r="Q785" s="93"/>
      <c r="R785" s="93"/>
      <c r="S785" s="93"/>
      <c r="T785" s="93"/>
      <c r="U785" s="93"/>
      <c r="V785" s="93"/>
      <c r="W785" s="93"/>
    </row>
    <row r="786" spans="2:23" s="14" customFormat="1" ht="17.100000000000001" customHeight="1">
      <c r="B786" s="89"/>
      <c r="C786" s="90"/>
      <c r="D786" s="91"/>
      <c r="E786" s="92"/>
      <c r="F786" s="89"/>
      <c r="G786" s="89"/>
      <c r="H786" s="89"/>
      <c r="I786" s="89"/>
      <c r="J786" s="89"/>
      <c r="K786" s="89"/>
      <c r="L786" s="93"/>
      <c r="M786" s="93"/>
      <c r="N786" s="93"/>
      <c r="O786" s="93"/>
      <c r="P786" s="93"/>
      <c r="Q786" s="93"/>
      <c r="R786" s="93"/>
      <c r="S786" s="93"/>
      <c r="T786" s="93"/>
      <c r="U786" s="93"/>
      <c r="V786" s="93"/>
      <c r="W786" s="93"/>
    </row>
    <row r="787" spans="2:23" s="14" customFormat="1" ht="17.100000000000001" customHeight="1">
      <c r="B787" s="89"/>
      <c r="C787" s="90"/>
      <c r="D787" s="91"/>
      <c r="E787" s="92"/>
      <c r="F787" s="89"/>
      <c r="G787" s="89"/>
      <c r="H787" s="89"/>
      <c r="I787" s="89"/>
      <c r="J787" s="89"/>
      <c r="K787" s="89"/>
      <c r="L787" s="93"/>
      <c r="M787" s="93"/>
      <c r="N787" s="93"/>
      <c r="O787" s="93"/>
      <c r="P787" s="93"/>
      <c r="Q787" s="93"/>
      <c r="R787" s="93"/>
      <c r="S787" s="93"/>
      <c r="T787" s="93"/>
      <c r="U787" s="93"/>
      <c r="V787" s="93"/>
      <c r="W787" s="93"/>
    </row>
    <row r="788" spans="2:23" s="14" customFormat="1" ht="17.100000000000001" customHeight="1">
      <c r="B788" s="89"/>
      <c r="C788" s="90"/>
      <c r="D788" s="91"/>
      <c r="E788" s="92"/>
      <c r="F788" s="89"/>
      <c r="G788" s="89"/>
      <c r="H788" s="89"/>
      <c r="I788" s="89"/>
      <c r="J788" s="89"/>
      <c r="K788" s="89"/>
      <c r="L788" s="93"/>
      <c r="M788" s="93"/>
      <c r="N788" s="93"/>
      <c r="O788" s="93"/>
      <c r="P788" s="93"/>
      <c r="Q788" s="93"/>
      <c r="R788" s="93"/>
      <c r="S788" s="93"/>
      <c r="T788" s="93"/>
      <c r="U788" s="93"/>
      <c r="V788" s="93"/>
      <c r="W788" s="93"/>
    </row>
    <row r="789" spans="2:23" s="14" customFormat="1" ht="17.100000000000001" customHeight="1">
      <c r="B789" s="89"/>
      <c r="C789" s="90"/>
      <c r="D789" s="91"/>
      <c r="E789" s="92"/>
      <c r="F789" s="89"/>
      <c r="G789" s="89"/>
      <c r="H789" s="89"/>
      <c r="I789" s="89"/>
      <c r="J789" s="89"/>
      <c r="K789" s="89"/>
      <c r="L789" s="93"/>
      <c r="M789" s="93"/>
      <c r="N789" s="93"/>
      <c r="O789" s="93"/>
      <c r="P789" s="93"/>
      <c r="Q789" s="93"/>
      <c r="R789" s="93"/>
      <c r="S789" s="93"/>
      <c r="T789" s="93"/>
      <c r="U789" s="93"/>
      <c r="V789" s="93"/>
      <c r="W789" s="93"/>
    </row>
    <row r="790" spans="2:23" s="14" customFormat="1" ht="17.100000000000001" customHeight="1">
      <c r="B790" s="89"/>
      <c r="C790" s="90"/>
      <c r="D790" s="91"/>
      <c r="E790" s="92"/>
      <c r="F790" s="89"/>
      <c r="G790" s="89"/>
      <c r="H790" s="89"/>
      <c r="I790" s="89"/>
      <c r="J790" s="89"/>
      <c r="K790" s="89"/>
      <c r="L790" s="93"/>
      <c r="M790" s="93"/>
      <c r="N790" s="93"/>
      <c r="O790" s="93"/>
      <c r="P790" s="93"/>
      <c r="Q790" s="93"/>
      <c r="R790" s="93"/>
      <c r="S790" s="93"/>
      <c r="T790" s="93"/>
      <c r="U790" s="93"/>
      <c r="V790" s="93"/>
      <c r="W790" s="93"/>
    </row>
    <row r="791" spans="2:23" s="14" customFormat="1" ht="17.100000000000001" customHeight="1">
      <c r="B791" s="89"/>
      <c r="C791" s="90"/>
      <c r="D791" s="91"/>
      <c r="E791" s="92"/>
      <c r="F791" s="89"/>
      <c r="G791" s="89"/>
      <c r="H791" s="89"/>
      <c r="I791" s="89"/>
      <c r="J791" s="89"/>
      <c r="K791" s="89"/>
      <c r="L791" s="93"/>
      <c r="M791" s="93"/>
      <c r="N791" s="93"/>
      <c r="O791" s="93"/>
      <c r="P791" s="93"/>
      <c r="Q791" s="93"/>
      <c r="R791" s="93"/>
      <c r="S791" s="93"/>
      <c r="T791" s="93"/>
      <c r="U791" s="93"/>
      <c r="V791" s="93"/>
      <c r="W791" s="93"/>
    </row>
    <row r="792" spans="2:23" s="14" customFormat="1" ht="17.100000000000001" customHeight="1">
      <c r="B792" s="89"/>
      <c r="C792" s="90"/>
      <c r="D792" s="91"/>
      <c r="E792" s="92"/>
      <c r="F792" s="89"/>
      <c r="G792" s="89"/>
      <c r="H792" s="89"/>
      <c r="I792" s="89"/>
      <c r="J792" s="89"/>
      <c r="K792" s="89"/>
      <c r="L792" s="93"/>
      <c r="M792" s="93"/>
      <c r="N792" s="93"/>
      <c r="O792" s="93"/>
      <c r="P792" s="93"/>
      <c r="Q792" s="93"/>
      <c r="R792" s="93"/>
      <c r="S792" s="93"/>
      <c r="T792" s="93"/>
      <c r="U792" s="93"/>
      <c r="V792" s="93"/>
      <c r="W792" s="93"/>
    </row>
    <row r="793" spans="2:23" s="14" customFormat="1" ht="17.100000000000001" customHeight="1">
      <c r="B793" s="89"/>
      <c r="C793" s="90"/>
      <c r="D793" s="91"/>
      <c r="E793" s="92"/>
      <c r="F793" s="89"/>
      <c r="G793" s="89"/>
      <c r="H793" s="89"/>
      <c r="I793" s="89"/>
      <c r="J793" s="89"/>
      <c r="K793" s="89"/>
      <c r="L793" s="93"/>
      <c r="M793" s="93"/>
      <c r="N793" s="93"/>
      <c r="O793" s="93"/>
      <c r="P793" s="93"/>
      <c r="Q793" s="93"/>
      <c r="R793" s="93"/>
      <c r="S793" s="93"/>
      <c r="T793" s="93"/>
      <c r="U793" s="93"/>
      <c r="V793" s="93"/>
      <c r="W793" s="93"/>
    </row>
    <row r="794" spans="2:23" s="14" customFormat="1" ht="17.100000000000001" customHeight="1">
      <c r="B794" s="89"/>
      <c r="C794" s="90"/>
      <c r="D794" s="91"/>
      <c r="E794" s="92"/>
      <c r="F794" s="89"/>
      <c r="G794" s="89"/>
      <c r="H794" s="89"/>
      <c r="I794" s="89"/>
      <c r="J794" s="89"/>
      <c r="K794" s="89"/>
      <c r="L794" s="93"/>
      <c r="M794" s="93"/>
      <c r="N794" s="93"/>
      <c r="O794" s="93"/>
      <c r="P794" s="93"/>
      <c r="Q794" s="93"/>
      <c r="R794" s="93"/>
      <c r="S794" s="93"/>
      <c r="T794" s="93"/>
      <c r="U794" s="93"/>
      <c r="V794" s="93"/>
      <c r="W794" s="93"/>
    </row>
    <row r="795" spans="2:23" s="14" customFormat="1" ht="17.100000000000001" customHeight="1">
      <c r="B795" s="89"/>
      <c r="C795" s="90"/>
      <c r="D795" s="91"/>
      <c r="E795" s="92"/>
      <c r="F795" s="89"/>
      <c r="G795" s="89"/>
      <c r="H795" s="89"/>
      <c r="I795" s="89"/>
      <c r="J795" s="89"/>
      <c r="K795" s="89"/>
      <c r="L795" s="93"/>
      <c r="M795" s="93"/>
      <c r="N795" s="93"/>
      <c r="O795" s="93"/>
      <c r="P795" s="93"/>
      <c r="Q795" s="93"/>
      <c r="R795" s="93"/>
      <c r="S795" s="93"/>
      <c r="T795" s="93"/>
      <c r="U795" s="93"/>
      <c r="V795" s="93"/>
      <c r="W795" s="93"/>
    </row>
    <row r="796" spans="2:23" s="14" customFormat="1" ht="17.100000000000001" customHeight="1">
      <c r="B796" s="89"/>
      <c r="C796" s="90"/>
      <c r="D796" s="91"/>
      <c r="E796" s="92"/>
      <c r="F796" s="89"/>
      <c r="G796" s="89"/>
      <c r="H796" s="89"/>
      <c r="I796" s="89"/>
      <c r="J796" s="89"/>
      <c r="K796" s="89"/>
      <c r="L796" s="93"/>
      <c r="M796" s="93"/>
      <c r="N796" s="93"/>
      <c r="O796" s="93"/>
      <c r="P796" s="93"/>
      <c r="Q796" s="93"/>
      <c r="R796" s="93"/>
      <c r="S796" s="93"/>
      <c r="T796" s="93"/>
      <c r="U796" s="93"/>
      <c r="V796" s="93"/>
      <c r="W796" s="93"/>
    </row>
    <row r="797" spans="2:23" s="14" customFormat="1" ht="17.100000000000001" customHeight="1">
      <c r="B797" s="89"/>
      <c r="C797" s="90"/>
      <c r="D797" s="91"/>
      <c r="E797" s="92"/>
      <c r="F797" s="89"/>
      <c r="G797" s="89"/>
      <c r="H797" s="89"/>
      <c r="I797" s="89"/>
      <c r="J797" s="89"/>
      <c r="K797" s="89"/>
      <c r="L797" s="93"/>
      <c r="M797" s="93"/>
      <c r="N797" s="93"/>
      <c r="O797" s="93"/>
      <c r="P797" s="93"/>
      <c r="Q797" s="93"/>
      <c r="R797" s="93"/>
      <c r="S797" s="93"/>
      <c r="T797" s="93"/>
      <c r="U797" s="93"/>
      <c r="V797" s="93"/>
      <c r="W797" s="93"/>
    </row>
    <row r="798" spans="2:23" s="14" customFormat="1" ht="17.100000000000001" customHeight="1">
      <c r="B798" s="89"/>
      <c r="C798" s="90"/>
      <c r="D798" s="91"/>
      <c r="E798" s="92"/>
      <c r="F798" s="89"/>
      <c r="G798" s="89"/>
      <c r="H798" s="89"/>
      <c r="I798" s="89"/>
      <c r="J798" s="89"/>
      <c r="K798" s="89"/>
      <c r="L798" s="93"/>
      <c r="M798" s="93"/>
      <c r="N798" s="93"/>
      <c r="O798" s="93"/>
      <c r="P798" s="93"/>
      <c r="Q798" s="93"/>
      <c r="R798" s="93"/>
      <c r="S798" s="93"/>
      <c r="T798" s="93"/>
      <c r="U798" s="93"/>
      <c r="V798" s="93"/>
      <c r="W798" s="93"/>
    </row>
    <row r="799" spans="2:23" s="14" customFormat="1" ht="17.100000000000001" customHeight="1">
      <c r="B799" s="89"/>
      <c r="C799" s="90"/>
      <c r="D799" s="91"/>
      <c r="E799" s="92"/>
      <c r="F799" s="89"/>
      <c r="G799" s="89"/>
      <c r="H799" s="89"/>
      <c r="I799" s="89"/>
      <c r="J799" s="89"/>
      <c r="K799" s="89"/>
      <c r="L799" s="93"/>
      <c r="M799" s="93"/>
      <c r="N799" s="93"/>
      <c r="O799" s="93"/>
      <c r="P799" s="93"/>
      <c r="Q799" s="93"/>
      <c r="R799" s="93"/>
      <c r="S799" s="93"/>
      <c r="T799" s="93"/>
      <c r="U799" s="93"/>
      <c r="V799" s="93"/>
      <c r="W799" s="93"/>
    </row>
    <row r="800" spans="2:23" s="14" customFormat="1" ht="17.100000000000001" customHeight="1">
      <c r="B800" s="89"/>
      <c r="C800" s="90"/>
      <c r="D800" s="91"/>
      <c r="E800" s="92"/>
      <c r="F800" s="89"/>
      <c r="G800" s="89"/>
      <c r="H800" s="89"/>
      <c r="I800" s="89"/>
      <c r="J800" s="89"/>
      <c r="K800" s="89"/>
      <c r="L800" s="93"/>
      <c r="M800" s="93"/>
      <c r="N800" s="93"/>
      <c r="O800" s="93"/>
      <c r="P800" s="93"/>
      <c r="Q800" s="93"/>
      <c r="R800" s="93"/>
      <c r="S800" s="93"/>
      <c r="T800" s="93"/>
      <c r="U800" s="93"/>
      <c r="V800" s="93"/>
      <c r="W800" s="93"/>
    </row>
    <row r="801" spans="2:23" s="14" customFormat="1" ht="17.100000000000001" customHeight="1">
      <c r="B801" s="89"/>
      <c r="C801" s="90"/>
      <c r="D801" s="91"/>
      <c r="E801" s="92"/>
      <c r="F801" s="89"/>
      <c r="G801" s="89"/>
      <c r="H801" s="89"/>
      <c r="I801" s="89"/>
      <c r="J801" s="89"/>
      <c r="K801" s="89"/>
      <c r="L801" s="93"/>
      <c r="M801" s="93"/>
      <c r="N801" s="93"/>
      <c r="O801" s="93"/>
      <c r="P801" s="93"/>
      <c r="Q801" s="93"/>
      <c r="R801" s="93"/>
      <c r="S801" s="93"/>
      <c r="T801" s="93"/>
      <c r="U801" s="93"/>
      <c r="V801" s="93"/>
      <c r="W801" s="93"/>
    </row>
    <row r="802" spans="2:23" s="14" customFormat="1" ht="17.100000000000001" customHeight="1">
      <c r="B802" s="89"/>
      <c r="C802" s="90"/>
      <c r="D802" s="91"/>
      <c r="E802" s="92"/>
      <c r="F802" s="89"/>
      <c r="G802" s="89"/>
      <c r="H802" s="89"/>
      <c r="I802" s="89"/>
      <c r="J802" s="89"/>
      <c r="K802" s="89"/>
      <c r="L802" s="93"/>
      <c r="M802" s="93"/>
      <c r="N802" s="93"/>
      <c r="O802" s="93"/>
      <c r="P802" s="93"/>
      <c r="Q802" s="93"/>
      <c r="R802" s="93"/>
      <c r="S802" s="93"/>
      <c r="T802" s="93"/>
      <c r="U802" s="93"/>
      <c r="V802" s="93"/>
      <c r="W802" s="93"/>
    </row>
    <row r="803" spans="2:23" s="14" customFormat="1" ht="17.100000000000001" customHeight="1">
      <c r="B803" s="89"/>
      <c r="C803" s="90"/>
      <c r="D803" s="91"/>
      <c r="E803" s="92"/>
      <c r="F803" s="89"/>
      <c r="G803" s="89"/>
      <c r="H803" s="89"/>
      <c r="I803" s="89"/>
      <c r="J803" s="89"/>
      <c r="K803" s="89"/>
      <c r="L803" s="93"/>
      <c r="M803" s="93"/>
      <c r="N803" s="93"/>
      <c r="O803" s="93"/>
      <c r="P803" s="93"/>
      <c r="Q803" s="93"/>
      <c r="R803" s="93"/>
      <c r="S803" s="93"/>
      <c r="T803" s="93"/>
      <c r="U803" s="93"/>
      <c r="V803" s="93"/>
      <c r="W803" s="93"/>
    </row>
    <row r="804" spans="2:23" s="14" customFormat="1" ht="17.100000000000001" customHeight="1">
      <c r="B804" s="89"/>
      <c r="C804" s="90"/>
      <c r="D804" s="91"/>
      <c r="E804" s="92"/>
      <c r="F804" s="89"/>
      <c r="G804" s="89"/>
      <c r="H804" s="89"/>
      <c r="I804" s="89"/>
      <c r="J804" s="89"/>
      <c r="K804" s="89"/>
      <c r="L804" s="93"/>
      <c r="M804" s="93"/>
      <c r="N804" s="93"/>
      <c r="O804" s="93"/>
      <c r="P804" s="93"/>
      <c r="Q804" s="93"/>
      <c r="R804" s="93"/>
      <c r="S804" s="93"/>
      <c r="T804" s="93"/>
      <c r="U804" s="93"/>
      <c r="V804" s="93"/>
      <c r="W804" s="93"/>
    </row>
    <row r="805" spans="2:23" s="14" customFormat="1" ht="17.100000000000001" customHeight="1">
      <c r="B805" s="89"/>
      <c r="C805" s="90"/>
      <c r="D805" s="91"/>
      <c r="E805" s="92"/>
      <c r="F805" s="89"/>
      <c r="G805" s="89"/>
      <c r="H805" s="89"/>
      <c r="I805" s="89"/>
      <c r="J805" s="89"/>
      <c r="K805" s="89"/>
      <c r="L805" s="93"/>
      <c r="M805" s="93"/>
      <c r="N805" s="93"/>
      <c r="O805" s="93"/>
      <c r="P805" s="93"/>
      <c r="Q805" s="93"/>
      <c r="R805" s="93"/>
      <c r="S805" s="93"/>
      <c r="T805" s="93"/>
      <c r="U805" s="93"/>
      <c r="V805" s="93"/>
      <c r="W805" s="93"/>
    </row>
    <row r="806" spans="2:23" s="14" customFormat="1" ht="17.100000000000001" customHeight="1">
      <c r="B806" s="89"/>
      <c r="C806" s="90"/>
      <c r="D806" s="91"/>
      <c r="E806" s="92"/>
      <c r="F806" s="89"/>
      <c r="G806" s="89"/>
      <c r="H806" s="89"/>
      <c r="I806" s="89"/>
      <c r="J806" s="89"/>
      <c r="K806" s="89"/>
      <c r="L806" s="93"/>
      <c r="M806" s="93"/>
      <c r="N806" s="93"/>
      <c r="O806" s="93"/>
      <c r="P806" s="93"/>
      <c r="Q806" s="93"/>
      <c r="R806" s="93"/>
      <c r="S806" s="93"/>
      <c r="T806" s="93"/>
      <c r="U806" s="93"/>
      <c r="V806" s="93"/>
      <c r="W806" s="93"/>
    </row>
    <row r="807" spans="2:23" s="14" customFormat="1" ht="17.100000000000001" customHeight="1">
      <c r="B807" s="89"/>
      <c r="C807" s="90"/>
      <c r="D807" s="91"/>
      <c r="E807" s="92"/>
      <c r="F807" s="89"/>
      <c r="G807" s="89"/>
      <c r="H807" s="89"/>
      <c r="I807" s="89"/>
      <c r="J807" s="89"/>
      <c r="K807" s="89"/>
      <c r="L807" s="93"/>
      <c r="M807" s="93"/>
      <c r="N807" s="93"/>
      <c r="O807" s="93"/>
      <c r="P807" s="93"/>
      <c r="Q807" s="93"/>
      <c r="R807" s="93"/>
      <c r="S807" s="93"/>
      <c r="T807" s="93"/>
      <c r="U807" s="93"/>
      <c r="V807" s="93"/>
      <c r="W807" s="93"/>
    </row>
    <row r="808" spans="2:23" s="14" customFormat="1" ht="17.100000000000001" customHeight="1">
      <c r="B808" s="89"/>
      <c r="C808" s="90"/>
      <c r="D808" s="91"/>
      <c r="E808" s="92"/>
      <c r="F808" s="89"/>
      <c r="G808" s="89"/>
      <c r="H808" s="89"/>
      <c r="I808" s="89"/>
      <c r="J808" s="89"/>
      <c r="K808" s="89"/>
      <c r="L808" s="93"/>
      <c r="M808" s="93"/>
      <c r="N808" s="93"/>
      <c r="O808" s="93"/>
      <c r="P808" s="93"/>
      <c r="Q808" s="93"/>
      <c r="R808" s="93"/>
      <c r="S808" s="93"/>
      <c r="T808" s="93"/>
      <c r="U808" s="93"/>
      <c r="V808" s="93"/>
      <c r="W808" s="93"/>
    </row>
    <row r="809" spans="2:23" s="14" customFormat="1" ht="17.100000000000001" customHeight="1">
      <c r="B809" s="89"/>
      <c r="C809" s="90"/>
      <c r="D809" s="91"/>
      <c r="E809" s="92"/>
      <c r="F809" s="89"/>
      <c r="G809" s="89"/>
      <c r="H809" s="89"/>
      <c r="I809" s="89"/>
      <c r="J809" s="89"/>
      <c r="K809" s="89"/>
      <c r="L809" s="93"/>
      <c r="M809" s="93"/>
      <c r="N809" s="93"/>
      <c r="O809" s="93"/>
      <c r="P809" s="93"/>
      <c r="Q809" s="93"/>
      <c r="R809" s="93"/>
      <c r="S809" s="93"/>
      <c r="T809" s="93"/>
      <c r="U809" s="93"/>
      <c r="V809" s="93"/>
      <c r="W809" s="93"/>
    </row>
    <row r="810" spans="2:23" s="14" customFormat="1" ht="17.100000000000001" customHeight="1">
      <c r="B810" s="89"/>
      <c r="C810" s="90"/>
      <c r="D810" s="91"/>
      <c r="E810" s="92"/>
      <c r="F810" s="89"/>
      <c r="G810" s="89"/>
      <c r="H810" s="89"/>
      <c r="I810" s="89"/>
      <c r="J810" s="89"/>
      <c r="K810" s="89"/>
      <c r="L810" s="93"/>
      <c r="M810" s="93"/>
      <c r="N810" s="93"/>
      <c r="O810" s="93"/>
      <c r="P810" s="93"/>
      <c r="Q810" s="93"/>
      <c r="R810" s="93"/>
      <c r="S810" s="93"/>
      <c r="T810" s="93"/>
      <c r="U810" s="93"/>
      <c r="V810" s="93"/>
      <c r="W810" s="93"/>
    </row>
    <row r="811" spans="2:23" s="14" customFormat="1" ht="17.100000000000001" customHeight="1">
      <c r="B811" s="89"/>
      <c r="C811" s="90"/>
      <c r="D811" s="91"/>
      <c r="E811" s="92"/>
      <c r="F811" s="89"/>
      <c r="G811" s="89"/>
      <c r="H811" s="89"/>
      <c r="I811" s="89"/>
      <c r="J811" s="89"/>
      <c r="K811" s="89"/>
      <c r="L811" s="93"/>
      <c r="M811" s="93"/>
      <c r="N811" s="93"/>
      <c r="O811" s="93"/>
      <c r="P811" s="93"/>
      <c r="Q811" s="93"/>
      <c r="R811" s="93"/>
      <c r="S811" s="93"/>
      <c r="T811" s="93"/>
      <c r="U811" s="93"/>
      <c r="V811" s="93"/>
      <c r="W811" s="93"/>
    </row>
    <row r="812" spans="2:23" s="14" customFormat="1" ht="17.100000000000001" customHeight="1">
      <c r="B812" s="89"/>
      <c r="C812" s="90"/>
      <c r="D812" s="91"/>
      <c r="E812" s="92"/>
      <c r="F812" s="89"/>
      <c r="G812" s="89"/>
      <c r="H812" s="89"/>
      <c r="I812" s="89"/>
      <c r="J812" s="89"/>
      <c r="K812" s="89"/>
      <c r="L812" s="93"/>
      <c r="M812" s="93"/>
      <c r="N812" s="93"/>
      <c r="O812" s="93"/>
      <c r="P812" s="93"/>
      <c r="Q812" s="93"/>
      <c r="R812" s="93"/>
      <c r="S812" s="93"/>
      <c r="T812" s="93"/>
      <c r="U812" s="93"/>
      <c r="V812" s="93"/>
      <c r="W812" s="93"/>
    </row>
    <row r="813" spans="2:23" s="14" customFormat="1" ht="17.100000000000001" customHeight="1">
      <c r="B813" s="89"/>
      <c r="C813" s="90"/>
      <c r="D813" s="91"/>
      <c r="E813" s="92"/>
      <c r="F813" s="89"/>
      <c r="G813" s="89"/>
      <c r="H813" s="89"/>
      <c r="I813" s="89"/>
      <c r="J813" s="89"/>
      <c r="K813" s="89"/>
      <c r="L813" s="93"/>
      <c r="M813" s="93"/>
      <c r="N813" s="93"/>
      <c r="O813" s="93"/>
      <c r="P813" s="93"/>
      <c r="Q813" s="93"/>
      <c r="R813" s="93"/>
      <c r="S813" s="93"/>
      <c r="T813" s="93"/>
      <c r="U813" s="93"/>
      <c r="V813" s="93"/>
      <c r="W813" s="93"/>
    </row>
    <row r="814" spans="2:23" s="14" customFormat="1" ht="17.100000000000001" customHeight="1">
      <c r="B814" s="89"/>
      <c r="C814" s="90"/>
      <c r="D814" s="91"/>
      <c r="E814" s="92"/>
      <c r="F814" s="89"/>
      <c r="G814" s="89"/>
      <c r="H814" s="89"/>
      <c r="I814" s="89"/>
      <c r="J814" s="89"/>
      <c r="K814" s="89"/>
      <c r="L814" s="93"/>
      <c r="M814" s="93"/>
      <c r="N814" s="93"/>
      <c r="O814" s="93"/>
      <c r="P814" s="93"/>
      <c r="Q814" s="93"/>
      <c r="R814" s="93"/>
      <c r="S814" s="93"/>
      <c r="T814" s="93"/>
      <c r="U814" s="93"/>
      <c r="V814" s="93"/>
      <c r="W814" s="93"/>
    </row>
    <row r="815" spans="2:23" s="14" customFormat="1" ht="17.100000000000001" customHeight="1">
      <c r="B815" s="89"/>
      <c r="C815" s="90"/>
      <c r="D815" s="91"/>
      <c r="E815" s="92"/>
      <c r="F815" s="89"/>
      <c r="G815" s="89"/>
      <c r="H815" s="89"/>
      <c r="I815" s="89"/>
      <c r="J815" s="89"/>
      <c r="K815" s="89"/>
      <c r="L815" s="93"/>
      <c r="M815" s="93"/>
      <c r="N815" s="93"/>
      <c r="O815" s="93"/>
      <c r="P815" s="93"/>
      <c r="Q815" s="93"/>
      <c r="R815" s="93"/>
      <c r="S815" s="93"/>
      <c r="T815" s="93"/>
      <c r="U815" s="93"/>
      <c r="V815" s="93"/>
      <c r="W815" s="93"/>
    </row>
    <row r="816" spans="2:23" s="14" customFormat="1" ht="17.100000000000001" customHeight="1">
      <c r="B816" s="89"/>
      <c r="C816" s="90"/>
      <c r="D816" s="91"/>
      <c r="E816" s="92"/>
      <c r="F816" s="89"/>
      <c r="G816" s="89"/>
      <c r="H816" s="89"/>
      <c r="I816" s="89"/>
      <c r="J816" s="89"/>
      <c r="K816" s="89"/>
      <c r="L816" s="93"/>
      <c r="M816" s="93"/>
      <c r="N816" s="93"/>
      <c r="O816" s="93"/>
      <c r="P816" s="93"/>
      <c r="Q816" s="93"/>
      <c r="R816" s="93"/>
      <c r="S816" s="93"/>
      <c r="T816" s="93"/>
      <c r="U816" s="93"/>
      <c r="V816" s="93"/>
      <c r="W816" s="93"/>
    </row>
    <row r="817" spans="2:23" s="14" customFormat="1" ht="17.100000000000001" customHeight="1">
      <c r="B817" s="89"/>
      <c r="C817" s="90"/>
      <c r="D817" s="91"/>
      <c r="E817" s="92"/>
      <c r="F817" s="89"/>
      <c r="G817" s="89"/>
      <c r="H817" s="89"/>
      <c r="I817" s="89"/>
      <c r="J817" s="89"/>
      <c r="K817" s="89"/>
      <c r="L817" s="93"/>
      <c r="M817" s="93"/>
      <c r="N817" s="93"/>
      <c r="O817" s="93"/>
      <c r="P817" s="93"/>
      <c r="Q817" s="93"/>
      <c r="R817" s="93"/>
      <c r="S817" s="93"/>
      <c r="T817" s="93"/>
      <c r="U817" s="93"/>
      <c r="V817" s="93"/>
      <c r="W817" s="93"/>
    </row>
    <row r="818" spans="2:23" s="14" customFormat="1" ht="17.100000000000001" customHeight="1">
      <c r="B818" s="89"/>
      <c r="C818" s="90"/>
      <c r="D818" s="91"/>
      <c r="E818" s="92"/>
      <c r="F818" s="89"/>
      <c r="G818" s="89"/>
      <c r="H818" s="89"/>
      <c r="I818" s="89"/>
      <c r="J818" s="89"/>
      <c r="K818" s="89"/>
      <c r="L818" s="93"/>
      <c r="M818" s="93"/>
      <c r="N818" s="93"/>
      <c r="O818" s="93"/>
      <c r="P818" s="93"/>
      <c r="Q818" s="93"/>
      <c r="R818" s="93"/>
      <c r="S818" s="93"/>
      <c r="T818" s="93"/>
      <c r="U818" s="93"/>
      <c r="V818" s="93"/>
      <c r="W818" s="93"/>
    </row>
    <row r="819" spans="2:23" s="14" customFormat="1" ht="17.100000000000001" customHeight="1">
      <c r="B819" s="89"/>
      <c r="C819" s="90"/>
      <c r="D819" s="91"/>
      <c r="E819" s="92"/>
      <c r="F819" s="89"/>
      <c r="G819" s="89"/>
      <c r="H819" s="89"/>
      <c r="I819" s="89"/>
      <c r="J819" s="89"/>
      <c r="K819" s="89"/>
      <c r="L819" s="93"/>
      <c r="M819" s="93"/>
      <c r="N819" s="93"/>
      <c r="O819" s="93"/>
      <c r="P819" s="93"/>
      <c r="Q819" s="93"/>
      <c r="R819" s="93"/>
      <c r="S819" s="93"/>
      <c r="T819" s="93"/>
      <c r="U819" s="93"/>
      <c r="V819" s="93"/>
      <c r="W819" s="93"/>
    </row>
    <row r="820" spans="2:23" s="14" customFormat="1" ht="17.100000000000001" customHeight="1">
      <c r="B820" s="89"/>
      <c r="C820" s="90"/>
      <c r="D820" s="91"/>
      <c r="E820" s="92"/>
      <c r="F820" s="89"/>
      <c r="G820" s="89"/>
      <c r="H820" s="89"/>
      <c r="I820" s="89"/>
      <c r="J820" s="89"/>
      <c r="K820" s="89"/>
      <c r="L820" s="93"/>
      <c r="M820" s="93"/>
      <c r="N820" s="93"/>
      <c r="O820" s="93"/>
      <c r="P820" s="93"/>
      <c r="Q820" s="93"/>
      <c r="R820" s="93"/>
      <c r="S820" s="93"/>
      <c r="T820" s="93"/>
      <c r="U820" s="93"/>
      <c r="V820" s="93"/>
      <c r="W820" s="93"/>
    </row>
    <row r="821" spans="2:23" s="14" customFormat="1" ht="17.100000000000001" customHeight="1">
      <c r="B821" s="89"/>
      <c r="C821" s="90"/>
      <c r="D821" s="91"/>
      <c r="E821" s="92"/>
      <c r="F821" s="89"/>
      <c r="G821" s="89"/>
      <c r="H821" s="89"/>
      <c r="I821" s="89"/>
      <c r="J821" s="89"/>
      <c r="K821" s="89"/>
      <c r="L821" s="93"/>
      <c r="M821" s="93"/>
      <c r="N821" s="93"/>
      <c r="O821" s="93"/>
      <c r="P821" s="93"/>
      <c r="Q821" s="93"/>
      <c r="R821" s="93"/>
      <c r="S821" s="93"/>
      <c r="T821" s="93"/>
      <c r="U821" s="93"/>
      <c r="V821" s="93"/>
      <c r="W821" s="93"/>
    </row>
    <row r="822" spans="2:23" s="14" customFormat="1" ht="17.100000000000001" customHeight="1">
      <c r="B822" s="89"/>
      <c r="C822" s="90"/>
      <c r="D822" s="91"/>
      <c r="E822" s="92"/>
      <c r="F822" s="89"/>
      <c r="G822" s="89"/>
      <c r="H822" s="89"/>
      <c r="I822" s="89"/>
      <c r="J822" s="89"/>
      <c r="K822" s="89"/>
      <c r="L822" s="93"/>
      <c r="M822" s="93"/>
      <c r="N822" s="93"/>
      <c r="O822" s="93"/>
      <c r="P822" s="93"/>
      <c r="Q822" s="93"/>
      <c r="R822" s="93"/>
      <c r="S822" s="93"/>
      <c r="T822" s="93"/>
      <c r="U822" s="93"/>
      <c r="V822" s="93"/>
      <c r="W822" s="93"/>
    </row>
    <row r="823" spans="2:23" s="14" customFormat="1" ht="17.100000000000001" customHeight="1">
      <c r="B823" s="89"/>
      <c r="C823" s="90"/>
      <c r="D823" s="91"/>
      <c r="E823" s="92"/>
      <c r="F823" s="89"/>
      <c r="G823" s="89"/>
      <c r="H823" s="89"/>
      <c r="I823" s="89"/>
      <c r="J823" s="89"/>
      <c r="K823" s="89"/>
      <c r="L823" s="93"/>
      <c r="M823" s="93"/>
      <c r="N823" s="93"/>
      <c r="O823" s="93"/>
      <c r="P823" s="93"/>
      <c r="Q823" s="93"/>
      <c r="R823" s="93"/>
      <c r="S823" s="93"/>
      <c r="T823" s="93"/>
      <c r="U823" s="93"/>
      <c r="V823" s="93"/>
      <c r="W823" s="93"/>
    </row>
    <row r="824" spans="2:23" s="14" customFormat="1" ht="17.100000000000001" customHeight="1">
      <c r="B824" s="89"/>
      <c r="C824" s="90"/>
      <c r="D824" s="91"/>
      <c r="E824" s="92"/>
      <c r="F824" s="89"/>
      <c r="G824" s="89"/>
      <c r="H824" s="89"/>
      <c r="I824" s="89"/>
      <c r="J824" s="89"/>
      <c r="K824" s="89"/>
      <c r="L824" s="93"/>
      <c r="M824" s="93"/>
      <c r="N824" s="93"/>
      <c r="O824" s="93"/>
      <c r="P824" s="93"/>
      <c r="Q824" s="93"/>
      <c r="R824" s="93"/>
      <c r="S824" s="93"/>
      <c r="T824" s="93"/>
      <c r="U824" s="93"/>
      <c r="V824" s="93"/>
      <c r="W824" s="93"/>
    </row>
    <row r="825" spans="2:23" s="14" customFormat="1" ht="17.100000000000001" customHeight="1">
      <c r="B825" s="89"/>
      <c r="C825" s="90"/>
      <c r="D825" s="91"/>
      <c r="E825" s="92"/>
      <c r="F825" s="89"/>
      <c r="G825" s="89"/>
      <c r="H825" s="89"/>
      <c r="I825" s="89"/>
      <c r="J825" s="89"/>
      <c r="K825" s="89"/>
      <c r="L825" s="93"/>
      <c r="M825" s="93"/>
      <c r="N825" s="93"/>
      <c r="O825" s="93"/>
      <c r="P825" s="93"/>
      <c r="Q825" s="93"/>
      <c r="R825" s="93"/>
      <c r="S825" s="93"/>
      <c r="T825" s="93"/>
      <c r="U825" s="93"/>
      <c r="V825" s="93"/>
      <c r="W825" s="93"/>
    </row>
    <row r="826" spans="2:23" s="14" customFormat="1" ht="17.100000000000001" customHeight="1">
      <c r="B826" s="89"/>
      <c r="C826" s="90"/>
      <c r="D826" s="91"/>
      <c r="E826" s="92"/>
      <c r="F826" s="89"/>
      <c r="G826" s="89"/>
      <c r="H826" s="89"/>
      <c r="I826" s="89"/>
      <c r="J826" s="89"/>
      <c r="K826" s="89"/>
      <c r="L826" s="93"/>
      <c r="M826" s="93"/>
      <c r="N826" s="93"/>
      <c r="O826" s="93"/>
      <c r="P826" s="93"/>
      <c r="Q826" s="93"/>
      <c r="R826" s="93"/>
      <c r="S826" s="93"/>
      <c r="T826" s="93"/>
      <c r="U826" s="93"/>
      <c r="V826" s="93"/>
      <c r="W826" s="93"/>
    </row>
    <row r="827" spans="2:23" s="14" customFormat="1" ht="17.100000000000001" customHeight="1">
      <c r="B827" s="89"/>
      <c r="C827" s="90"/>
      <c r="D827" s="91"/>
      <c r="E827" s="92"/>
      <c r="F827" s="89"/>
      <c r="G827" s="89"/>
      <c r="H827" s="89"/>
      <c r="I827" s="89"/>
      <c r="J827" s="89"/>
      <c r="K827" s="89"/>
      <c r="L827" s="93"/>
      <c r="M827" s="93"/>
      <c r="N827" s="93"/>
      <c r="O827" s="93"/>
      <c r="P827" s="93"/>
      <c r="Q827" s="93"/>
      <c r="R827" s="93"/>
      <c r="S827" s="93"/>
      <c r="T827" s="93"/>
      <c r="U827" s="93"/>
      <c r="V827" s="93"/>
      <c r="W827" s="93"/>
    </row>
    <row r="828" spans="2:23" s="14" customFormat="1" ht="17.100000000000001" customHeight="1">
      <c r="B828" s="89"/>
      <c r="C828" s="90"/>
      <c r="D828" s="91"/>
      <c r="E828" s="92"/>
      <c r="F828" s="89"/>
      <c r="G828" s="89"/>
      <c r="H828" s="89"/>
      <c r="I828" s="89"/>
      <c r="J828" s="89"/>
      <c r="K828" s="89"/>
      <c r="L828" s="93"/>
      <c r="M828" s="93"/>
      <c r="N828" s="93"/>
      <c r="O828" s="93"/>
      <c r="P828" s="93"/>
      <c r="Q828" s="93"/>
      <c r="R828" s="93"/>
      <c r="S828" s="93"/>
      <c r="T828" s="93"/>
      <c r="U828" s="93"/>
      <c r="V828" s="93"/>
      <c r="W828" s="93"/>
    </row>
    <row r="829" spans="2:23" s="14" customFormat="1" ht="17.100000000000001" customHeight="1">
      <c r="B829" s="89"/>
      <c r="C829" s="90"/>
      <c r="D829" s="91"/>
      <c r="E829" s="92"/>
      <c r="F829" s="89"/>
      <c r="G829" s="89"/>
      <c r="H829" s="89"/>
      <c r="I829" s="89"/>
      <c r="J829" s="89"/>
      <c r="K829" s="89"/>
      <c r="L829" s="93"/>
      <c r="M829" s="93"/>
      <c r="N829" s="93"/>
      <c r="O829" s="93"/>
      <c r="P829" s="93"/>
      <c r="Q829" s="93"/>
      <c r="R829" s="93"/>
      <c r="S829" s="93"/>
      <c r="T829" s="93"/>
      <c r="U829" s="93"/>
      <c r="V829" s="93"/>
      <c r="W829" s="93"/>
    </row>
    <row r="830" spans="2:23" s="14" customFormat="1" ht="17.100000000000001" customHeight="1">
      <c r="B830" s="89"/>
      <c r="C830" s="90"/>
      <c r="D830" s="91"/>
      <c r="E830" s="92"/>
      <c r="F830" s="89"/>
      <c r="G830" s="89"/>
      <c r="H830" s="89"/>
      <c r="I830" s="89"/>
      <c r="J830" s="89"/>
      <c r="K830" s="89"/>
      <c r="L830" s="93"/>
      <c r="M830" s="93"/>
      <c r="N830" s="93"/>
      <c r="O830" s="93"/>
      <c r="P830" s="93"/>
      <c r="Q830" s="93"/>
      <c r="R830" s="93"/>
      <c r="S830" s="93"/>
      <c r="T830" s="93"/>
      <c r="U830" s="93"/>
      <c r="V830" s="93"/>
      <c r="W830" s="93"/>
    </row>
    <row r="831" spans="2:23" s="14" customFormat="1" ht="17.100000000000001" customHeight="1">
      <c r="B831" s="89"/>
      <c r="C831" s="90"/>
      <c r="D831" s="91"/>
      <c r="E831" s="92"/>
      <c r="F831" s="89"/>
      <c r="G831" s="89"/>
      <c r="H831" s="89"/>
      <c r="I831" s="89"/>
      <c r="J831" s="89"/>
      <c r="K831" s="89"/>
      <c r="L831" s="93"/>
      <c r="M831" s="93"/>
      <c r="N831" s="93"/>
      <c r="O831" s="93"/>
      <c r="P831" s="93"/>
      <c r="Q831" s="93"/>
      <c r="R831" s="93"/>
      <c r="S831" s="93"/>
      <c r="T831" s="93"/>
      <c r="U831" s="93"/>
      <c r="V831" s="93"/>
      <c r="W831" s="93"/>
    </row>
    <row r="832" spans="2:23" s="14" customFormat="1" ht="17.100000000000001" customHeight="1">
      <c r="B832" s="89"/>
      <c r="C832" s="90"/>
      <c r="D832" s="91"/>
      <c r="E832" s="92"/>
      <c r="F832" s="89"/>
      <c r="G832" s="89"/>
      <c r="H832" s="89"/>
      <c r="I832" s="89"/>
      <c r="J832" s="89"/>
      <c r="K832" s="89"/>
      <c r="L832" s="93"/>
      <c r="M832" s="93"/>
      <c r="N832" s="93"/>
      <c r="O832" s="93"/>
      <c r="P832" s="93"/>
      <c r="Q832" s="93"/>
      <c r="R832" s="93"/>
      <c r="S832" s="93"/>
      <c r="T832" s="93"/>
      <c r="U832" s="93"/>
      <c r="V832" s="93"/>
      <c r="W832" s="93"/>
    </row>
    <row r="833" spans="2:23" s="14" customFormat="1" ht="17.100000000000001" customHeight="1">
      <c r="B833" s="89"/>
      <c r="C833" s="90"/>
      <c r="D833" s="91"/>
      <c r="E833" s="92"/>
      <c r="F833" s="89"/>
      <c r="G833" s="89"/>
      <c r="H833" s="89"/>
      <c r="I833" s="89"/>
      <c r="J833" s="89"/>
      <c r="K833" s="89"/>
      <c r="L833" s="93"/>
      <c r="M833" s="93"/>
      <c r="N833" s="93"/>
      <c r="O833" s="93"/>
      <c r="P833" s="93"/>
      <c r="Q833" s="93"/>
      <c r="R833" s="93"/>
      <c r="S833" s="93"/>
      <c r="T833" s="93"/>
      <c r="U833" s="93"/>
      <c r="V833" s="93"/>
      <c r="W833" s="93"/>
    </row>
    <row r="834" spans="2:23" s="14" customFormat="1" ht="17.100000000000001" customHeight="1">
      <c r="B834" s="89"/>
      <c r="C834" s="90"/>
      <c r="D834" s="91"/>
      <c r="E834" s="92"/>
      <c r="F834" s="89"/>
      <c r="G834" s="89"/>
      <c r="H834" s="89"/>
      <c r="I834" s="89"/>
      <c r="J834" s="89"/>
      <c r="K834" s="89"/>
      <c r="L834" s="93"/>
      <c r="M834" s="93"/>
      <c r="N834" s="93"/>
      <c r="O834" s="93"/>
      <c r="P834" s="93"/>
      <c r="Q834" s="93"/>
      <c r="R834" s="93"/>
      <c r="S834" s="93"/>
      <c r="T834" s="93"/>
      <c r="U834" s="93"/>
      <c r="V834" s="93"/>
      <c r="W834" s="93"/>
    </row>
    <row r="835" spans="2:23" s="14" customFormat="1" ht="17.100000000000001" customHeight="1">
      <c r="B835" s="89"/>
      <c r="C835" s="90"/>
      <c r="D835" s="91"/>
      <c r="E835" s="92"/>
      <c r="F835" s="89"/>
      <c r="G835" s="89"/>
      <c r="H835" s="89"/>
      <c r="I835" s="89"/>
      <c r="J835" s="89"/>
      <c r="K835" s="89"/>
      <c r="L835" s="93"/>
      <c r="M835" s="93"/>
      <c r="N835" s="93"/>
      <c r="O835" s="93"/>
      <c r="P835" s="93"/>
      <c r="Q835" s="93"/>
      <c r="R835" s="93"/>
      <c r="S835" s="93"/>
      <c r="T835" s="93"/>
      <c r="U835" s="93"/>
      <c r="V835" s="93"/>
      <c r="W835" s="93"/>
    </row>
    <row r="836" spans="2:23" s="14" customFormat="1" ht="17.100000000000001" customHeight="1">
      <c r="B836" s="89"/>
      <c r="C836" s="90"/>
      <c r="D836" s="91"/>
      <c r="E836" s="92"/>
      <c r="F836" s="89"/>
      <c r="G836" s="89"/>
      <c r="H836" s="89"/>
      <c r="I836" s="89"/>
      <c r="J836" s="89"/>
      <c r="K836" s="89"/>
      <c r="L836" s="93"/>
      <c r="M836" s="93"/>
      <c r="N836" s="93"/>
      <c r="O836" s="93"/>
      <c r="P836" s="93"/>
      <c r="Q836" s="93"/>
      <c r="R836" s="93"/>
      <c r="S836" s="93"/>
      <c r="T836" s="93"/>
      <c r="U836" s="93"/>
      <c r="V836" s="93"/>
      <c r="W836" s="93"/>
    </row>
    <row r="837" spans="2:23" s="14" customFormat="1" ht="17.100000000000001" customHeight="1">
      <c r="B837" s="89"/>
      <c r="C837" s="90"/>
      <c r="D837" s="91"/>
      <c r="E837" s="92"/>
      <c r="F837" s="89"/>
      <c r="G837" s="89"/>
      <c r="H837" s="89"/>
      <c r="I837" s="89"/>
      <c r="J837" s="89"/>
      <c r="K837" s="89"/>
      <c r="L837" s="93"/>
      <c r="M837" s="93"/>
      <c r="N837" s="93"/>
      <c r="O837" s="93"/>
      <c r="P837" s="93"/>
      <c r="Q837" s="93"/>
      <c r="R837" s="93"/>
      <c r="S837" s="93"/>
      <c r="T837" s="93"/>
      <c r="U837" s="93"/>
      <c r="V837" s="93"/>
      <c r="W837" s="93"/>
    </row>
    <row r="838" spans="2:23" s="14" customFormat="1" ht="17.100000000000001" customHeight="1">
      <c r="B838" s="89"/>
      <c r="C838" s="90"/>
      <c r="D838" s="91"/>
      <c r="E838" s="92"/>
      <c r="F838" s="89"/>
      <c r="G838" s="89"/>
      <c r="H838" s="89"/>
      <c r="I838" s="89"/>
      <c r="J838" s="89"/>
      <c r="K838" s="89"/>
      <c r="L838" s="93"/>
      <c r="M838" s="93"/>
      <c r="N838" s="93"/>
      <c r="O838" s="93"/>
      <c r="P838" s="93"/>
      <c r="Q838" s="93"/>
      <c r="R838" s="93"/>
      <c r="S838" s="93"/>
      <c r="T838" s="93"/>
      <c r="U838" s="93"/>
      <c r="V838" s="93"/>
      <c r="W838" s="93"/>
    </row>
    <row r="839" spans="2:23" s="14" customFormat="1" ht="17.100000000000001" customHeight="1">
      <c r="B839" s="89"/>
      <c r="C839" s="90"/>
      <c r="D839" s="91"/>
      <c r="E839" s="92"/>
      <c r="F839" s="89"/>
      <c r="G839" s="89"/>
      <c r="H839" s="89"/>
      <c r="I839" s="89"/>
      <c r="J839" s="89"/>
      <c r="K839" s="89"/>
      <c r="L839" s="93"/>
      <c r="M839" s="93"/>
      <c r="N839" s="93"/>
      <c r="O839" s="93"/>
      <c r="P839" s="93"/>
      <c r="Q839" s="93"/>
      <c r="R839" s="93"/>
      <c r="S839" s="93"/>
      <c r="T839" s="93"/>
      <c r="U839" s="93"/>
      <c r="V839" s="93"/>
      <c r="W839" s="93"/>
    </row>
    <row r="840" spans="2:23" s="14" customFormat="1" ht="17.100000000000001" customHeight="1">
      <c r="B840" s="89"/>
      <c r="C840" s="90"/>
      <c r="D840" s="91"/>
      <c r="E840" s="92"/>
      <c r="F840" s="89"/>
      <c r="G840" s="89"/>
      <c r="H840" s="89"/>
      <c r="I840" s="89"/>
      <c r="J840" s="89"/>
      <c r="K840" s="89"/>
      <c r="L840" s="93"/>
      <c r="M840" s="93"/>
      <c r="N840" s="93"/>
      <c r="O840" s="93"/>
      <c r="P840" s="93"/>
      <c r="Q840" s="93"/>
      <c r="R840" s="93"/>
      <c r="S840" s="93"/>
      <c r="T840" s="93"/>
      <c r="U840" s="93"/>
      <c r="V840" s="93"/>
      <c r="W840" s="93"/>
    </row>
    <row r="841" spans="2:23" s="14" customFormat="1" ht="17.100000000000001" customHeight="1">
      <c r="B841" s="89"/>
      <c r="C841" s="90"/>
      <c r="D841" s="91"/>
      <c r="E841" s="92"/>
      <c r="F841" s="89"/>
      <c r="G841" s="89"/>
      <c r="H841" s="89"/>
      <c r="I841" s="89"/>
      <c r="J841" s="89"/>
      <c r="K841" s="89"/>
      <c r="L841" s="93"/>
      <c r="M841" s="93"/>
      <c r="N841" s="93"/>
      <c r="O841" s="93"/>
      <c r="P841" s="93"/>
      <c r="Q841" s="93"/>
      <c r="R841" s="93"/>
      <c r="S841" s="93"/>
      <c r="T841" s="93"/>
      <c r="U841" s="93"/>
      <c r="V841" s="93"/>
      <c r="W841" s="93"/>
    </row>
    <row r="842" spans="2:23" s="14" customFormat="1" ht="17.100000000000001" customHeight="1">
      <c r="B842" s="89"/>
      <c r="C842" s="90"/>
      <c r="D842" s="91"/>
      <c r="E842" s="92"/>
      <c r="F842" s="89"/>
      <c r="G842" s="89"/>
      <c r="H842" s="89"/>
      <c r="I842" s="89"/>
      <c r="J842" s="89"/>
      <c r="K842" s="89"/>
      <c r="L842" s="93"/>
      <c r="M842" s="93"/>
      <c r="N842" s="93"/>
      <c r="O842" s="93"/>
      <c r="P842" s="93"/>
      <c r="Q842" s="93"/>
      <c r="R842" s="93"/>
      <c r="S842" s="93"/>
      <c r="T842" s="93"/>
      <c r="U842" s="93"/>
      <c r="V842" s="93"/>
      <c r="W842" s="93"/>
    </row>
    <row r="843" spans="2:23" s="14" customFormat="1" ht="17.100000000000001" customHeight="1">
      <c r="B843" s="89"/>
      <c r="C843" s="90"/>
      <c r="D843" s="91"/>
      <c r="E843" s="92"/>
      <c r="F843" s="89"/>
      <c r="G843" s="89"/>
      <c r="H843" s="89"/>
      <c r="I843" s="89"/>
      <c r="J843" s="89"/>
      <c r="K843" s="89"/>
      <c r="L843" s="93"/>
      <c r="M843" s="93"/>
      <c r="N843" s="93"/>
      <c r="O843" s="93"/>
      <c r="P843" s="93"/>
      <c r="Q843" s="93"/>
      <c r="R843" s="93"/>
      <c r="S843" s="93"/>
      <c r="T843" s="93"/>
      <c r="U843" s="93"/>
      <c r="V843" s="93"/>
      <c r="W843" s="93"/>
    </row>
    <row r="844" spans="2:23" s="14" customFormat="1" ht="17.100000000000001" customHeight="1">
      <c r="B844" s="89"/>
      <c r="C844" s="90"/>
      <c r="D844" s="91"/>
      <c r="E844" s="92"/>
      <c r="F844" s="89"/>
      <c r="G844" s="89"/>
      <c r="H844" s="89"/>
      <c r="I844" s="89"/>
      <c r="J844" s="89"/>
      <c r="K844" s="89"/>
      <c r="L844" s="93"/>
      <c r="M844" s="93"/>
      <c r="N844" s="93"/>
      <c r="O844" s="93"/>
      <c r="P844" s="93"/>
      <c r="Q844" s="93"/>
      <c r="R844" s="93"/>
      <c r="S844" s="93"/>
      <c r="T844" s="93"/>
      <c r="U844" s="93"/>
      <c r="V844" s="93"/>
      <c r="W844" s="93"/>
    </row>
    <row r="845" spans="2:23" s="14" customFormat="1" ht="17.100000000000001" customHeight="1">
      <c r="B845" s="89"/>
      <c r="C845" s="90"/>
      <c r="D845" s="91"/>
      <c r="E845" s="92"/>
      <c r="F845" s="89"/>
      <c r="G845" s="89"/>
      <c r="H845" s="89"/>
      <c r="I845" s="89"/>
      <c r="J845" s="89"/>
      <c r="K845" s="89"/>
      <c r="L845" s="93"/>
      <c r="M845" s="93"/>
      <c r="N845" s="93"/>
      <c r="O845" s="93"/>
      <c r="P845" s="93"/>
      <c r="Q845" s="93"/>
      <c r="R845" s="93"/>
      <c r="S845" s="93"/>
      <c r="T845" s="93"/>
      <c r="U845" s="93"/>
      <c r="V845" s="93"/>
      <c r="W845" s="93"/>
    </row>
    <row r="846" spans="2:23" s="14" customFormat="1" ht="17.100000000000001" customHeight="1">
      <c r="B846" s="89"/>
      <c r="C846" s="90"/>
      <c r="D846" s="91"/>
      <c r="E846" s="92"/>
      <c r="F846" s="89"/>
      <c r="G846" s="89"/>
      <c r="H846" s="89"/>
      <c r="I846" s="89"/>
      <c r="J846" s="89"/>
      <c r="K846" s="89"/>
      <c r="L846" s="93"/>
      <c r="M846" s="93"/>
      <c r="N846" s="93"/>
      <c r="O846" s="93"/>
      <c r="P846" s="93"/>
      <c r="Q846" s="93"/>
      <c r="R846" s="93"/>
      <c r="S846" s="93"/>
      <c r="T846" s="93"/>
      <c r="U846" s="93"/>
      <c r="V846" s="93"/>
      <c r="W846" s="93"/>
    </row>
    <row r="847" spans="2:23" s="14" customFormat="1" ht="17.100000000000001" customHeight="1">
      <c r="B847" s="89"/>
      <c r="C847" s="90"/>
      <c r="D847" s="91"/>
      <c r="E847" s="92"/>
      <c r="F847" s="89"/>
      <c r="G847" s="89"/>
      <c r="H847" s="89"/>
      <c r="I847" s="89"/>
      <c r="J847" s="89"/>
      <c r="K847" s="89"/>
      <c r="L847" s="93"/>
      <c r="M847" s="93"/>
      <c r="N847" s="93"/>
      <c r="O847" s="93"/>
      <c r="P847" s="93"/>
      <c r="Q847" s="93"/>
      <c r="R847" s="93"/>
      <c r="S847" s="93"/>
      <c r="T847" s="93"/>
      <c r="U847" s="93"/>
      <c r="V847" s="93"/>
      <c r="W847" s="93"/>
    </row>
    <row r="848" spans="2:23" s="14" customFormat="1" ht="17.100000000000001" customHeight="1">
      <c r="B848" s="89"/>
      <c r="C848" s="90"/>
      <c r="D848" s="91"/>
      <c r="E848" s="92"/>
      <c r="F848" s="89"/>
      <c r="G848" s="89"/>
      <c r="H848" s="89"/>
      <c r="I848" s="89"/>
      <c r="J848" s="89"/>
      <c r="K848" s="89"/>
      <c r="L848" s="93"/>
      <c r="M848" s="93"/>
      <c r="N848" s="93"/>
      <c r="O848" s="93"/>
      <c r="P848" s="93"/>
      <c r="Q848" s="93"/>
      <c r="R848" s="93"/>
      <c r="S848" s="93"/>
      <c r="T848" s="93"/>
      <c r="U848" s="93"/>
      <c r="V848" s="93"/>
      <c r="W848" s="93"/>
    </row>
    <row r="849" spans="2:23" s="14" customFormat="1" ht="17.100000000000001" customHeight="1">
      <c r="B849" s="89"/>
      <c r="C849" s="90"/>
      <c r="D849" s="91"/>
      <c r="E849" s="92"/>
      <c r="F849" s="89"/>
      <c r="G849" s="89"/>
      <c r="H849" s="89"/>
      <c r="I849" s="89"/>
      <c r="J849" s="89"/>
      <c r="K849" s="89"/>
      <c r="L849" s="93"/>
      <c r="M849" s="93"/>
      <c r="N849" s="93"/>
      <c r="O849" s="93"/>
      <c r="P849" s="93"/>
      <c r="Q849" s="93"/>
      <c r="R849" s="93"/>
      <c r="S849" s="93"/>
      <c r="T849" s="93"/>
      <c r="U849" s="93"/>
      <c r="V849" s="93"/>
      <c r="W849" s="93"/>
    </row>
    <row r="850" spans="2:23" s="14" customFormat="1" ht="17.100000000000001" customHeight="1">
      <c r="B850" s="89"/>
      <c r="C850" s="90"/>
      <c r="D850" s="91"/>
      <c r="E850" s="92"/>
      <c r="F850" s="89"/>
      <c r="G850" s="89"/>
      <c r="H850" s="89"/>
      <c r="I850" s="89"/>
      <c r="J850" s="89"/>
      <c r="K850" s="89"/>
      <c r="L850" s="93"/>
      <c r="M850" s="93"/>
      <c r="N850" s="93"/>
      <c r="O850" s="93"/>
      <c r="P850" s="93"/>
      <c r="Q850" s="93"/>
      <c r="R850" s="93"/>
      <c r="S850" s="93"/>
      <c r="T850" s="93"/>
      <c r="U850" s="93"/>
      <c r="V850" s="93"/>
      <c r="W850" s="93"/>
    </row>
    <row r="851" spans="2:23" s="14" customFormat="1" ht="17.100000000000001" customHeight="1">
      <c r="B851" s="89"/>
      <c r="C851" s="90"/>
      <c r="D851" s="91"/>
      <c r="E851" s="92"/>
      <c r="F851" s="89"/>
      <c r="G851" s="89"/>
      <c r="H851" s="89"/>
      <c r="I851" s="89"/>
      <c r="J851" s="89"/>
      <c r="K851" s="89"/>
      <c r="L851" s="93"/>
      <c r="M851" s="93"/>
      <c r="N851" s="93"/>
      <c r="O851" s="93"/>
      <c r="P851" s="93"/>
      <c r="Q851" s="93"/>
      <c r="R851" s="93"/>
      <c r="S851" s="93"/>
      <c r="T851" s="93"/>
      <c r="U851" s="93"/>
      <c r="V851" s="93"/>
      <c r="W851" s="93"/>
    </row>
    <row r="852" spans="2:23" s="14" customFormat="1" ht="17.100000000000001" customHeight="1">
      <c r="B852" s="89"/>
      <c r="C852" s="90"/>
      <c r="D852" s="91"/>
      <c r="E852" s="92"/>
      <c r="F852" s="89"/>
      <c r="G852" s="89"/>
      <c r="H852" s="89"/>
      <c r="I852" s="89"/>
      <c r="J852" s="89"/>
      <c r="K852" s="89"/>
      <c r="L852" s="93"/>
      <c r="M852" s="93"/>
      <c r="N852" s="93"/>
      <c r="O852" s="93"/>
      <c r="P852" s="93"/>
      <c r="Q852" s="93"/>
      <c r="R852" s="93"/>
      <c r="S852" s="93"/>
      <c r="T852" s="93"/>
      <c r="U852" s="93"/>
      <c r="V852" s="93"/>
      <c r="W852" s="93"/>
    </row>
    <row r="853" spans="2:23" s="14" customFormat="1" ht="17.100000000000001" customHeight="1">
      <c r="B853" s="89"/>
      <c r="C853" s="90"/>
      <c r="D853" s="91"/>
      <c r="E853" s="92"/>
      <c r="F853" s="89"/>
      <c r="G853" s="89"/>
      <c r="H853" s="89"/>
      <c r="I853" s="89"/>
      <c r="J853" s="89"/>
      <c r="K853" s="89"/>
      <c r="L853" s="93"/>
      <c r="M853" s="93"/>
      <c r="N853" s="93"/>
      <c r="O853" s="93"/>
      <c r="P853" s="93"/>
      <c r="Q853" s="93"/>
      <c r="R853" s="93"/>
      <c r="S853" s="93"/>
      <c r="T853" s="93"/>
      <c r="U853" s="93"/>
      <c r="V853" s="93"/>
      <c r="W853" s="93"/>
    </row>
    <row r="854" spans="2:23" s="14" customFormat="1" ht="17.100000000000001" customHeight="1">
      <c r="B854" s="89"/>
      <c r="C854" s="90"/>
      <c r="D854" s="91"/>
      <c r="E854" s="92"/>
      <c r="F854" s="89"/>
      <c r="G854" s="89"/>
      <c r="H854" s="89"/>
      <c r="I854" s="89"/>
      <c r="J854" s="89"/>
      <c r="K854" s="89"/>
      <c r="L854" s="93"/>
      <c r="M854" s="93"/>
      <c r="N854" s="93"/>
      <c r="O854" s="93"/>
      <c r="P854" s="93"/>
      <c r="Q854" s="93"/>
      <c r="R854" s="93"/>
      <c r="S854" s="93"/>
      <c r="T854" s="93"/>
      <c r="U854" s="93"/>
      <c r="V854" s="93"/>
      <c r="W854" s="93"/>
    </row>
    <row r="855" spans="2:23" s="14" customFormat="1" ht="17.100000000000001" customHeight="1">
      <c r="B855" s="89"/>
      <c r="C855" s="90"/>
      <c r="D855" s="91"/>
      <c r="E855" s="92"/>
      <c r="F855" s="89"/>
      <c r="G855" s="89"/>
      <c r="H855" s="89"/>
      <c r="I855" s="89"/>
      <c r="J855" s="89"/>
      <c r="K855" s="89"/>
      <c r="L855" s="93"/>
      <c r="M855" s="93"/>
      <c r="N855" s="93"/>
      <c r="O855" s="93"/>
      <c r="P855" s="93"/>
      <c r="Q855" s="93"/>
      <c r="R855" s="93"/>
      <c r="S855" s="93"/>
      <c r="T855" s="93"/>
      <c r="U855" s="93"/>
      <c r="V855" s="93"/>
      <c r="W855" s="93"/>
    </row>
    <row r="856" spans="2:23" s="14" customFormat="1" ht="17.100000000000001" customHeight="1">
      <c r="B856" s="89"/>
      <c r="C856" s="90"/>
      <c r="D856" s="91"/>
      <c r="E856" s="92"/>
      <c r="F856" s="89"/>
      <c r="G856" s="89"/>
      <c r="H856" s="89"/>
      <c r="I856" s="89"/>
      <c r="J856" s="89"/>
      <c r="K856" s="89"/>
      <c r="L856" s="93"/>
      <c r="M856" s="93"/>
      <c r="N856" s="93"/>
      <c r="O856" s="93"/>
      <c r="P856" s="93"/>
      <c r="Q856" s="93"/>
      <c r="R856" s="93"/>
      <c r="S856" s="93"/>
      <c r="T856" s="93"/>
      <c r="U856" s="93"/>
      <c r="V856" s="93"/>
      <c r="W856" s="93"/>
    </row>
    <row r="857" spans="2:23" s="14" customFormat="1" ht="17.100000000000001" customHeight="1">
      <c r="B857" s="89"/>
      <c r="C857" s="90"/>
      <c r="D857" s="91"/>
      <c r="E857" s="92"/>
      <c r="F857" s="89"/>
      <c r="G857" s="89"/>
      <c r="H857" s="89"/>
      <c r="I857" s="89"/>
      <c r="J857" s="89"/>
      <c r="K857" s="89"/>
      <c r="L857" s="93"/>
      <c r="M857" s="93"/>
      <c r="N857" s="93"/>
      <c r="O857" s="93"/>
      <c r="P857" s="93"/>
      <c r="Q857" s="93"/>
      <c r="R857" s="93"/>
      <c r="S857" s="93"/>
      <c r="T857" s="93"/>
      <c r="U857" s="93"/>
      <c r="V857" s="93"/>
      <c r="W857" s="93"/>
    </row>
    <row r="858" spans="2:23" s="14" customFormat="1" ht="17.100000000000001" customHeight="1">
      <c r="B858" s="89"/>
      <c r="C858" s="90"/>
      <c r="D858" s="91"/>
      <c r="E858" s="92"/>
      <c r="F858" s="89"/>
      <c r="G858" s="89"/>
      <c r="H858" s="89"/>
      <c r="I858" s="89"/>
      <c r="J858" s="89"/>
      <c r="K858" s="89"/>
      <c r="L858" s="93"/>
      <c r="M858" s="93"/>
      <c r="N858" s="93"/>
      <c r="O858" s="93"/>
      <c r="P858" s="93"/>
      <c r="Q858" s="93"/>
      <c r="R858" s="93"/>
      <c r="S858" s="93"/>
      <c r="T858" s="93"/>
      <c r="U858" s="93"/>
      <c r="V858" s="93"/>
      <c r="W858" s="93"/>
    </row>
    <row r="859" spans="2:23" s="14" customFormat="1" ht="17.100000000000001" customHeight="1">
      <c r="B859" s="89"/>
      <c r="C859" s="90"/>
      <c r="D859" s="91"/>
      <c r="E859" s="92"/>
      <c r="F859" s="89"/>
      <c r="G859" s="89"/>
      <c r="H859" s="89"/>
      <c r="I859" s="89"/>
      <c r="J859" s="89"/>
      <c r="K859" s="89"/>
      <c r="L859" s="93"/>
      <c r="M859" s="93"/>
      <c r="N859" s="93"/>
      <c r="O859" s="93"/>
      <c r="P859" s="93"/>
      <c r="Q859" s="93"/>
      <c r="R859" s="93"/>
      <c r="S859" s="93"/>
      <c r="T859" s="93"/>
      <c r="U859" s="93"/>
      <c r="V859" s="93"/>
      <c r="W859" s="93"/>
    </row>
    <row r="860" spans="2:23" s="14" customFormat="1" ht="17.100000000000001" customHeight="1">
      <c r="B860" s="89"/>
      <c r="C860" s="90"/>
      <c r="D860" s="91"/>
      <c r="E860" s="92"/>
      <c r="F860" s="89"/>
      <c r="G860" s="89"/>
      <c r="H860" s="89"/>
      <c r="I860" s="89"/>
      <c r="J860" s="89"/>
      <c r="K860" s="89"/>
      <c r="L860" s="93"/>
      <c r="M860" s="93"/>
      <c r="N860" s="93"/>
      <c r="O860" s="93"/>
      <c r="P860" s="93"/>
      <c r="Q860" s="93"/>
      <c r="R860" s="93"/>
      <c r="S860" s="93"/>
      <c r="T860" s="93"/>
      <c r="U860" s="93"/>
      <c r="V860" s="93"/>
      <c r="W860" s="93"/>
    </row>
    <row r="861" spans="2:23" s="14" customFormat="1" ht="17.100000000000001" customHeight="1">
      <c r="B861" s="89"/>
      <c r="C861" s="90"/>
      <c r="D861" s="91"/>
      <c r="E861" s="92"/>
      <c r="F861" s="89"/>
      <c r="G861" s="89"/>
      <c r="H861" s="89"/>
      <c r="I861" s="89"/>
      <c r="J861" s="89"/>
      <c r="K861" s="89"/>
      <c r="L861" s="93"/>
      <c r="M861" s="93"/>
      <c r="N861" s="93"/>
      <c r="O861" s="93"/>
      <c r="P861" s="93"/>
      <c r="Q861" s="93"/>
      <c r="R861" s="93"/>
      <c r="S861" s="93"/>
      <c r="T861" s="93"/>
      <c r="U861" s="93"/>
      <c r="V861" s="93"/>
      <c r="W861" s="93"/>
    </row>
    <row r="862" spans="2:23" s="14" customFormat="1" ht="17.100000000000001" customHeight="1">
      <c r="B862" s="89"/>
      <c r="C862" s="90"/>
      <c r="D862" s="91"/>
      <c r="E862" s="92"/>
      <c r="F862" s="89"/>
      <c r="G862" s="89"/>
      <c r="H862" s="89"/>
      <c r="I862" s="89"/>
      <c r="J862" s="89"/>
      <c r="K862" s="89"/>
      <c r="L862" s="93"/>
      <c r="M862" s="93"/>
      <c r="N862" s="93"/>
      <c r="O862" s="93"/>
      <c r="P862" s="93"/>
      <c r="Q862" s="93"/>
      <c r="R862" s="93"/>
      <c r="S862" s="93"/>
      <c r="T862" s="93"/>
      <c r="U862" s="93"/>
      <c r="V862" s="93"/>
      <c r="W862" s="93"/>
    </row>
    <row r="863" spans="2:23" s="14" customFormat="1" ht="17.100000000000001" customHeight="1">
      <c r="B863" s="89"/>
      <c r="C863" s="90"/>
      <c r="D863" s="91"/>
      <c r="E863" s="92"/>
      <c r="F863" s="89"/>
      <c r="G863" s="89"/>
      <c r="H863" s="89"/>
      <c r="I863" s="89"/>
      <c r="J863" s="89"/>
      <c r="K863" s="89"/>
      <c r="L863" s="93"/>
      <c r="M863" s="93"/>
      <c r="N863" s="93"/>
      <c r="O863" s="93"/>
      <c r="P863" s="93"/>
      <c r="Q863" s="93"/>
      <c r="R863" s="93"/>
      <c r="S863" s="93"/>
      <c r="T863" s="93"/>
      <c r="U863" s="93"/>
      <c r="V863" s="93"/>
      <c r="W863" s="93"/>
    </row>
    <row r="864" spans="2:23" s="14" customFormat="1" ht="17.100000000000001" customHeight="1">
      <c r="B864" s="89"/>
      <c r="C864" s="90"/>
      <c r="D864" s="91"/>
      <c r="E864" s="92"/>
      <c r="F864" s="89"/>
      <c r="G864" s="89"/>
      <c r="H864" s="89"/>
      <c r="I864" s="89"/>
      <c r="J864" s="89"/>
      <c r="K864" s="89"/>
      <c r="L864" s="93"/>
      <c r="M864" s="93"/>
      <c r="N864" s="93"/>
      <c r="O864" s="93"/>
      <c r="P864" s="93"/>
      <c r="Q864" s="93"/>
      <c r="R864" s="93"/>
      <c r="S864" s="93"/>
      <c r="T864" s="93"/>
      <c r="U864" s="93"/>
      <c r="V864" s="93"/>
      <c r="W864" s="93"/>
    </row>
    <row r="865" spans="2:23" s="14" customFormat="1" ht="17.100000000000001" customHeight="1">
      <c r="B865" s="89"/>
      <c r="C865" s="90"/>
      <c r="D865" s="91"/>
      <c r="E865" s="92"/>
      <c r="F865" s="89"/>
      <c r="G865" s="89"/>
      <c r="H865" s="89"/>
      <c r="I865" s="89"/>
      <c r="J865" s="89"/>
      <c r="K865" s="89"/>
      <c r="L865" s="93"/>
      <c r="M865" s="93"/>
      <c r="N865" s="93"/>
      <c r="O865" s="93"/>
      <c r="P865" s="93"/>
      <c r="Q865" s="93"/>
      <c r="R865" s="93"/>
      <c r="S865" s="93"/>
      <c r="T865" s="93"/>
      <c r="U865" s="93"/>
      <c r="V865" s="93"/>
      <c r="W865" s="93"/>
    </row>
    <row r="866" spans="2:23" s="14" customFormat="1" ht="17.100000000000001" customHeight="1">
      <c r="B866" s="89"/>
      <c r="C866" s="90"/>
      <c r="D866" s="91"/>
      <c r="E866" s="92"/>
      <c r="F866" s="89"/>
      <c r="G866" s="89"/>
      <c r="H866" s="89"/>
      <c r="I866" s="89"/>
      <c r="J866" s="89"/>
      <c r="K866" s="89"/>
      <c r="L866" s="93"/>
      <c r="M866" s="93"/>
      <c r="N866" s="93"/>
      <c r="O866" s="93"/>
      <c r="P866" s="93"/>
      <c r="Q866" s="93"/>
      <c r="R866" s="93"/>
      <c r="S866" s="93"/>
      <c r="T866" s="93"/>
      <c r="U866" s="93"/>
      <c r="V866" s="93"/>
      <c r="W866" s="93"/>
    </row>
    <row r="867" spans="2:23" s="14" customFormat="1" ht="17.100000000000001" customHeight="1">
      <c r="B867" s="89"/>
      <c r="C867" s="90"/>
      <c r="D867" s="91"/>
      <c r="E867" s="92"/>
      <c r="F867" s="89"/>
      <c r="G867" s="89"/>
      <c r="H867" s="89"/>
      <c r="I867" s="89"/>
      <c r="J867" s="89"/>
      <c r="K867" s="89"/>
      <c r="L867" s="93"/>
      <c r="M867" s="93"/>
      <c r="N867" s="93"/>
      <c r="O867" s="93"/>
      <c r="P867" s="93"/>
      <c r="Q867" s="93"/>
      <c r="R867" s="93"/>
      <c r="S867" s="93"/>
      <c r="T867" s="93"/>
      <c r="U867" s="93"/>
      <c r="V867" s="93"/>
      <c r="W867" s="93"/>
    </row>
    <row r="868" spans="2:23" s="14" customFormat="1" ht="17.100000000000001" customHeight="1">
      <c r="B868" s="89"/>
      <c r="C868" s="90"/>
      <c r="D868" s="91"/>
      <c r="E868" s="92"/>
      <c r="F868" s="89"/>
      <c r="G868" s="89"/>
      <c r="H868" s="89"/>
      <c r="I868" s="89"/>
      <c r="J868" s="89"/>
      <c r="K868" s="89"/>
      <c r="L868" s="93"/>
      <c r="M868" s="93"/>
      <c r="N868" s="93"/>
      <c r="O868" s="93"/>
      <c r="P868" s="93"/>
      <c r="Q868" s="93"/>
      <c r="R868" s="93"/>
      <c r="S868" s="93"/>
      <c r="T868" s="93"/>
      <c r="U868" s="93"/>
      <c r="V868" s="93"/>
      <c r="W868" s="93"/>
    </row>
    <row r="869" spans="2:23" s="14" customFormat="1" ht="17.100000000000001" customHeight="1">
      <c r="B869" s="89"/>
      <c r="C869" s="90"/>
      <c r="D869" s="91"/>
      <c r="E869" s="92"/>
      <c r="F869" s="89"/>
      <c r="G869" s="89"/>
      <c r="H869" s="89"/>
      <c r="I869" s="89"/>
      <c r="J869" s="89"/>
      <c r="K869" s="89"/>
      <c r="L869" s="93"/>
      <c r="M869" s="93"/>
      <c r="N869" s="93"/>
      <c r="O869" s="93"/>
      <c r="P869" s="93"/>
      <c r="Q869" s="93"/>
      <c r="R869" s="93"/>
      <c r="S869" s="93"/>
      <c r="T869" s="93"/>
      <c r="U869" s="93"/>
      <c r="V869" s="93"/>
      <c r="W869" s="93"/>
    </row>
    <row r="870" spans="2:23" s="14" customFormat="1" ht="17.100000000000001" customHeight="1">
      <c r="B870" s="89"/>
      <c r="C870" s="90"/>
      <c r="D870" s="91"/>
      <c r="E870" s="92"/>
      <c r="F870" s="89"/>
      <c r="G870" s="89"/>
      <c r="H870" s="89"/>
      <c r="I870" s="89"/>
      <c r="J870" s="89"/>
      <c r="K870" s="89"/>
      <c r="L870" s="93"/>
      <c r="M870" s="93"/>
      <c r="N870" s="93"/>
      <c r="O870" s="93"/>
      <c r="P870" s="93"/>
      <c r="Q870" s="93"/>
      <c r="R870" s="93"/>
      <c r="S870" s="93"/>
      <c r="T870" s="93"/>
      <c r="U870" s="93"/>
      <c r="V870" s="93"/>
      <c r="W870" s="93"/>
    </row>
    <row r="871" spans="2:23" s="14" customFormat="1" ht="17.100000000000001" customHeight="1">
      <c r="B871" s="89"/>
      <c r="C871" s="90"/>
      <c r="D871" s="91"/>
      <c r="E871" s="92"/>
      <c r="F871" s="89"/>
      <c r="G871" s="89"/>
      <c r="H871" s="89"/>
      <c r="I871" s="89"/>
      <c r="J871" s="89"/>
      <c r="K871" s="89"/>
      <c r="L871" s="93"/>
      <c r="M871" s="93"/>
      <c r="N871" s="93"/>
      <c r="O871" s="93"/>
      <c r="P871" s="93"/>
      <c r="Q871" s="93"/>
      <c r="R871" s="93"/>
      <c r="S871" s="93"/>
      <c r="T871" s="93"/>
      <c r="U871" s="93"/>
      <c r="V871" s="93"/>
      <c r="W871" s="93"/>
    </row>
    <row r="872" spans="2:23" s="14" customFormat="1" ht="17.100000000000001" customHeight="1">
      <c r="B872" s="89"/>
      <c r="C872" s="90"/>
      <c r="D872" s="91"/>
      <c r="E872" s="92"/>
      <c r="F872" s="89"/>
      <c r="G872" s="89"/>
      <c r="H872" s="89"/>
      <c r="I872" s="89"/>
      <c r="J872" s="89"/>
      <c r="K872" s="89"/>
      <c r="L872" s="93"/>
      <c r="M872" s="93"/>
      <c r="N872" s="93"/>
      <c r="O872" s="93"/>
      <c r="P872" s="93"/>
      <c r="Q872" s="93"/>
      <c r="R872" s="93"/>
      <c r="S872" s="93"/>
      <c r="T872" s="93"/>
      <c r="U872" s="93"/>
      <c r="V872" s="93"/>
      <c r="W872" s="93"/>
    </row>
    <row r="873" spans="2:23" s="14" customFormat="1" ht="17.100000000000001" customHeight="1">
      <c r="B873" s="89"/>
      <c r="C873" s="90"/>
      <c r="D873" s="91"/>
      <c r="E873" s="92"/>
      <c r="F873" s="89"/>
      <c r="G873" s="89"/>
      <c r="H873" s="89"/>
      <c r="I873" s="89"/>
      <c r="J873" s="89"/>
      <c r="K873" s="89"/>
      <c r="L873" s="93"/>
      <c r="M873" s="93"/>
      <c r="N873" s="93"/>
      <c r="O873" s="93"/>
      <c r="P873" s="93"/>
      <c r="Q873" s="93"/>
      <c r="R873" s="93"/>
      <c r="S873" s="93"/>
      <c r="T873" s="93"/>
      <c r="U873" s="93"/>
      <c r="V873" s="93"/>
      <c r="W873" s="93"/>
    </row>
    <row r="874" spans="2:23" s="14" customFormat="1" ht="17.100000000000001" customHeight="1">
      <c r="B874" s="89"/>
      <c r="C874" s="90"/>
      <c r="D874" s="91"/>
      <c r="E874" s="92"/>
      <c r="F874" s="89"/>
      <c r="G874" s="89"/>
      <c r="H874" s="89"/>
      <c r="I874" s="89"/>
      <c r="J874" s="89"/>
      <c r="K874" s="89"/>
      <c r="L874" s="93"/>
      <c r="M874" s="93"/>
      <c r="N874" s="93"/>
      <c r="O874" s="93"/>
      <c r="P874" s="93"/>
      <c r="Q874" s="93"/>
      <c r="R874" s="93"/>
      <c r="S874" s="93"/>
      <c r="T874" s="93"/>
      <c r="U874" s="93"/>
      <c r="V874" s="93"/>
      <c r="W874" s="93"/>
    </row>
    <row r="875" spans="2:23" s="14" customFormat="1" ht="17.100000000000001" customHeight="1">
      <c r="B875" s="89"/>
      <c r="C875" s="90"/>
      <c r="D875" s="91"/>
      <c r="E875" s="92"/>
      <c r="F875" s="89"/>
      <c r="G875" s="89"/>
      <c r="H875" s="89"/>
      <c r="I875" s="89"/>
      <c r="J875" s="89"/>
      <c r="K875" s="89"/>
      <c r="L875" s="93"/>
      <c r="M875" s="93"/>
      <c r="N875" s="93"/>
      <c r="O875" s="93"/>
      <c r="P875" s="93"/>
      <c r="Q875" s="93"/>
      <c r="R875" s="93"/>
      <c r="S875" s="93"/>
      <c r="T875" s="93"/>
      <c r="U875" s="93"/>
      <c r="V875" s="93"/>
      <c r="W875" s="93"/>
    </row>
    <row r="876" spans="2:23" s="14" customFormat="1" ht="17.100000000000001" customHeight="1">
      <c r="B876" s="89"/>
      <c r="C876" s="90"/>
      <c r="D876" s="91"/>
      <c r="E876" s="92"/>
      <c r="F876" s="89"/>
      <c r="G876" s="89"/>
      <c r="H876" s="89"/>
      <c r="I876" s="89"/>
      <c r="J876" s="89"/>
      <c r="K876" s="89"/>
      <c r="L876" s="93"/>
      <c r="M876" s="93"/>
      <c r="N876" s="93"/>
      <c r="O876" s="93"/>
      <c r="P876" s="93"/>
      <c r="Q876" s="93"/>
      <c r="R876" s="93"/>
      <c r="S876" s="93"/>
      <c r="T876" s="93"/>
      <c r="U876" s="93"/>
      <c r="V876" s="93"/>
      <c r="W876" s="93"/>
    </row>
    <row r="877" spans="2:23" s="14" customFormat="1" ht="17.100000000000001" customHeight="1">
      <c r="B877" s="89"/>
      <c r="C877" s="90"/>
      <c r="D877" s="91"/>
      <c r="E877" s="92"/>
      <c r="F877" s="89"/>
      <c r="G877" s="89"/>
      <c r="H877" s="89"/>
      <c r="I877" s="89"/>
      <c r="J877" s="89"/>
      <c r="K877" s="89"/>
      <c r="L877" s="93"/>
      <c r="M877" s="93"/>
      <c r="N877" s="93"/>
      <c r="O877" s="93"/>
      <c r="P877" s="93"/>
      <c r="Q877" s="93"/>
      <c r="R877" s="93"/>
      <c r="S877" s="93"/>
      <c r="T877" s="93"/>
      <c r="U877" s="93"/>
      <c r="V877" s="93"/>
      <c r="W877" s="93"/>
    </row>
    <row r="878" spans="2:23" s="14" customFormat="1" ht="17.100000000000001" customHeight="1">
      <c r="B878" s="89"/>
      <c r="C878" s="90"/>
      <c r="D878" s="91"/>
      <c r="E878" s="92"/>
      <c r="F878" s="89"/>
      <c r="G878" s="89"/>
      <c r="H878" s="89"/>
      <c r="I878" s="89"/>
      <c r="J878" s="89"/>
      <c r="K878" s="89"/>
      <c r="L878" s="93"/>
      <c r="M878" s="93"/>
      <c r="N878" s="93"/>
      <c r="O878" s="93"/>
      <c r="P878" s="93"/>
      <c r="Q878" s="93"/>
      <c r="R878" s="93"/>
      <c r="S878" s="93"/>
      <c r="T878" s="93"/>
      <c r="U878" s="93"/>
      <c r="V878" s="93"/>
      <c r="W878" s="93"/>
    </row>
    <row r="879" spans="2:23" s="14" customFormat="1" ht="17.100000000000001" customHeight="1">
      <c r="B879" s="89"/>
      <c r="C879" s="90"/>
      <c r="D879" s="91"/>
      <c r="E879" s="92"/>
      <c r="F879" s="89"/>
      <c r="G879" s="89"/>
      <c r="H879" s="89"/>
      <c r="I879" s="89"/>
      <c r="J879" s="89"/>
      <c r="K879" s="89"/>
      <c r="L879" s="93"/>
      <c r="M879" s="93"/>
      <c r="N879" s="93"/>
      <c r="O879" s="93"/>
      <c r="P879" s="93"/>
      <c r="Q879" s="93"/>
      <c r="R879" s="93"/>
      <c r="S879" s="93"/>
      <c r="T879" s="93"/>
      <c r="U879" s="93"/>
      <c r="V879" s="93"/>
      <c r="W879" s="93"/>
    </row>
    <row r="880" spans="2:23" s="14" customFormat="1" ht="17.100000000000001" customHeight="1">
      <c r="B880" s="89"/>
      <c r="C880" s="90"/>
      <c r="D880" s="91"/>
      <c r="E880" s="92"/>
      <c r="F880" s="89"/>
      <c r="G880" s="89"/>
      <c r="H880" s="89"/>
      <c r="I880" s="89"/>
      <c r="J880" s="89"/>
      <c r="K880" s="89"/>
      <c r="L880" s="93"/>
      <c r="M880" s="93"/>
      <c r="N880" s="93"/>
      <c r="O880" s="93"/>
      <c r="P880" s="93"/>
      <c r="Q880" s="93"/>
      <c r="R880" s="93"/>
      <c r="S880" s="93"/>
      <c r="T880" s="93"/>
      <c r="U880" s="93"/>
      <c r="V880" s="93"/>
      <c r="W880" s="93"/>
    </row>
    <row r="881" spans="2:23" s="14" customFormat="1" ht="17.100000000000001" customHeight="1">
      <c r="B881" s="89"/>
      <c r="C881" s="90"/>
      <c r="D881" s="91"/>
      <c r="E881" s="92"/>
      <c r="F881" s="89"/>
      <c r="G881" s="89"/>
      <c r="H881" s="89"/>
      <c r="I881" s="89"/>
      <c r="J881" s="89"/>
      <c r="K881" s="89"/>
      <c r="L881" s="93"/>
      <c r="M881" s="93"/>
      <c r="N881" s="93"/>
      <c r="O881" s="93"/>
      <c r="P881" s="93"/>
      <c r="Q881" s="93"/>
      <c r="R881" s="93"/>
      <c r="S881" s="93"/>
      <c r="T881" s="93"/>
      <c r="U881" s="93"/>
      <c r="V881" s="93"/>
      <c r="W881" s="93"/>
    </row>
    <row r="882" spans="2:23" s="14" customFormat="1" ht="17.100000000000001" customHeight="1">
      <c r="B882" s="89"/>
      <c r="C882" s="90"/>
      <c r="D882" s="91"/>
      <c r="E882" s="92"/>
      <c r="F882" s="89"/>
      <c r="G882" s="89"/>
      <c r="H882" s="89"/>
      <c r="I882" s="89"/>
      <c r="J882" s="89"/>
      <c r="K882" s="89"/>
      <c r="L882" s="93"/>
      <c r="M882" s="93"/>
      <c r="N882" s="93"/>
      <c r="O882" s="93"/>
      <c r="P882" s="93"/>
      <c r="Q882" s="93"/>
      <c r="R882" s="93"/>
      <c r="S882" s="93"/>
      <c r="T882" s="93"/>
      <c r="U882" s="93"/>
      <c r="V882" s="93"/>
      <c r="W882" s="93"/>
    </row>
    <row r="883" spans="2:23" s="14" customFormat="1" ht="17.100000000000001" customHeight="1">
      <c r="B883" s="89"/>
      <c r="C883" s="90"/>
      <c r="D883" s="91"/>
      <c r="E883" s="92"/>
      <c r="F883" s="89"/>
      <c r="G883" s="89"/>
      <c r="H883" s="89"/>
      <c r="I883" s="89"/>
      <c r="J883" s="89"/>
      <c r="K883" s="89"/>
      <c r="L883" s="93"/>
      <c r="M883" s="93"/>
      <c r="N883" s="93"/>
      <c r="O883" s="93"/>
      <c r="P883" s="93"/>
      <c r="Q883" s="93"/>
      <c r="R883" s="93"/>
      <c r="S883" s="93"/>
      <c r="T883" s="93"/>
      <c r="U883" s="93"/>
      <c r="V883" s="93"/>
      <c r="W883" s="93"/>
    </row>
    <row r="884" spans="2:23" s="14" customFormat="1" ht="17.100000000000001" customHeight="1">
      <c r="B884" s="89"/>
      <c r="C884" s="90"/>
      <c r="D884" s="91"/>
      <c r="E884" s="92"/>
      <c r="F884" s="89"/>
      <c r="G884" s="89"/>
      <c r="H884" s="89"/>
      <c r="I884" s="89"/>
      <c r="J884" s="89"/>
      <c r="K884" s="89"/>
      <c r="L884" s="93"/>
      <c r="M884" s="93"/>
      <c r="N884" s="93"/>
      <c r="O884" s="93"/>
      <c r="P884" s="93"/>
      <c r="Q884" s="93"/>
      <c r="R884" s="93"/>
      <c r="S884" s="93"/>
      <c r="T884" s="93"/>
      <c r="U884" s="93"/>
      <c r="V884" s="93"/>
      <c r="W884" s="93"/>
    </row>
    <row r="885" spans="2:23" s="14" customFormat="1" ht="17.100000000000001" customHeight="1">
      <c r="B885" s="89"/>
      <c r="C885" s="90"/>
      <c r="D885" s="91"/>
      <c r="E885" s="92"/>
      <c r="F885" s="89"/>
      <c r="G885" s="89"/>
      <c r="H885" s="89"/>
      <c r="I885" s="89"/>
      <c r="J885" s="89"/>
      <c r="K885" s="89"/>
      <c r="L885" s="93"/>
      <c r="M885" s="93"/>
      <c r="N885" s="93"/>
      <c r="O885" s="93"/>
      <c r="P885" s="93"/>
      <c r="Q885" s="93"/>
      <c r="R885" s="93"/>
      <c r="S885" s="93"/>
      <c r="T885" s="93"/>
      <c r="U885" s="93"/>
      <c r="V885" s="93"/>
      <c r="W885" s="93"/>
    </row>
    <row r="886" spans="2:23" s="14" customFormat="1" ht="17.100000000000001" customHeight="1">
      <c r="B886" s="89"/>
      <c r="C886" s="90"/>
      <c r="D886" s="91"/>
      <c r="E886" s="92"/>
      <c r="F886" s="89"/>
      <c r="G886" s="89"/>
      <c r="H886" s="89"/>
      <c r="I886" s="89"/>
      <c r="J886" s="89"/>
      <c r="K886" s="89"/>
      <c r="L886" s="93"/>
      <c r="M886" s="93"/>
      <c r="N886" s="93"/>
      <c r="O886" s="93"/>
      <c r="P886" s="93"/>
      <c r="Q886" s="93"/>
      <c r="R886" s="93"/>
      <c r="S886" s="93"/>
      <c r="T886" s="93"/>
      <c r="U886" s="93"/>
      <c r="V886" s="93"/>
      <c r="W886" s="93"/>
    </row>
    <row r="887" spans="2:23" s="14" customFormat="1" ht="17.100000000000001" customHeight="1">
      <c r="B887" s="89"/>
      <c r="C887" s="90"/>
      <c r="D887" s="91"/>
      <c r="E887" s="92"/>
      <c r="F887" s="89"/>
      <c r="G887" s="89"/>
      <c r="H887" s="89"/>
      <c r="I887" s="89"/>
      <c r="J887" s="89"/>
      <c r="K887" s="89"/>
      <c r="L887" s="93"/>
      <c r="M887" s="93"/>
      <c r="N887" s="93"/>
      <c r="O887" s="93"/>
      <c r="P887" s="93"/>
      <c r="Q887" s="93"/>
      <c r="R887" s="93"/>
      <c r="S887" s="93"/>
      <c r="T887" s="93"/>
      <c r="U887" s="93"/>
      <c r="V887" s="93"/>
      <c r="W887" s="93"/>
    </row>
    <row r="888" spans="2:23" s="14" customFormat="1" ht="17.100000000000001" customHeight="1">
      <c r="B888" s="89"/>
      <c r="C888" s="90"/>
      <c r="D888" s="91"/>
      <c r="E888" s="92"/>
      <c r="F888" s="89"/>
      <c r="G888" s="89"/>
      <c r="H888" s="89"/>
      <c r="I888" s="89"/>
      <c r="J888" s="89"/>
      <c r="K888" s="89"/>
      <c r="L888" s="93"/>
      <c r="M888" s="93"/>
      <c r="N888" s="93"/>
      <c r="O888" s="93"/>
      <c r="P888" s="93"/>
      <c r="Q888" s="93"/>
      <c r="R888" s="93"/>
      <c r="S888" s="93"/>
      <c r="T888" s="93"/>
      <c r="U888" s="93"/>
      <c r="V888" s="93"/>
      <c r="W888" s="93"/>
    </row>
    <row r="889" spans="2:23" s="14" customFormat="1" ht="17.100000000000001" customHeight="1">
      <c r="B889" s="89"/>
      <c r="C889" s="90"/>
      <c r="D889" s="91"/>
      <c r="E889" s="92"/>
      <c r="F889" s="89"/>
      <c r="G889" s="89"/>
      <c r="H889" s="89"/>
      <c r="I889" s="89"/>
      <c r="J889" s="89"/>
      <c r="K889" s="89"/>
      <c r="L889" s="93"/>
      <c r="M889" s="93"/>
      <c r="N889" s="93"/>
      <c r="O889" s="93"/>
      <c r="P889" s="93"/>
      <c r="Q889" s="93"/>
      <c r="R889" s="93"/>
      <c r="S889" s="93"/>
      <c r="T889" s="93"/>
      <c r="U889" s="93"/>
      <c r="V889" s="93"/>
      <c r="W889" s="93"/>
    </row>
    <row r="890" spans="2:23" s="14" customFormat="1" ht="17.100000000000001" customHeight="1">
      <c r="B890" s="89"/>
      <c r="C890" s="90"/>
      <c r="D890" s="91"/>
      <c r="E890" s="92"/>
      <c r="F890" s="89"/>
      <c r="G890" s="89"/>
      <c r="H890" s="89"/>
      <c r="I890" s="89"/>
      <c r="J890" s="89"/>
      <c r="K890" s="89"/>
      <c r="L890" s="93"/>
      <c r="M890" s="93"/>
      <c r="N890" s="93"/>
      <c r="O890" s="93"/>
      <c r="P890" s="93"/>
      <c r="Q890" s="93"/>
      <c r="R890" s="93"/>
      <c r="S890" s="93"/>
      <c r="T890" s="93"/>
      <c r="U890" s="93"/>
      <c r="V890" s="93"/>
      <c r="W890" s="93"/>
    </row>
    <row r="891" spans="2:23" s="14" customFormat="1" ht="17.100000000000001" customHeight="1">
      <c r="B891" s="89"/>
      <c r="C891" s="90"/>
      <c r="D891" s="91"/>
      <c r="E891" s="92"/>
      <c r="F891" s="89"/>
      <c r="G891" s="89"/>
      <c r="H891" s="89"/>
      <c r="I891" s="89"/>
      <c r="J891" s="89"/>
      <c r="K891" s="89"/>
      <c r="L891" s="93"/>
      <c r="M891" s="93"/>
      <c r="N891" s="93"/>
      <c r="O891" s="93"/>
      <c r="P891" s="93"/>
      <c r="Q891" s="93"/>
      <c r="R891" s="93"/>
      <c r="S891" s="93"/>
      <c r="T891" s="93"/>
      <c r="U891" s="93"/>
      <c r="V891" s="93"/>
      <c r="W891" s="93"/>
    </row>
    <row r="892" spans="2:23" s="14" customFormat="1" ht="17.100000000000001" customHeight="1">
      <c r="B892" s="89"/>
      <c r="C892" s="90"/>
      <c r="D892" s="91"/>
      <c r="E892" s="92"/>
      <c r="F892" s="89"/>
      <c r="G892" s="89"/>
      <c r="H892" s="89"/>
      <c r="I892" s="89"/>
      <c r="J892" s="89"/>
      <c r="K892" s="89"/>
      <c r="L892" s="93"/>
      <c r="M892" s="93"/>
      <c r="N892" s="93"/>
      <c r="O892" s="93"/>
      <c r="P892" s="93"/>
      <c r="Q892" s="93"/>
      <c r="R892" s="93"/>
      <c r="S892" s="93"/>
      <c r="T892" s="93"/>
      <c r="U892" s="93"/>
      <c r="V892" s="93"/>
      <c r="W892" s="93"/>
    </row>
    <row r="893" spans="2:23" s="14" customFormat="1" ht="17.100000000000001" customHeight="1">
      <c r="B893" s="89"/>
      <c r="C893" s="90"/>
      <c r="D893" s="91"/>
      <c r="E893" s="92"/>
      <c r="F893" s="89"/>
      <c r="G893" s="89"/>
      <c r="H893" s="89"/>
      <c r="I893" s="89"/>
      <c r="J893" s="89"/>
      <c r="K893" s="89"/>
      <c r="L893" s="93"/>
      <c r="M893" s="93"/>
      <c r="N893" s="93"/>
      <c r="O893" s="93"/>
      <c r="P893" s="93"/>
      <c r="Q893" s="93"/>
      <c r="R893" s="93"/>
      <c r="S893" s="93"/>
      <c r="T893" s="93"/>
      <c r="U893" s="93"/>
      <c r="V893" s="93"/>
      <c r="W893" s="93"/>
    </row>
    <row r="894" spans="2:23" s="14" customFormat="1" ht="17.100000000000001" customHeight="1">
      <c r="B894" s="89"/>
      <c r="C894" s="90"/>
      <c r="D894" s="91"/>
      <c r="E894" s="92"/>
      <c r="F894" s="89"/>
      <c r="G894" s="89"/>
      <c r="H894" s="89"/>
      <c r="I894" s="89"/>
      <c r="J894" s="89"/>
      <c r="K894" s="89"/>
      <c r="L894" s="93"/>
      <c r="M894" s="93"/>
      <c r="N894" s="93"/>
      <c r="O894" s="93"/>
      <c r="P894" s="93"/>
      <c r="Q894" s="93"/>
      <c r="R894" s="93"/>
      <c r="S894" s="93"/>
      <c r="T894" s="93"/>
      <c r="U894" s="93"/>
      <c r="V894" s="93"/>
      <c r="W894" s="93"/>
    </row>
    <row r="895" spans="2:23" s="14" customFormat="1" ht="17.100000000000001" customHeight="1">
      <c r="B895" s="89"/>
      <c r="C895" s="90"/>
      <c r="D895" s="91"/>
      <c r="E895" s="92"/>
      <c r="F895" s="89"/>
      <c r="G895" s="89"/>
      <c r="H895" s="89"/>
      <c r="I895" s="89"/>
      <c r="J895" s="89"/>
      <c r="K895" s="89"/>
      <c r="L895" s="93"/>
      <c r="M895" s="93"/>
      <c r="N895" s="93"/>
      <c r="O895" s="93"/>
      <c r="P895" s="93"/>
      <c r="Q895" s="93"/>
      <c r="R895" s="93"/>
      <c r="S895" s="93"/>
      <c r="T895" s="93"/>
      <c r="U895" s="93"/>
      <c r="V895" s="93"/>
      <c r="W895" s="93"/>
    </row>
    <row r="896" spans="2:23" s="14" customFormat="1" ht="17.100000000000001" customHeight="1">
      <c r="B896" s="89"/>
      <c r="C896" s="90"/>
      <c r="D896" s="91"/>
      <c r="E896" s="92"/>
      <c r="F896" s="89"/>
      <c r="G896" s="89"/>
      <c r="H896" s="89"/>
      <c r="I896" s="89"/>
      <c r="J896" s="89"/>
      <c r="K896" s="89"/>
      <c r="L896" s="93"/>
      <c r="M896" s="93"/>
      <c r="N896" s="93"/>
      <c r="O896" s="93"/>
      <c r="P896" s="93"/>
      <c r="Q896" s="93"/>
      <c r="R896" s="93"/>
      <c r="S896" s="93"/>
      <c r="T896" s="93"/>
      <c r="U896" s="93"/>
      <c r="V896" s="93"/>
      <c r="W896" s="93"/>
    </row>
    <row r="897" spans="2:23" s="14" customFormat="1" ht="17.100000000000001" customHeight="1">
      <c r="B897" s="89"/>
      <c r="C897" s="90"/>
      <c r="D897" s="91"/>
      <c r="E897" s="92"/>
      <c r="F897" s="89"/>
      <c r="G897" s="89"/>
      <c r="H897" s="89"/>
      <c r="I897" s="89"/>
      <c r="J897" s="89"/>
      <c r="K897" s="89"/>
      <c r="L897" s="93"/>
      <c r="M897" s="93"/>
      <c r="N897" s="93"/>
      <c r="O897" s="93"/>
      <c r="P897" s="93"/>
      <c r="Q897" s="93"/>
      <c r="R897" s="93"/>
      <c r="S897" s="93"/>
      <c r="T897" s="93"/>
      <c r="U897" s="93"/>
      <c r="V897" s="93"/>
      <c r="W897" s="93"/>
    </row>
    <row r="898" spans="2:23" s="14" customFormat="1" ht="17.100000000000001" customHeight="1">
      <c r="B898" s="89"/>
      <c r="C898" s="90"/>
      <c r="D898" s="91"/>
      <c r="E898" s="92"/>
      <c r="F898" s="89"/>
      <c r="G898" s="89"/>
      <c r="H898" s="89"/>
      <c r="I898" s="89"/>
      <c r="J898" s="89"/>
      <c r="K898" s="89"/>
      <c r="L898" s="93"/>
      <c r="M898" s="93"/>
      <c r="N898" s="93"/>
      <c r="O898" s="93"/>
      <c r="P898" s="93"/>
      <c r="Q898" s="93"/>
      <c r="R898" s="93"/>
      <c r="S898" s="93"/>
      <c r="T898" s="93"/>
      <c r="U898" s="93"/>
      <c r="V898" s="93"/>
      <c r="W898" s="93"/>
    </row>
    <row r="899" spans="2:23" s="14" customFormat="1" ht="17.100000000000001" customHeight="1">
      <c r="B899" s="89"/>
      <c r="C899" s="90"/>
      <c r="D899" s="91"/>
      <c r="E899" s="92"/>
      <c r="F899" s="89"/>
      <c r="G899" s="89"/>
      <c r="H899" s="89"/>
      <c r="I899" s="89"/>
      <c r="J899" s="89"/>
      <c r="K899" s="89"/>
      <c r="L899" s="93"/>
      <c r="M899" s="93"/>
      <c r="N899" s="93"/>
      <c r="O899" s="93"/>
      <c r="P899" s="93"/>
      <c r="Q899" s="93"/>
      <c r="R899" s="93"/>
      <c r="S899" s="93"/>
      <c r="T899" s="93"/>
      <c r="U899" s="93"/>
      <c r="V899" s="93"/>
      <c r="W899" s="93"/>
    </row>
    <row r="900" spans="2:23" s="14" customFormat="1" ht="17.100000000000001" customHeight="1">
      <c r="B900" s="89"/>
      <c r="C900" s="90"/>
      <c r="D900" s="91"/>
      <c r="E900" s="92"/>
      <c r="F900" s="89"/>
      <c r="G900" s="89"/>
      <c r="H900" s="89"/>
      <c r="I900" s="89"/>
      <c r="J900" s="89"/>
      <c r="K900" s="89"/>
      <c r="L900" s="93"/>
      <c r="M900" s="93"/>
      <c r="N900" s="93"/>
      <c r="O900" s="93"/>
      <c r="P900" s="93"/>
      <c r="Q900" s="93"/>
      <c r="R900" s="93"/>
      <c r="S900" s="93"/>
      <c r="T900" s="93"/>
      <c r="U900" s="93"/>
      <c r="V900" s="93"/>
      <c r="W900" s="93"/>
    </row>
    <row r="901" spans="2:23" s="14" customFormat="1" ht="17.100000000000001" customHeight="1">
      <c r="B901" s="89"/>
      <c r="C901" s="90"/>
      <c r="D901" s="91"/>
      <c r="E901" s="92"/>
      <c r="F901" s="89"/>
      <c r="G901" s="89"/>
      <c r="H901" s="89"/>
      <c r="I901" s="89"/>
      <c r="J901" s="89"/>
      <c r="K901" s="89"/>
      <c r="L901" s="93"/>
      <c r="M901" s="93"/>
      <c r="N901" s="93"/>
      <c r="O901" s="93"/>
      <c r="P901" s="93"/>
      <c r="Q901" s="93"/>
      <c r="R901" s="93"/>
      <c r="S901" s="93"/>
      <c r="T901" s="93"/>
      <c r="U901" s="93"/>
      <c r="V901" s="93"/>
      <c r="W901" s="93"/>
    </row>
    <row r="902" spans="2:23" s="14" customFormat="1" ht="17.100000000000001" customHeight="1">
      <c r="B902" s="89"/>
      <c r="C902" s="90"/>
      <c r="D902" s="91"/>
      <c r="E902" s="92"/>
      <c r="F902" s="89"/>
      <c r="G902" s="89"/>
      <c r="H902" s="89"/>
      <c r="I902" s="89"/>
      <c r="J902" s="89"/>
      <c r="K902" s="89"/>
      <c r="L902" s="93"/>
      <c r="M902" s="93"/>
      <c r="N902" s="93"/>
      <c r="O902" s="93"/>
      <c r="P902" s="93"/>
      <c r="Q902" s="93"/>
      <c r="R902" s="93"/>
      <c r="S902" s="93"/>
      <c r="T902" s="93"/>
      <c r="U902" s="93"/>
      <c r="V902" s="93"/>
      <c r="W902" s="93"/>
    </row>
    <row r="903" spans="2:23" s="14" customFormat="1" ht="17.100000000000001" customHeight="1">
      <c r="B903" s="89"/>
      <c r="C903" s="90"/>
      <c r="D903" s="91"/>
      <c r="E903" s="92"/>
      <c r="F903" s="89"/>
      <c r="G903" s="89"/>
      <c r="H903" s="89"/>
      <c r="I903" s="89"/>
      <c r="J903" s="89"/>
      <c r="K903" s="89"/>
      <c r="L903" s="93"/>
      <c r="M903" s="93"/>
      <c r="N903" s="93"/>
      <c r="O903" s="93"/>
      <c r="P903" s="93"/>
      <c r="Q903" s="93"/>
      <c r="R903" s="93"/>
      <c r="S903" s="93"/>
      <c r="T903" s="93"/>
      <c r="U903" s="93"/>
      <c r="V903" s="93"/>
      <c r="W903" s="93"/>
    </row>
    <row r="904" spans="2:23" s="14" customFormat="1" ht="17.100000000000001" customHeight="1">
      <c r="B904" s="89"/>
      <c r="C904" s="90"/>
      <c r="D904" s="91"/>
      <c r="E904" s="92"/>
      <c r="F904" s="89"/>
      <c r="G904" s="89"/>
      <c r="H904" s="89"/>
      <c r="I904" s="89"/>
      <c r="J904" s="89"/>
      <c r="K904" s="89"/>
      <c r="L904" s="93"/>
      <c r="M904" s="93"/>
      <c r="N904" s="93"/>
      <c r="O904" s="93"/>
      <c r="P904" s="93"/>
      <c r="Q904" s="93"/>
      <c r="R904" s="93"/>
      <c r="S904" s="93"/>
      <c r="T904" s="93"/>
      <c r="U904" s="93"/>
      <c r="V904" s="93"/>
      <c r="W904" s="93"/>
    </row>
    <row r="905" spans="2:23" s="14" customFormat="1" ht="17.100000000000001" customHeight="1">
      <c r="B905" s="89"/>
      <c r="C905" s="90"/>
      <c r="D905" s="91"/>
      <c r="E905" s="92"/>
      <c r="F905" s="89"/>
      <c r="G905" s="89"/>
      <c r="H905" s="89"/>
      <c r="I905" s="89"/>
      <c r="J905" s="89"/>
      <c r="K905" s="89"/>
      <c r="L905" s="93"/>
      <c r="M905" s="93"/>
      <c r="N905" s="93"/>
      <c r="O905" s="93"/>
      <c r="P905" s="93"/>
      <c r="Q905" s="93"/>
      <c r="R905" s="93"/>
      <c r="S905" s="93"/>
      <c r="T905" s="93"/>
      <c r="U905" s="93"/>
      <c r="V905" s="93"/>
      <c r="W905" s="93"/>
    </row>
    <row r="906" spans="2:23" s="14" customFormat="1" ht="17.100000000000001" customHeight="1">
      <c r="B906" s="89"/>
      <c r="C906" s="90"/>
      <c r="D906" s="91"/>
      <c r="E906" s="92"/>
      <c r="F906" s="89"/>
      <c r="G906" s="89"/>
      <c r="H906" s="89"/>
      <c r="I906" s="89"/>
      <c r="J906" s="89"/>
      <c r="K906" s="89"/>
      <c r="L906" s="93"/>
      <c r="M906" s="93"/>
      <c r="N906" s="93"/>
      <c r="O906" s="93"/>
      <c r="P906" s="93"/>
      <c r="Q906" s="93"/>
      <c r="R906" s="93"/>
      <c r="S906" s="93"/>
      <c r="T906" s="93"/>
      <c r="U906" s="93"/>
      <c r="V906" s="93"/>
      <c r="W906" s="93"/>
    </row>
    <row r="907" spans="2:23" s="14" customFormat="1" ht="17.100000000000001" customHeight="1">
      <c r="B907" s="89"/>
      <c r="C907" s="90"/>
      <c r="D907" s="91"/>
      <c r="E907" s="92"/>
      <c r="F907" s="89"/>
      <c r="G907" s="89"/>
      <c r="H907" s="89"/>
      <c r="I907" s="89"/>
      <c r="J907" s="89"/>
      <c r="K907" s="89"/>
      <c r="L907" s="93"/>
      <c r="M907" s="93"/>
      <c r="N907" s="93"/>
      <c r="O907" s="93"/>
      <c r="P907" s="93"/>
      <c r="Q907" s="93"/>
      <c r="R907" s="93"/>
      <c r="S907" s="93"/>
      <c r="T907" s="93"/>
      <c r="U907" s="93"/>
      <c r="V907" s="93"/>
      <c r="W907" s="93"/>
    </row>
    <row r="908" spans="2:23" s="14" customFormat="1" ht="17.100000000000001" customHeight="1">
      <c r="B908" s="89"/>
      <c r="C908" s="90"/>
      <c r="D908" s="91"/>
      <c r="E908" s="92"/>
      <c r="F908" s="89"/>
      <c r="G908" s="89"/>
      <c r="H908" s="89"/>
      <c r="I908" s="89"/>
      <c r="J908" s="89"/>
      <c r="K908" s="89"/>
      <c r="L908" s="93"/>
      <c r="M908" s="93"/>
      <c r="N908" s="93"/>
      <c r="O908" s="93"/>
      <c r="P908" s="93"/>
      <c r="Q908" s="93"/>
      <c r="R908" s="93"/>
      <c r="S908" s="93"/>
      <c r="T908" s="93"/>
      <c r="U908" s="93"/>
      <c r="V908" s="93"/>
      <c r="W908" s="93"/>
    </row>
    <row r="909" spans="2:23" s="14" customFormat="1" ht="17.100000000000001" customHeight="1">
      <c r="B909" s="89"/>
      <c r="C909" s="90"/>
      <c r="D909" s="91"/>
      <c r="E909" s="92"/>
      <c r="F909" s="89"/>
      <c r="G909" s="89"/>
      <c r="H909" s="89"/>
      <c r="I909" s="89"/>
      <c r="J909" s="89"/>
      <c r="K909" s="89"/>
      <c r="L909" s="93"/>
      <c r="M909" s="93"/>
      <c r="N909" s="93"/>
      <c r="O909" s="93"/>
      <c r="P909" s="93"/>
      <c r="Q909" s="93"/>
      <c r="R909" s="93"/>
      <c r="S909" s="93"/>
      <c r="T909" s="93"/>
      <c r="U909" s="93"/>
      <c r="V909" s="93"/>
      <c r="W909" s="93"/>
    </row>
    <row r="910" spans="2:23" s="14" customFormat="1" ht="17.100000000000001" customHeight="1">
      <c r="B910" s="89"/>
      <c r="C910" s="90"/>
      <c r="D910" s="91"/>
      <c r="E910" s="92"/>
      <c r="F910" s="89"/>
      <c r="G910" s="89"/>
      <c r="H910" s="89"/>
      <c r="I910" s="89"/>
      <c r="J910" s="89"/>
      <c r="K910" s="89"/>
      <c r="L910" s="93"/>
      <c r="M910" s="93"/>
      <c r="N910" s="93"/>
      <c r="O910" s="93"/>
      <c r="P910" s="93"/>
      <c r="Q910" s="93"/>
      <c r="R910" s="93"/>
      <c r="S910" s="93"/>
      <c r="T910" s="93"/>
      <c r="U910" s="93"/>
      <c r="V910" s="93"/>
      <c r="W910" s="93"/>
    </row>
    <row r="911" spans="2:23" s="14" customFormat="1" ht="17.100000000000001" customHeight="1">
      <c r="B911" s="89"/>
      <c r="C911" s="90"/>
      <c r="D911" s="91"/>
      <c r="E911" s="92"/>
      <c r="F911" s="89"/>
      <c r="G911" s="89"/>
      <c r="H911" s="89"/>
      <c r="I911" s="89"/>
      <c r="J911" s="89"/>
      <c r="K911" s="89"/>
      <c r="L911" s="93"/>
      <c r="M911" s="93"/>
      <c r="N911" s="93"/>
      <c r="O911" s="93"/>
      <c r="P911" s="93"/>
      <c r="Q911" s="93"/>
      <c r="R911" s="93"/>
      <c r="S911" s="93"/>
      <c r="T911" s="93"/>
      <c r="U911" s="93"/>
      <c r="V911" s="93"/>
      <c r="W911" s="93"/>
    </row>
    <row r="912" spans="2:23" s="14" customFormat="1" ht="17.100000000000001" customHeight="1">
      <c r="B912" s="89"/>
      <c r="C912" s="90"/>
      <c r="D912" s="91"/>
      <c r="E912" s="92"/>
      <c r="F912" s="89"/>
      <c r="G912" s="89"/>
      <c r="H912" s="89"/>
      <c r="I912" s="89"/>
      <c r="J912" s="89"/>
      <c r="K912" s="89"/>
      <c r="L912" s="93"/>
      <c r="M912" s="93"/>
      <c r="N912" s="93"/>
      <c r="O912" s="93"/>
      <c r="P912" s="93"/>
      <c r="Q912" s="93"/>
      <c r="R912" s="93"/>
      <c r="S912" s="93"/>
      <c r="T912" s="93"/>
      <c r="U912" s="93"/>
      <c r="V912" s="93"/>
      <c r="W912" s="93"/>
    </row>
    <row r="913" spans="2:23" s="14" customFormat="1" ht="17.100000000000001" customHeight="1">
      <c r="B913" s="89"/>
      <c r="C913" s="90"/>
      <c r="D913" s="91"/>
      <c r="E913" s="92"/>
      <c r="F913" s="89"/>
      <c r="G913" s="89"/>
      <c r="H913" s="89"/>
      <c r="I913" s="89"/>
      <c r="J913" s="89"/>
      <c r="K913" s="89"/>
      <c r="L913" s="93"/>
      <c r="M913" s="93"/>
      <c r="N913" s="93"/>
      <c r="O913" s="93"/>
      <c r="P913" s="93"/>
      <c r="Q913" s="93"/>
      <c r="R913" s="93"/>
      <c r="S913" s="93"/>
      <c r="T913" s="93"/>
      <c r="U913" s="93"/>
      <c r="V913" s="93"/>
      <c r="W913" s="93"/>
    </row>
    <row r="914" spans="2:23" s="14" customFormat="1" ht="17.100000000000001" customHeight="1">
      <c r="B914" s="89"/>
      <c r="C914" s="90"/>
      <c r="D914" s="91"/>
      <c r="E914" s="92"/>
      <c r="F914" s="89"/>
      <c r="G914" s="89"/>
      <c r="H914" s="89"/>
      <c r="I914" s="89"/>
      <c r="J914" s="89"/>
      <c r="K914" s="89"/>
      <c r="L914" s="93"/>
      <c r="M914" s="93"/>
      <c r="N914" s="93"/>
      <c r="O914" s="93"/>
      <c r="P914" s="93"/>
      <c r="Q914" s="93"/>
      <c r="R914" s="93"/>
      <c r="S914" s="93"/>
      <c r="T914" s="93"/>
      <c r="U914" s="93"/>
      <c r="V914" s="93"/>
      <c r="W914" s="93"/>
    </row>
    <row r="915" spans="2:23" s="14" customFormat="1" ht="17.100000000000001" customHeight="1">
      <c r="B915" s="89"/>
      <c r="C915" s="90"/>
      <c r="D915" s="91"/>
      <c r="E915" s="92"/>
      <c r="F915" s="89"/>
      <c r="G915" s="89"/>
      <c r="H915" s="89"/>
      <c r="I915" s="89"/>
      <c r="J915" s="89"/>
      <c r="K915" s="89"/>
      <c r="L915" s="93"/>
      <c r="M915" s="93"/>
      <c r="N915" s="93"/>
      <c r="O915" s="93"/>
      <c r="P915" s="93"/>
      <c r="Q915" s="93"/>
      <c r="R915" s="93"/>
      <c r="S915" s="93"/>
      <c r="T915" s="93"/>
      <c r="U915" s="93"/>
      <c r="V915" s="93"/>
      <c r="W915" s="93"/>
    </row>
    <row r="916" spans="2:23" s="14" customFormat="1" ht="17.100000000000001" customHeight="1">
      <c r="B916" s="89"/>
      <c r="C916" s="90"/>
      <c r="D916" s="91"/>
      <c r="E916" s="92"/>
      <c r="F916" s="89"/>
      <c r="G916" s="89"/>
      <c r="H916" s="89"/>
      <c r="I916" s="89"/>
      <c r="J916" s="89"/>
      <c r="K916" s="89"/>
      <c r="L916" s="93"/>
      <c r="M916" s="93"/>
      <c r="N916" s="93"/>
      <c r="O916" s="93"/>
      <c r="P916" s="93"/>
      <c r="Q916" s="93"/>
      <c r="R916" s="93"/>
      <c r="S916" s="93"/>
      <c r="T916" s="93"/>
      <c r="U916" s="93"/>
      <c r="V916" s="93"/>
      <c r="W916" s="93"/>
    </row>
    <row r="917" spans="2:23" s="14" customFormat="1" ht="17.100000000000001" customHeight="1">
      <c r="B917" s="89"/>
      <c r="C917" s="90"/>
      <c r="D917" s="91"/>
      <c r="E917" s="92"/>
      <c r="F917" s="89"/>
      <c r="G917" s="89"/>
      <c r="H917" s="89"/>
      <c r="I917" s="89"/>
      <c r="J917" s="89"/>
      <c r="K917" s="89"/>
      <c r="L917" s="93"/>
      <c r="M917" s="93"/>
      <c r="N917" s="93"/>
      <c r="O917" s="93"/>
      <c r="P917" s="93"/>
      <c r="Q917" s="93"/>
      <c r="R917" s="93"/>
      <c r="S917" s="93"/>
      <c r="T917" s="93"/>
      <c r="U917" s="93"/>
      <c r="V917" s="93"/>
      <c r="W917" s="93"/>
    </row>
    <row r="918" spans="2:23" s="14" customFormat="1" ht="17.100000000000001" customHeight="1">
      <c r="B918" s="89"/>
      <c r="C918" s="90"/>
      <c r="D918" s="91"/>
      <c r="E918" s="92"/>
      <c r="F918" s="89"/>
      <c r="G918" s="89"/>
      <c r="H918" s="89"/>
      <c r="I918" s="89"/>
      <c r="J918" s="89"/>
      <c r="K918" s="89"/>
      <c r="L918" s="93"/>
      <c r="M918" s="93"/>
      <c r="N918" s="93"/>
      <c r="O918" s="93"/>
      <c r="P918" s="93"/>
      <c r="Q918" s="93"/>
      <c r="R918" s="93"/>
      <c r="S918" s="93"/>
      <c r="T918" s="93"/>
      <c r="U918" s="93"/>
      <c r="V918" s="93"/>
      <c r="W918" s="93"/>
    </row>
    <row r="919" spans="2:23" s="14" customFormat="1" ht="17.100000000000001" customHeight="1">
      <c r="B919" s="89"/>
      <c r="C919" s="90"/>
      <c r="D919" s="91"/>
      <c r="E919" s="92"/>
      <c r="F919" s="89"/>
      <c r="G919" s="89"/>
      <c r="H919" s="89"/>
      <c r="I919" s="89"/>
      <c r="J919" s="89"/>
      <c r="K919" s="89"/>
      <c r="L919" s="93"/>
      <c r="M919" s="93"/>
      <c r="N919" s="93"/>
      <c r="O919" s="93"/>
      <c r="P919" s="93"/>
      <c r="Q919" s="93"/>
      <c r="R919" s="93"/>
      <c r="S919" s="93"/>
      <c r="T919" s="93"/>
      <c r="U919" s="93"/>
      <c r="V919" s="93"/>
      <c r="W919" s="93"/>
    </row>
    <row r="920" spans="2:23" s="14" customFormat="1" ht="17.100000000000001" customHeight="1">
      <c r="B920" s="89"/>
      <c r="C920" s="90"/>
      <c r="D920" s="91"/>
      <c r="E920" s="92"/>
      <c r="F920" s="89"/>
      <c r="G920" s="89"/>
      <c r="H920" s="89"/>
      <c r="I920" s="89"/>
      <c r="J920" s="89"/>
      <c r="K920" s="89"/>
      <c r="L920" s="93"/>
      <c r="M920" s="93"/>
      <c r="N920" s="93"/>
      <c r="O920" s="93"/>
      <c r="P920" s="93"/>
      <c r="Q920" s="93"/>
      <c r="R920" s="93"/>
      <c r="S920" s="93"/>
      <c r="T920" s="93"/>
      <c r="U920" s="93"/>
      <c r="V920" s="93"/>
      <c r="W920" s="93"/>
    </row>
    <row r="921" spans="2:23" s="14" customFormat="1" ht="17.100000000000001" customHeight="1">
      <c r="B921" s="89"/>
      <c r="C921" s="90"/>
      <c r="D921" s="91"/>
      <c r="E921" s="92"/>
      <c r="F921" s="89"/>
      <c r="G921" s="89"/>
      <c r="H921" s="89"/>
      <c r="I921" s="89"/>
      <c r="J921" s="89"/>
      <c r="K921" s="89"/>
      <c r="L921" s="93"/>
      <c r="M921" s="93"/>
      <c r="N921" s="93"/>
      <c r="O921" s="93"/>
      <c r="P921" s="93"/>
      <c r="Q921" s="93"/>
      <c r="R921" s="93"/>
      <c r="S921" s="93"/>
      <c r="T921" s="93"/>
      <c r="U921" s="93"/>
      <c r="V921" s="93"/>
      <c r="W921" s="93"/>
    </row>
    <row r="922" spans="2:23" s="14" customFormat="1" ht="17.100000000000001" customHeight="1">
      <c r="B922" s="89"/>
      <c r="C922" s="90"/>
      <c r="D922" s="91"/>
      <c r="E922" s="92"/>
      <c r="F922" s="89"/>
      <c r="G922" s="89"/>
      <c r="H922" s="89"/>
      <c r="I922" s="89"/>
      <c r="J922" s="89"/>
      <c r="K922" s="89"/>
      <c r="L922" s="93"/>
      <c r="M922" s="93"/>
      <c r="N922" s="93"/>
      <c r="O922" s="93"/>
      <c r="P922" s="93"/>
      <c r="Q922" s="93"/>
      <c r="R922" s="93"/>
      <c r="S922" s="93"/>
      <c r="T922" s="93"/>
      <c r="U922" s="93"/>
      <c r="V922" s="93"/>
      <c r="W922" s="93"/>
    </row>
    <row r="923" spans="2:23" s="14" customFormat="1" ht="17.100000000000001" customHeight="1">
      <c r="B923" s="89"/>
      <c r="C923" s="90"/>
      <c r="D923" s="91"/>
      <c r="E923" s="92"/>
      <c r="F923" s="89"/>
      <c r="G923" s="89"/>
      <c r="H923" s="89"/>
      <c r="I923" s="89"/>
      <c r="J923" s="89"/>
      <c r="K923" s="89"/>
      <c r="L923" s="93"/>
      <c r="M923" s="93"/>
      <c r="N923" s="93"/>
      <c r="O923" s="93"/>
      <c r="P923" s="93"/>
      <c r="Q923" s="93"/>
      <c r="R923" s="93"/>
      <c r="S923" s="93"/>
      <c r="T923" s="93"/>
      <c r="U923" s="93"/>
      <c r="V923" s="93"/>
      <c r="W923" s="93"/>
    </row>
    <row r="924" spans="2:23" s="14" customFormat="1" ht="17.100000000000001" customHeight="1">
      <c r="B924" s="89"/>
      <c r="C924" s="90"/>
      <c r="D924" s="91"/>
      <c r="E924" s="92"/>
      <c r="F924" s="89"/>
      <c r="G924" s="89"/>
      <c r="H924" s="89"/>
      <c r="I924" s="89"/>
      <c r="J924" s="89"/>
      <c r="K924" s="89"/>
      <c r="L924" s="93"/>
      <c r="M924" s="93"/>
      <c r="N924" s="93"/>
      <c r="O924" s="93"/>
      <c r="P924" s="93"/>
      <c r="Q924" s="93"/>
      <c r="R924" s="93"/>
      <c r="S924" s="93"/>
      <c r="T924" s="93"/>
      <c r="U924" s="93"/>
      <c r="V924" s="93"/>
      <c r="W924" s="93"/>
    </row>
    <row r="925" spans="2:23" s="14" customFormat="1" ht="17.100000000000001" customHeight="1">
      <c r="B925" s="89"/>
      <c r="C925" s="90"/>
      <c r="D925" s="91"/>
      <c r="E925" s="92"/>
      <c r="F925" s="89"/>
      <c r="G925" s="89"/>
      <c r="H925" s="89"/>
      <c r="I925" s="89"/>
      <c r="J925" s="89"/>
      <c r="K925" s="89"/>
      <c r="L925" s="93"/>
      <c r="M925" s="93"/>
      <c r="N925" s="93"/>
      <c r="O925" s="93"/>
      <c r="P925" s="93"/>
      <c r="Q925" s="93"/>
      <c r="R925" s="93"/>
      <c r="S925" s="93"/>
      <c r="T925" s="93"/>
      <c r="U925" s="93"/>
      <c r="V925" s="93"/>
      <c r="W925" s="93"/>
    </row>
    <row r="926" spans="2:23" s="14" customFormat="1" ht="17.100000000000001" customHeight="1">
      <c r="B926" s="89"/>
      <c r="C926" s="90"/>
      <c r="D926" s="91"/>
      <c r="E926" s="92"/>
      <c r="F926" s="89"/>
      <c r="G926" s="89"/>
      <c r="H926" s="89"/>
      <c r="I926" s="89"/>
      <c r="J926" s="89"/>
      <c r="K926" s="89"/>
      <c r="L926" s="93"/>
      <c r="M926" s="93"/>
      <c r="N926" s="93"/>
      <c r="O926" s="93"/>
      <c r="P926" s="93"/>
      <c r="Q926" s="93"/>
      <c r="R926" s="93"/>
      <c r="S926" s="93"/>
      <c r="T926" s="93"/>
      <c r="U926" s="93"/>
      <c r="V926" s="93"/>
      <c r="W926" s="93"/>
    </row>
    <row r="927" spans="2:23" s="14" customFormat="1" ht="17.100000000000001" customHeight="1">
      <c r="B927" s="89"/>
      <c r="C927" s="90"/>
      <c r="D927" s="91"/>
      <c r="E927" s="92"/>
      <c r="F927" s="89"/>
      <c r="G927" s="89"/>
      <c r="H927" s="89"/>
      <c r="I927" s="89"/>
      <c r="J927" s="89"/>
      <c r="K927" s="89"/>
      <c r="L927" s="93"/>
      <c r="M927" s="93"/>
      <c r="N927" s="93"/>
      <c r="O927" s="93"/>
      <c r="P927" s="93"/>
      <c r="Q927" s="93"/>
      <c r="R927" s="93"/>
      <c r="S927" s="93"/>
      <c r="T927" s="93"/>
      <c r="U927" s="93"/>
      <c r="V927" s="93"/>
      <c r="W927" s="93"/>
    </row>
    <row r="928" spans="2:23" s="14" customFormat="1" ht="17.100000000000001" customHeight="1">
      <c r="B928" s="89"/>
      <c r="C928" s="90"/>
      <c r="D928" s="91"/>
      <c r="E928" s="92"/>
      <c r="F928" s="89"/>
      <c r="G928" s="89"/>
      <c r="H928" s="89"/>
      <c r="I928" s="89"/>
      <c r="J928" s="89"/>
      <c r="K928" s="89"/>
      <c r="L928" s="93"/>
      <c r="M928" s="93"/>
      <c r="N928" s="93"/>
      <c r="O928" s="93"/>
      <c r="P928" s="93"/>
      <c r="Q928" s="93"/>
      <c r="R928" s="93"/>
      <c r="S928" s="93"/>
      <c r="T928" s="93"/>
      <c r="U928" s="93"/>
      <c r="V928" s="93"/>
      <c r="W928" s="93"/>
    </row>
    <row r="929" spans="2:23" s="14" customFormat="1" ht="17.100000000000001" customHeight="1">
      <c r="B929" s="89"/>
      <c r="C929" s="90"/>
      <c r="D929" s="91"/>
      <c r="E929" s="92"/>
      <c r="F929" s="89"/>
      <c r="G929" s="89"/>
      <c r="H929" s="89"/>
      <c r="I929" s="89"/>
      <c r="J929" s="89"/>
      <c r="K929" s="89"/>
      <c r="L929" s="93"/>
      <c r="M929" s="93"/>
      <c r="N929" s="93"/>
      <c r="O929" s="93"/>
      <c r="P929" s="93"/>
      <c r="Q929" s="93"/>
      <c r="R929" s="93"/>
      <c r="S929" s="93"/>
      <c r="T929" s="93"/>
      <c r="U929" s="93"/>
      <c r="V929" s="93"/>
      <c r="W929" s="93"/>
    </row>
    <row r="930" spans="2:23" s="14" customFormat="1" ht="17.100000000000001" customHeight="1">
      <c r="B930" s="89"/>
      <c r="C930" s="90"/>
      <c r="D930" s="91"/>
      <c r="E930" s="92"/>
      <c r="F930" s="89"/>
      <c r="G930" s="89"/>
      <c r="H930" s="89"/>
      <c r="I930" s="89"/>
      <c r="J930" s="89"/>
      <c r="K930" s="89"/>
      <c r="L930" s="93"/>
      <c r="M930" s="93"/>
      <c r="N930" s="93"/>
      <c r="O930" s="93"/>
      <c r="P930" s="93"/>
      <c r="Q930" s="93"/>
      <c r="R930" s="93"/>
      <c r="S930" s="93"/>
      <c r="T930" s="93"/>
      <c r="U930" s="93"/>
      <c r="V930" s="93"/>
      <c r="W930" s="93"/>
    </row>
    <row r="931" spans="2:23" s="14" customFormat="1" ht="17.100000000000001" customHeight="1">
      <c r="B931" s="89"/>
      <c r="C931" s="90"/>
      <c r="D931" s="91"/>
      <c r="E931" s="92"/>
      <c r="F931" s="89"/>
      <c r="G931" s="89"/>
      <c r="H931" s="89"/>
      <c r="I931" s="89"/>
      <c r="J931" s="89"/>
      <c r="K931" s="89"/>
      <c r="L931" s="93"/>
      <c r="M931" s="93"/>
      <c r="N931" s="93"/>
      <c r="O931" s="93"/>
      <c r="P931" s="93"/>
      <c r="Q931" s="93"/>
      <c r="R931" s="93"/>
      <c r="S931" s="93"/>
      <c r="T931" s="93"/>
      <c r="U931" s="93"/>
      <c r="V931" s="93"/>
      <c r="W931" s="93"/>
    </row>
    <row r="932" spans="2:23" s="14" customFormat="1" ht="17.100000000000001" customHeight="1">
      <c r="B932" s="89"/>
      <c r="C932" s="90"/>
      <c r="D932" s="91"/>
      <c r="E932" s="92"/>
      <c r="F932" s="89"/>
      <c r="G932" s="89"/>
      <c r="H932" s="89"/>
      <c r="I932" s="89"/>
      <c r="J932" s="89"/>
      <c r="K932" s="89"/>
      <c r="L932" s="93"/>
      <c r="M932" s="93"/>
      <c r="N932" s="93"/>
      <c r="O932" s="93"/>
      <c r="P932" s="93"/>
      <c r="Q932" s="93"/>
      <c r="R932" s="93"/>
      <c r="S932" s="93"/>
      <c r="T932" s="93"/>
      <c r="U932" s="93"/>
      <c r="V932" s="93"/>
      <c r="W932" s="93"/>
    </row>
    <row r="933" spans="2:23" s="14" customFormat="1" ht="17.100000000000001" customHeight="1">
      <c r="B933" s="89"/>
      <c r="C933" s="90"/>
      <c r="D933" s="91"/>
      <c r="E933" s="92"/>
      <c r="F933" s="89"/>
      <c r="G933" s="89"/>
      <c r="H933" s="89"/>
      <c r="I933" s="89"/>
      <c r="J933" s="89"/>
      <c r="K933" s="89"/>
      <c r="L933" s="93"/>
      <c r="M933" s="93"/>
      <c r="N933" s="93"/>
      <c r="O933" s="93"/>
      <c r="P933" s="93"/>
      <c r="Q933" s="93"/>
      <c r="R933" s="93"/>
      <c r="S933" s="93"/>
      <c r="T933" s="93"/>
      <c r="U933" s="93"/>
      <c r="V933" s="93"/>
      <c r="W933" s="93"/>
    </row>
    <row r="934" spans="2:23" s="14" customFormat="1" ht="17.100000000000001" customHeight="1">
      <c r="B934" s="89"/>
      <c r="C934" s="90"/>
      <c r="D934" s="91"/>
      <c r="E934" s="92"/>
      <c r="F934" s="89"/>
      <c r="G934" s="89"/>
      <c r="H934" s="89"/>
      <c r="I934" s="89"/>
      <c r="J934" s="89"/>
      <c r="K934" s="89"/>
      <c r="L934" s="93"/>
      <c r="M934" s="93"/>
      <c r="N934" s="93"/>
      <c r="O934" s="93"/>
      <c r="P934" s="93"/>
      <c r="Q934" s="93"/>
      <c r="R934" s="93"/>
      <c r="S934" s="93"/>
      <c r="T934" s="93"/>
      <c r="U934" s="93"/>
      <c r="V934" s="93"/>
      <c r="W934" s="93"/>
    </row>
    <row r="935" spans="2:23" s="14" customFormat="1" ht="17.100000000000001" customHeight="1">
      <c r="B935" s="89"/>
      <c r="C935" s="90"/>
      <c r="D935" s="91"/>
      <c r="E935" s="92"/>
      <c r="F935" s="89"/>
      <c r="G935" s="89"/>
      <c r="H935" s="89"/>
      <c r="I935" s="89"/>
      <c r="J935" s="89"/>
      <c r="K935" s="89"/>
      <c r="L935" s="93"/>
      <c r="M935" s="93"/>
      <c r="N935" s="93"/>
      <c r="O935" s="93"/>
      <c r="P935" s="93"/>
      <c r="Q935" s="93"/>
      <c r="R935" s="93"/>
      <c r="S935" s="93"/>
      <c r="T935" s="93"/>
      <c r="U935" s="93"/>
      <c r="V935" s="93"/>
      <c r="W935" s="93"/>
    </row>
    <row r="936" spans="2:23" s="14" customFormat="1" ht="17.100000000000001" customHeight="1">
      <c r="B936" s="89"/>
      <c r="C936" s="90"/>
      <c r="D936" s="91"/>
      <c r="E936" s="92"/>
      <c r="F936" s="89"/>
      <c r="G936" s="89"/>
      <c r="H936" s="89"/>
      <c r="I936" s="89"/>
      <c r="J936" s="89"/>
      <c r="K936" s="89"/>
      <c r="L936" s="93"/>
      <c r="M936" s="93"/>
      <c r="N936" s="93"/>
      <c r="O936" s="93"/>
      <c r="P936" s="93"/>
      <c r="Q936" s="93"/>
      <c r="R936" s="93"/>
      <c r="S936" s="93"/>
      <c r="T936" s="93"/>
      <c r="U936" s="93"/>
      <c r="V936" s="93"/>
      <c r="W936" s="93"/>
    </row>
    <row r="937" spans="2:23" s="14" customFormat="1" ht="17.100000000000001" customHeight="1">
      <c r="B937" s="89"/>
      <c r="C937" s="90"/>
      <c r="D937" s="91"/>
      <c r="E937" s="92"/>
      <c r="F937" s="89"/>
      <c r="G937" s="89"/>
      <c r="H937" s="89"/>
      <c r="I937" s="89"/>
      <c r="J937" s="89"/>
      <c r="K937" s="89"/>
      <c r="L937" s="93"/>
      <c r="M937" s="93"/>
      <c r="N937" s="93"/>
      <c r="O937" s="93"/>
      <c r="P937" s="93"/>
      <c r="Q937" s="93"/>
      <c r="R937" s="93"/>
      <c r="S937" s="93"/>
      <c r="T937" s="93"/>
      <c r="U937" s="93"/>
      <c r="V937" s="93"/>
      <c r="W937" s="93"/>
    </row>
    <row r="938" spans="2:23" s="14" customFormat="1" ht="17.100000000000001" customHeight="1">
      <c r="B938" s="89"/>
      <c r="C938" s="90"/>
      <c r="D938" s="91"/>
      <c r="E938" s="92"/>
      <c r="F938" s="89"/>
      <c r="G938" s="89"/>
      <c r="H938" s="89"/>
      <c r="I938" s="89"/>
      <c r="J938" s="89"/>
      <c r="K938" s="89"/>
      <c r="L938" s="93"/>
      <c r="M938" s="93"/>
      <c r="N938" s="93"/>
      <c r="O938" s="93"/>
      <c r="P938" s="93"/>
      <c r="Q938" s="93"/>
      <c r="R938" s="93"/>
      <c r="S938" s="93"/>
      <c r="T938" s="93"/>
      <c r="U938" s="93"/>
      <c r="V938" s="93"/>
      <c r="W938" s="93"/>
    </row>
    <row r="939" spans="2:23" s="14" customFormat="1" ht="17.100000000000001" customHeight="1">
      <c r="B939" s="89"/>
      <c r="C939" s="90"/>
      <c r="D939" s="91"/>
      <c r="E939" s="92"/>
      <c r="F939" s="89"/>
      <c r="G939" s="89"/>
      <c r="H939" s="89"/>
      <c r="I939" s="89"/>
      <c r="J939" s="89"/>
      <c r="K939" s="89"/>
      <c r="L939" s="93"/>
      <c r="M939" s="93"/>
      <c r="N939" s="93"/>
      <c r="O939" s="93"/>
      <c r="P939" s="93"/>
      <c r="Q939" s="93"/>
      <c r="R939" s="93"/>
      <c r="S939" s="93"/>
      <c r="T939" s="93"/>
      <c r="U939" s="93"/>
      <c r="V939" s="93"/>
      <c r="W939" s="93"/>
    </row>
    <row r="940" spans="2:23" s="14" customFormat="1" ht="17.100000000000001" customHeight="1">
      <c r="B940" s="89"/>
      <c r="C940" s="90"/>
      <c r="D940" s="91"/>
      <c r="E940" s="92"/>
      <c r="F940" s="89"/>
      <c r="G940" s="89"/>
      <c r="H940" s="89"/>
      <c r="I940" s="89"/>
      <c r="J940" s="89"/>
      <c r="K940" s="89"/>
      <c r="L940" s="93"/>
      <c r="M940" s="93"/>
      <c r="N940" s="93"/>
      <c r="O940" s="93"/>
      <c r="P940" s="93"/>
      <c r="Q940" s="93"/>
      <c r="R940" s="93"/>
      <c r="S940" s="93"/>
      <c r="T940" s="93"/>
      <c r="U940" s="93"/>
      <c r="V940" s="93"/>
      <c r="W940" s="93"/>
    </row>
    <row r="941" spans="2:23" s="14" customFormat="1" ht="17.100000000000001" customHeight="1">
      <c r="B941" s="89"/>
      <c r="C941" s="90"/>
      <c r="D941" s="91"/>
      <c r="E941" s="92"/>
      <c r="F941" s="89"/>
      <c r="G941" s="89"/>
      <c r="H941" s="89"/>
      <c r="I941" s="89"/>
      <c r="J941" s="89"/>
      <c r="K941" s="89"/>
      <c r="L941" s="93"/>
      <c r="M941" s="93"/>
      <c r="N941" s="93"/>
      <c r="O941" s="93"/>
      <c r="P941" s="93"/>
      <c r="Q941" s="93"/>
      <c r="R941" s="93"/>
      <c r="S941" s="93"/>
      <c r="T941" s="93"/>
      <c r="U941" s="93"/>
      <c r="V941" s="93"/>
      <c r="W941" s="93"/>
    </row>
    <row r="942" spans="2:23" s="14" customFormat="1" ht="17.100000000000001" customHeight="1">
      <c r="B942" s="89"/>
      <c r="C942" s="90"/>
      <c r="D942" s="91"/>
      <c r="E942" s="92"/>
      <c r="F942" s="89"/>
      <c r="G942" s="89"/>
      <c r="H942" s="89"/>
      <c r="I942" s="89"/>
      <c r="J942" s="89"/>
      <c r="K942" s="89"/>
      <c r="L942" s="93"/>
      <c r="M942" s="93"/>
      <c r="N942" s="93"/>
      <c r="O942" s="93"/>
      <c r="P942" s="93"/>
      <c r="Q942" s="93"/>
      <c r="R942" s="93"/>
      <c r="S942" s="93"/>
      <c r="T942" s="93"/>
      <c r="U942" s="93"/>
      <c r="V942" s="93"/>
      <c r="W942" s="93"/>
    </row>
    <row r="943" spans="2:23" s="14" customFormat="1" ht="17.100000000000001" customHeight="1">
      <c r="B943" s="89"/>
      <c r="C943" s="90"/>
      <c r="D943" s="91"/>
      <c r="E943" s="92"/>
      <c r="F943" s="89"/>
      <c r="G943" s="89"/>
      <c r="H943" s="89"/>
      <c r="I943" s="89"/>
      <c r="J943" s="89"/>
      <c r="K943" s="89"/>
      <c r="L943" s="93"/>
      <c r="M943" s="93"/>
      <c r="N943" s="93"/>
      <c r="O943" s="93"/>
      <c r="P943" s="93"/>
      <c r="Q943" s="93"/>
      <c r="R943" s="93"/>
      <c r="S943" s="93"/>
      <c r="T943" s="93"/>
      <c r="U943" s="93"/>
      <c r="V943" s="93"/>
      <c r="W943" s="93"/>
    </row>
    <row r="944" spans="2:23" s="14" customFormat="1" ht="17.100000000000001" customHeight="1">
      <c r="B944" s="89"/>
      <c r="C944" s="90"/>
      <c r="D944" s="91"/>
      <c r="E944" s="92"/>
      <c r="F944" s="89"/>
      <c r="G944" s="89"/>
      <c r="H944" s="89"/>
      <c r="I944" s="89"/>
      <c r="J944" s="89"/>
      <c r="K944" s="89"/>
      <c r="L944" s="93"/>
      <c r="M944" s="93"/>
      <c r="N944" s="93"/>
      <c r="O944" s="93"/>
      <c r="P944" s="93"/>
      <c r="Q944" s="93"/>
      <c r="R944" s="93"/>
      <c r="S944" s="93"/>
      <c r="T944" s="93"/>
      <c r="U944" s="93"/>
      <c r="V944" s="93"/>
      <c r="W944" s="93"/>
    </row>
    <row r="945" spans="2:23" s="14" customFormat="1" ht="17.100000000000001" customHeight="1">
      <c r="B945" s="89"/>
      <c r="C945" s="90"/>
      <c r="D945" s="91"/>
      <c r="E945" s="92"/>
      <c r="F945" s="89"/>
      <c r="G945" s="89"/>
      <c r="H945" s="89"/>
      <c r="I945" s="89"/>
      <c r="J945" s="89"/>
      <c r="K945" s="89"/>
      <c r="L945" s="93"/>
      <c r="M945" s="93"/>
      <c r="N945" s="93"/>
      <c r="O945" s="93"/>
      <c r="P945" s="93"/>
      <c r="Q945" s="93"/>
      <c r="R945" s="93"/>
      <c r="S945" s="93"/>
      <c r="T945" s="93"/>
      <c r="U945" s="93"/>
      <c r="V945" s="93"/>
      <c r="W945" s="93"/>
    </row>
    <row r="946" spans="2:23" s="14" customFormat="1" ht="17.100000000000001" customHeight="1">
      <c r="B946" s="89"/>
      <c r="C946" s="90"/>
      <c r="D946" s="91"/>
      <c r="E946" s="92"/>
      <c r="F946" s="89"/>
      <c r="G946" s="89"/>
      <c r="H946" s="89"/>
      <c r="I946" s="89"/>
      <c r="J946" s="89"/>
      <c r="K946" s="89"/>
      <c r="L946" s="93"/>
      <c r="M946" s="93"/>
      <c r="N946" s="93"/>
      <c r="O946" s="93"/>
      <c r="P946" s="93"/>
      <c r="Q946" s="93"/>
      <c r="R946" s="93"/>
      <c r="S946" s="93"/>
      <c r="T946" s="93"/>
      <c r="U946" s="93"/>
      <c r="V946" s="93"/>
      <c r="W946" s="93"/>
    </row>
    <row r="947" spans="2:23" s="14" customFormat="1" ht="17.100000000000001" customHeight="1">
      <c r="B947" s="89"/>
      <c r="C947" s="90"/>
      <c r="D947" s="91"/>
      <c r="E947" s="92"/>
      <c r="F947" s="89"/>
      <c r="G947" s="89"/>
      <c r="H947" s="89"/>
      <c r="I947" s="89"/>
      <c r="J947" s="89"/>
      <c r="K947" s="89"/>
      <c r="L947" s="93"/>
      <c r="M947" s="93"/>
      <c r="N947" s="93"/>
      <c r="O947" s="93"/>
      <c r="P947" s="93"/>
      <c r="Q947" s="93"/>
      <c r="R947" s="93"/>
      <c r="S947" s="93"/>
      <c r="T947" s="93"/>
      <c r="U947" s="93"/>
      <c r="V947" s="93"/>
      <c r="W947" s="93"/>
    </row>
    <row r="948" spans="2:23" s="14" customFormat="1" ht="17.100000000000001" customHeight="1">
      <c r="B948" s="89"/>
      <c r="C948" s="90"/>
      <c r="D948" s="91"/>
      <c r="E948" s="92"/>
      <c r="F948" s="89"/>
      <c r="G948" s="89"/>
      <c r="H948" s="89"/>
      <c r="I948" s="89"/>
      <c r="J948" s="89"/>
      <c r="K948" s="89"/>
      <c r="L948" s="93"/>
      <c r="M948" s="93"/>
      <c r="N948" s="93"/>
      <c r="O948" s="93"/>
      <c r="P948" s="93"/>
      <c r="Q948" s="93"/>
      <c r="R948" s="93"/>
      <c r="S948" s="93"/>
      <c r="T948" s="93"/>
      <c r="U948" s="93"/>
      <c r="V948" s="93"/>
      <c r="W948" s="93"/>
    </row>
    <row r="949" spans="2:23" s="14" customFormat="1" ht="17.100000000000001" customHeight="1">
      <c r="B949" s="89"/>
      <c r="C949" s="90"/>
      <c r="D949" s="91"/>
      <c r="E949" s="92"/>
      <c r="F949" s="89"/>
      <c r="G949" s="89"/>
      <c r="H949" s="89"/>
      <c r="I949" s="89"/>
      <c r="J949" s="89"/>
      <c r="K949" s="89"/>
      <c r="L949" s="93"/>
      <c r="M949" s="93"/>
      <c r="N949" s="93"/>
      <c r="O949" s="93"/>
      <c r="P949" s="93"/>
      <c r="Q949" s="93"/>
      <c r="R949" s="93"/>
      <c r="S949" s="93"/>
      <c r="T949" s="93"/>
      <c r="U949" s="93"/>
      <c r="V949" s="93"/>
      <c r="W949" s="93"/>
    </row>
    <row r="950" spans="2:23" s="14" customFormat="1" ht="17.100000000000001" customHeight="1">
      <c r="B950" s="89"/>
      <c r="C950" s="90"/>
      <c r="D950" s="91"/>
      <c r="E950" s="92"/>
      <c r="F950" s="89"/>
      <c r="G950" s="89"/>
      <c r="H950" s="89"/>
      <c r="I950" s="89"/>
      <c r="J950" s="89"/>
      <c r="K950" s="89"/>
      <c r="L950" s="93"/>
      <c r="M950" s="93"/>
      <c r="N950" s="93"/>
      <c r="O950" s="93"/>
      <c r="P950" s="93"/>
      <c r="Q950" s="93"/>
      <c r="R950" s="93"/>
      <c r="S950" s="93"/>
      <c r="T950" s="93"/>
      <c r="U950" s="93"/>
      <c r="V950" s="93"/>
      <c r="W950" s="93"/>
    </row>
    <row r="951" spans="2:23" s="14" customFormat="1" ht="17.100000000000001" customHeight="1">
      <c r="B951" s="89"/>
      <c r="C951" s="90"/>
      <c r="D951" s="91"/>
      <c r="E951" s="92"/>
      <c r="F951" s="89"/>
      <c r="G951" s="89"/>
      <c r="H951" s="89"/>
      <c r="I951" s="89"/>
      <c r="J951" s="89"/>
      <c r="K951" s="89"/>
      <c r="L951" s="93"/>
      <c r="M951" s="93"/>
      <c r="N951" s="93"/>
      <c r="O951" s="93"/>
      <c r="P951" s="93"/>
      <c r="Q951" s="93"/>
      <c r="R951" s="93"/>
      <c r="S951" s="93"/>
      <c r="T951" s="93"/>
      <c r="U951" s="93"/>
      <c r="V951" s="93"/>
      <c r="W951" s="93"/>
    </row>
    <row r="952" spans="2:23" s="14" customFormat="1" ht="17.100000000000001" customHeight="1">
      <c r="B952" s="89"/>
      <c r="C952" s="90"/>
      <c r="D952" s="91"/>
      <c r="E952" s="92"/>
      <c r="F952" s="89"/>
      <c r="G952" s="89"/>
      <c r="H952" s="89"/>
      <c r="I952" s="89"/>
      <c r="J952" s="89"/>
      <c r="K952" s="89"/>
      <c r="L952" s="93"/>
      <c r="M952" s="93"/>
      <c r="N952" s="93"/>
      <c r="O952" s="93"/>
      <c r="P952" s="93"/>
      <c r="Q952" s="93"/>
      <c r="R952" s="93"/>
      <c r="S952" s="93"/>
      <c r="T952" s="93"/>
      <c r="U952" s="93"/>
      <c r="V952" s="93"/>
      <c r="W952" s="93"/>
    </row>
    <row r="953" spans="2:23" s="14" customFormat="1" ht="17.100000000000001" customHeight="1">
      <c r="B953" s="89"/>
      <c r="C953" s="90"/>
      <c r="D953" s="91"/>
      <c r="E953" s="92"/>
      <c r="F953" s="89"/>
      <c r="G953" s="89"/>
      <c r="H953" s="89"/>
      <c r="I953" s="89"/>
      <c r="J953" s="89"/>
      <c r="K953" s="89"/>
      <c r="L953" s="93"/>
      <c r="M953" s="93"/>
      <c r="N953" s="93"/>
      <c r="O953" s="93"/>
      <c r="P953" s="93"/>
      <c r="Q953" s="93"/>
      <c r="R953" s="93"/>
      <c r="S953" s="93"/>
      <c r="T953" s="93"/>
      <c r="U953" s="93"/>
      <c r="V953" s="93"/>
      <c r="W953" s="93"/>
    </row>
    <row r="954" spans="2:23" s="14" customFormat="1" ht="17.100000000000001" customHeight="1">
      <c r="B954" s="89"/>
      <c r="C954" s="90"/>
      <c r="D954" s="91"/>
      <c r="E954" s="92"/>
      <c r="F954" s="89"/>
      <c r="G954" s="89"/>
      <c r="H954" s="89"/>
      <c r="I954" s="89"/>
      <c r="J954" s="89"/>
      <c r="K954" s="89"/>
      <c r="L954" s="93"/>
      <c r="M954" s="93"/>
      <c r="N954" s="93"/>
      <c r="O954" s="93"/>
      <c r="P954" s="93"/>
      <c r="Q954" s="93"/>
      <c r="R954" s="93"/>
      <c r="S954" s="93"/>
      <c r="T954" s="93"/>
      <c r="U954" s="93"/>
      <c r="V954" s="93"/>
      <c r="W954" s="93"/>
    </row>
    <row r="955" spans="2:23" s="14" customFormat="1" ht="17.100000000000001" customHeight="1">
      <c r="B955" s="89"/>
      <c r="C955" s="90"/>
      <c r="D955" s="91"/>
      <c r="E955" s="92"/>
      <c r="F955" s="89"/>
      <c r="G955" s="89"/>
      <c r="H955" s="89"/>
      <c r="I955" s="89"/>
      <c r="J955" s="89"/>
      <c r="K955" s="89"/>
      <c r="L955" s="93"/>
      <c r="M955" s="93"/>
      <c r="N955" s="93"/>
      <c r="O955" s="93"/>
      <c r="P955" s="93"/>
      <c r="Q955" s="93"/>
      <c r="R955" s="93"/>
      <c r="S955" s="93"/>
      <c r="T955" s="93"/>
      <c r="U955" s="93"/>
      <c r="V955" s="93"/>
      <c r="W955" s="93"/>
    </row>
    <row r="956" spans="2:23" s="14" customFormat="1" ht="17.100000000000001" customHeight="1">
      <c r="B956" s="89"/>
      <c r="C956" s="90"/>
      <c r="D956" s="91"/>
      <c r="E956" s="92"/>
      <c r="F956" s="89"/>
      <c r="G956" s="89"/>
      <c r="H956" s="89"/>
      <c r="I956" s="89"/>
      <c r="J956" s="89"/>
      <c r="K956" s="89"/>
      <c r="L956" s="93"/>
      <c r="M956" s="93"/>
      <c r="N956" s="93"/>
      <c r="O956" s="93"/>
      <c r="P956" s="93"/>
      <c r="Q956" s="93"/>
      <c r="R956" s="93"/>
      <c r="S956" s="93"/>
      <c r="T956" s="93"/>
      <c r="U956" s="93"/>
      <c r="V956" s="93"/>
      <c r="W956" s="93"/>
    </row>
    <row r="957" spans="2:23" s="14" customFormat="1" ht="17.100000000000001" customHeight="1">
      <c r="B957" s="89"/>
      <c r="C957" s="90"/>
      <c r="D957" s="91"/>
      <c r="E957" s="92"/>
      <c r="F957" s="89"/>
      <c r="G957" s="89"/>
      <c r="H957" s="89"/>
      <c r="I957" s="89"/>
      <c r="J957" s="89"/>
      <c r="K957" s="89"/>
      <c r="L957" s="93"/>
      <c r="M957" s="93"/>
      <c r="N957" s="93"/>
      <c r="O957" s="93"/>
      <c r="P957" s="93"/>
      <c r="Q957" s="93"/>
      <c r="R957" s="93"/>
      <c r="S957" s="93"/>
      <c r="T957" s="93"/>
      <c r="U957" s="93"/>
      <c r="V957" s="93"/>
      <c r="W957" s="93"/>
    </row>
    <row r="958" spans="2:23" s="14" customFormat="1" ht="17.100000000000001" customHeight="1">
      <c r="B958" s="89"/>
      <c r="C958" s="90"/>
      <c r="D958" s="91"/>
      <c r="E958" s="92"/>
      <c r="F958" s="89"/>
      <c r="G958" s="89"/>
      <c r="H958" s="89"/>
      <c r="I958" s="89"/>
      <c r="J958" s="89"/>
      <c r="K958" s="89"/>
      <c r="L958" s="93"/>
      <c r="M958" s="93"/>
      <c r="N958" s="93"/>
      <c r="O958" s="93"/>
      <c r="P958" s="93"/>
      <c r="Q958" s="93"/>
      <c r="R958" s="93"/>
      <c r="S958" s="93"/>
      <c r="T958" s="93"/>
      <c r="U958" s="93"/>
      <c r="V958" s="93"/>
      <c r="W958" s="93"/>
    </row>
    <row r="959" spans="2:23" s="14" customFormat="1" ht="17.100000000000001" customHeight="1">
      <c r="B959" s="89"/>
      <c r="C959" s="90"/>
      <c r="D959" s="91"/>
      <c r="E959" s="92"/>
      <c r="F959" s="89"/>
      <c r="G959" s="89"/>
      <c r="H959" s="89"/>
      <c r="I959" s="89"/>
      <c r="J959" s="89"/>
      <c r="K959" s="89"/>
      <c r="L959" s="93"/>
      <c r="M959" s="93"/>
      <c r="N959" s="93"/>
      <c r="O959" s="93"/>
      <c r="P959" s="93"/>
      <c r="Q959" s="93"/>
      <c r="R959" s="93"/>
      <c r="S959" s="93"/>
      <c r="T959" s="93"/>
      <c r="U959" s="93"/>
      <c r="V959" s="93"/>
      <c r="W959" s="93"/>
    </row>
    <row r="960" spans="2:23" s="14" customFormat="1" ht="17.100000000000001" customHeight="1">
      <c r="B960" s="89"/>
      <c r="C960" s="90"/>
      <c r="D960" s="91"/>
      <c r="E960" s="92"/>
      <c r="F960" s="89"/>
      <c r="G960" s="89"/>
      <c r="H960" s="89"/>
      <c r="I960" s="89"/>
      <c r="J960" s="89"/>
      <c r="K960" s="89"/>
      <c r="L960" s="93"/>
      <c r="M960" s="93"/>
      <c r="N960" s="93"/>
      <c r="O960" s="93"/>
      <c r="P960" s="93"/>
      <c r="Q960" s="93"/>
      <c r="R960" s="93"/>
      <c r="S960" s="93"/>
      <c r="T960" s="93"/>
      <c r="U960" s="93"/>
      <c r="V960" s="93"/>
      <c r="W960" s="93"/>
    </row>
    <row r="961" spans="2:23" s="14" customFormat="1" ht="17.100000000000001" customHeight="1">
      <c r="B961" s="89"/>
      <c r="C961" s="90"/>
      <c r="D961" s="91"/>
      <c r="E961" s="92"/>
      <c r="F961" s="89"/>
      <c r="G961" s="89"/>
      <c r="H961" s="89"/>
      <c r="I961" s="89"/>
      <c r="J961" s="89"/>
      <c r="K961" s="89"/>
      <c r="L961" s="93"/>
      <c r="M961" s="93"/>
      <c r="N961" s="93"/>
      <c r="O961" s="93"/>
      <c r="P961" s="93"/>
      <c r="Q961" s="93"/>
      <c r="R961" s="93"/>
      <c r="S961" s="93"/>
      <c r="T961" s="93"/>
      <c r="U961" s="93"/>
      <c r="V961" s="93"/>
      <c r="W961" s="93"/>
    </row>
    <row r="962" spans="2:23" s="14" customFormat="1" ht="17.100000000000001" customHeight="1">
      <c r="B962" s="89"/>
      <c r="C962" s="90"/>
      <c r="D962" s="91"/>
      <c r="E962" s="92"/>
      <c r="F962" s="89"/>
      <c r="G962" s="89"/>
      <c r="H962" s="89"/>
      <c r="I962" s="89"/>
      <c r="J962" s="89"/>
      <c r="K962" s="89"/>
      <c r="L962" s="93"/>
      <c r="M962" s="93"/>
      <c r="N962" s="93"/>
      <c r="O962" s="93"/>
      <c r="P962" s="93"/>
      <c r="Q962" s="93"/>
      <c r="R962" s="93"/>
      <c r="S962" s="93"/>
      <c r="T962" s="93"/>
      <c r="U962" s="93"/>
      <c r="V962" s="93"/>
      <c r="W962" s="93"/>
    </row>
    <row r="963" spans="2:23" s="14" customFormat="1" ht="17.100000000000001" customHeight="1">
      <c r="B963" s="89"/>
      <c r="C963" s="90"/>
      <c r="D963" s="91"/>
      <c r="E963" s="92"/>
      <c r="F963" s="89"/>
      <c r="G963" s="89"/>
      <c r="H963" s="89"/>
      <c r="I963" s="89"/>
      <c r="J963" s="89"/>
      <c r="K963" s="89"/>
      <c r="L963" s="93"/>
      <c r="M963" s="93"/>
      <c r="N963" s="93"/>
      <c r="O963" s="93"/>
      <c r="P963" s="93"/>
      <c r="Q963" s="93"/>
      <c r="R963" s="93"/>
      <c r="S963" s="93"/>
      <c r="T963" s="93"/>
      <c r="U963" s="93"/>
      <c r="V963" s="93"/>
      <c r="W963" s="93"/>
    </row>
    <row r="964" spans="2:23" s="14" customFormat="1" ht="17.100000000000001" customHeight="1">
      <c r="B964" s="89"/>
      <c r="C964" s="90"/>
      <c r="D964" s="91"/>
      <c r="E964" s="92"/>
      <c r="F964" s="89"/>
      <c r="G964" s="89"/>
      <c r="H964" s="89"/>
      <c r="I964" s="89"/>
      <c r="J964" s="89"/>
      <c r="K964" s="89"/>
      <c r="L964" s="93"/>
      <c r="M964" s="93"/>
      <c r="N964" s="93"/>
      <c r="O964" s="93"/>
      <c r="P964" s="93"/>
      <c r="Q964" s="93"/>
      <c r="R964" s="93"/>
      <c r="S964" s="93"/>
      <c r="T964" s="93"/>
      <c r="U964" s="93"/>
      <c r="V964" s="93"/>
      <c r="W964" s="93"/>
    </row>
    <row r="965" spans="2:23" s="14" customFormat="1" ht="17.100000000000001" customHeight="1">
      <c r="B965" s="89"/>
      <c r="C965" s="90"/>
      <c r="D965" s="91"/>
      <c r="E965" s="92"/>
      <c r="F965" s="89"/>
      <c r="G965" s="89"/>
      <c r="H965" s="89"/>
      <c r="I965" s="89"/>
      <c r="J965" s="89"/>
      <c r="K965" s="89"/>
      <c r="L965" s="93"/>
      <c r="M965" s="93"/>
      <c r="N965" s="93"/>
      <c r="O965" s="93"/>
      <c r="P965" s="93"/>
      <c r="Q965" s="93"/>
      <c r="R965" s="93"/>
      <c r="S965" s="93"/>
      <c r="T965" s="93"/>
      <c r="U965" s="93"/>
      <c r="V965" s="93"/>
      <c r="W965" s="93"/>
    </row>
    <row r="966" spans="2:23" s="14" customFormat="1" ht="17.100000000000001" customHeight="1">
      <c r="B966" s="89"/>
      <c r="C966" s="90"/>
      <c r="D966" s="91"/>
      <c r="E966" s="92"/>
      <c r="F966" s="89"/>
      <c r="G966" s="89"/>
      <c r="H966" s="89"/>
      <c r="I966" s="89"/>
      <c r="J966" s="89"/>
      <c r="K966" s="89"/>
      <c r="L966" s="93"/>
      <c r="M966" s="93"/>
      <c r="N966" s="93"/>
      <c r="O966" s="93"/>
      <c r="P966" s="93"/>
      <c r="Q966" s="93"/>
      <c r="R966" s="93"/>
      <c r="S966" s="93"/>
      <c r="T966" s="93"/>
      <c r="U966" s="93"/>
      <c r="V966" s="93"/>
      <c r="W966" s="93"/>
    </row>
    <row r="967" spans="2:23" s="14" customFormat="1" ht="17.100000000000001" customHeight="1">
      <c r="B967" s="89"/>
      <c r="C967" s="90"/>
      <c r="D967" s="91"/>
      <c r="E967" s="92"/>
      <c r="F967" s="89"/>
      <c r="G967" s="89"/>
      <c r="H967" s="89"/>
      <c r="I967" s="89"/>
      <c r="J967" s="89"/>
      <c r="K967" s="89"/>
      <c r="L967" s="93"/>
      <c r="M967" s="93"/>
      <c r="N967" s="93"/>
      <c r="O967" s="93"/>
      <c r="P967" s="93"/>
      <c r="Q967" s="93"/>
      <c r="R967" s="93"/>
      <c r="S967" s="93"/>
      <c r="T967" s="93"/>
      <c r="U967" s="93"/>
      <c r="V967" s="93"/>
      <c r="W967" s="93"/>
    </row>
    <row r="968" spans="2:23" s="14" customFormat="1" ht="17.100000000000001" customHeight="1">
      <c r="B968" s="89"/>
      <c r="C968" s="90"/>
      <c r="D968" s="91"/>
      <c r="E968" s="92"/>
      <c r="F968" s="89"/>
      <c r="G968" s="89"/>
      <c r="H968" s="89"/>
      <c r="I968" s="89"/>
      <c r="J968" s="89"/>
      <c r="K968" s="89"/>
      <c r="L968" s="93"/>
      <c r="M968" s="93"/>
      <c r="N968" s="93"/>
      <c r="O968" s="93"/>
      <c r="P968" s="93"/>
      <c r="Q968" s="93"/>
      <c r="R968" s="93"/>
      <c r="S968" s="93"/>
      <c r="T968" s="93"/>
      <c r="U968" s="93"/>
      <c r="V968" s="93"/>
      <c r="W968" s="93"/>
    </row>
    <row r="969" spans="2:23" s="14" customFormat="1" ht="17.100000000000001" customHeight="1">
      <c r="B969" s="89"/>
      <c r="C969" s="90"/>
      <c r="D969" s="91"/>
      <c r="E969" s="92"/>
      <c r="F969" s="89"/>
      <c r="G969" s="89"/>
      <c r="H969" s="89"/>
      <c r="I969" s="89"/>
      <c r="J969" s="89"/>
      <c r="K969" s="89"/>
      <c r="L969" s="93"/>
      <c r="M969" s="93"/>
      <c r="N969" s="93"/>
      <c r="O969" s="93"/>
      <c r="P969" s="93"/>
      <c r="Q969" s="93"/>
      <c r="R969" s="93"/>
      <c r="S969" s="93"/>
      <c r="T969" s="93"/>
      <c r="U969" s="93"/>
      <c r="V969" s="93"/>
      <c r="W969" s="93"/>
    </row>
    <row r="970" spans="2:23" s="14" customFormat="1" ht="17.100000000000001" customHeight="1">
      <c r="B970" s="89"/>
      <c r="C970" s="90"/>
      <c r="D970" s="91"/>
      <c r="E970" s="92"/>
      <c r="F970" s="89"/>
      <c r="G970" s="89"/>
      <c r="H970" s="89"/>
      <c r="I970" s="89"/>
      <c r="J970" s="89"/>
      <c r="K970" s="89"/>
      <c r="L970" s="93"/>
      <c r="M970" s="93"/>
      <c r="N970" s="93"/>
      <c r="O970" s="93"/>
      <c r="P970" s="93"/>
      <c r="Q970" s="93"/>
      <c r="R970" s="93"/>
      <c r="S970" s="93"/>
      <c r="T970" s="93"/>
      <c r="U970" s="93"/>
      <c r="V970" s="93"/>
      <c r="W970" s="93"/>
    </row>
    <row r="971" spans="2:23" s="14" customFormat="1" ht="17.100000000000001" customHeight="1">
      <c r="B971" s="89"/>
      <c r="C971" s="90"/>
      <c r="D971" s="91"/>
      <c r="E971" s="92"/>
      <c r="F971" s="89"/>
      <c r="G971" s="89"/>
      <c r="H971" s="89"/>
      <c r="I971" s="89"/>
      <c r="J971" s="89"/>
      <c r="K971" s="89"/>
      <c r="L971" s="93"/>
      <c r="M971" s="93"/>
      <c r="N971" s="93"/>
      <c r="O971" s="93"/>
      <c r="P971" s="93"/>
      <c r="Q971" s="93"/>
      <c r="R971" s="93"/>
      <c r="S971" s="93"/>
      <c r="T971" s="93"/>
      <c r="U971" s="93"/>
      <c r="V971" s="93"/>
      <c r="W971" s="93"/>
    </row>
    <row r="972" spans="2:23" s="14" customFormat="1" ht="17.100000000000001" customHeight="1">
      <c r="B972" s="89"/>
      <c r="C972" s="90"/>
      <c r="D972" s="91"/>
      <c r="E972" s="92"/>
      <c r="F972" s="89"/>
      <c r="G972" s="89"/>
      <c r="H972" s="89"/>
      <c r="I972" s="89"/>
      <c r="J972" s="89"/>
      <c r="K972" s="89"/>
      <c r="L972" s="93"/>
      <c r="M972" s="93"/>
      <c r="N972" s="93"/>
      <c r="O972" s="93"/>
      <c r="P972" s="93"/>
      <c r="Q972" s="93"/>
      <c r="R972" s="93"/>
      <c r="S972" s="93"/>
      <c r="T972" s="93"/>
      <c r="U972" s="93"/>
      <c r="V972" s="93"/>
      <c r="W972" s="93"/>
    </row>
    <row r="973" spans="2:23" s="14" customFormat="1" ht="17.100000000000001" customHeight="1">
      <c r="B973" s="89"/>
      <c r="C973" s="90"/>
      <c r="D973" s="91"/>
      <c r="E973" s="92"/>
      <c r="F973" s="89"/>
      <c r="G973" s="89"/>
      <c r="H973" s="89"/>
      <c r="I973" s="89"/>
      <c r="J973" s="89"/>
      <c r="K973" s="89"/>
      <c r="L973" s="93"/>
      <c r="M973" s="93"/>
      <c r="N973" s="93"/>
      <c r="O973" s="93"/>
      <c r="P973" s="93"/>
      <c r="Q973" s="93"/>
      <c r="R973" s="93"/>
      <c r="S973" s="93"/>
      <c r="T973" s="93"/>
      <c r="U973" s="93"/>
      <c r="V973" s="93"/>
      <c r="W973" s="93"/>
    </row>
    <row r="974" spans="2:23" s="14" customFormat="1" ht="17.100000000000001" customHeight="1">
      <c r="B974" s="89"/>
      <c r="C974" s="90"/>
      <c r="D974" s="91"/>
      <c r="E974" s="92"/>
      <c r="F974" s="89"/>
      <c r="G974" s="89"/>
      <c r="H974" s="89"/>
      <c r="I974" s="89"/>
      <c r="J974" s="89"/>
      <c r="K974" s="89"/>
      <c r="L974" s="93"/>
      <c r="M974" s="93"/>
      <c r="N974" s="93"/>
      <c r="O974" s="93"/>
      <c r="P974" s="93"/>
      <c r="Q974" s="93"/>
      <c r="R974" s="93"/>
      <c r="S974" s="93"/>
      <c r="T974" s="93"/>
      <c r="U974" s="93"/>
      <c r="V974" s="93"/>
      <c r="W974" s="93"/>
    </row>
    <row r="975" spans="2:23" s="14" customFormat="1" ht="17.100000000000001" customHeight="1">
      <c r="B975" s="89"/>
      <c r="C975" s="90"/>
      <c r="D975" s="91"/>
      <c r="E975" s="92"/>
      <c r="F975" s="89"/>
      <c r="G975" s="89"/>
      <c r="H975" s="89"/>
      <c r="I975" s="89"/>
      <c r="J975" s="89"/>
      <c r="K975" s="89"/>
      <c r="L975" s="93"/>
      <c r="M975" s="93"/>
      <c r="N975" s="93"/>
      <c r="O975" s="93"/>
      <c r="P975" s="93"/>
      <c r="Q975" s="93"/>
      <c r="R975" s="93"/>
      <c r="S975" s="93"/>
      <c r="T975" s="93"/>
      <c r="U975" s="93"/>
      <c r="V975" s="93"/>
      <c r="W975" s="93"/>
    </row>
    <row r="976" spans="2:23" s="14" customFormat="1" ht="17.100000000000001" customHeight="1">
      <c r="B976" s="89"/>
      <c r="C976" s="90"/>
      <c r="D976" s="91"/>
      <c r="E976" s="92"/>
      <c r="F976" s="89"/>
      <c r="G976" s="89"/>
      <c r="H976" s="89"/>
      <c r="I976" s="89"/>
      <c r="J976" s="89"/>
      <c r="K976" s="89"/>
      <c r="L976" s="93"/>
      <c r="M976" s="93"/>
      <c r="N976" s="93"/>
      <c r="O976" s="93"/>
      <c r="P976" s="93"/>
      <c r="Q976" s="93"/>
      <c r="R976" s="93"/>
      <c r="S976" s="93"/>
      <c r="T976" s="93"/>
      <c r="U976" s="93"/>
      <c r="V976" s="93"/>
      <c r="W976" s="93"/>
    </row>
    <row r="977" spans="2:23" s="14" customFormat="1" ht="17.100000000000001" customHeight="1">
      <c r="B977" s="89"/>
      <c r="C977" s="90"/>
      <c r="D977" s="91"/>
      <c r="E977" s="92"/>
      <c r="F977" s="89"/>
      <c r="G977" s="89"/>
      <c r="H977" s="89"/>
      <c r="I977" s="89"/>
      <c r="J977" s="89"/>
      <c r="K977" s="89"/>
      <c r="L977" s="93"/>
      <c r="M977" s="93"/>
      <c r="N977" s="93"/>
      <c r="O977" s="93"/>
      <c r="P977" s="93"/>
      <c r="Q977" s="93"/>
      <c r="R977" s="93"/>
      <c r="S977" s="93"/>
      <c r="T977" s="93"/>
      <c r="U977" s="93"/>
      <c r="V977" s="93"/>
      <c r="W977" s="93"/>
    </row>
    <row r="978" spans="2:23" s="14" customFormat="1" ht="17.100000000000001" customHeight="1">
      <c r="B978" s="89"/>
      <c r="C978" s="90"/>
      <c r="D978" s="91"/>
      <c r="E978" s="92"/>
      <c r="F978" s="89"/>
      <c r="G978" s="89"/>
      <c r="H978" s="89"/>
      <c r="I978" s="89"/>
      <c r="J978" s="89"/>
      <c r="K978" s="89"/>
      <c r="L978" s="93"/>
      <c r="M978" s="93"/>
      <c r="N978" s="93"/>
      <c r="O978" s="93"/>
      <c r="P978" s="93"/>
      <c r="Q978" s="93"/>
      <c r="R978" s="93"/>
      <c r="S978" s="93"/>
      <c r="T978" s="93"/>
      <c r="U978" s="93"/>
      <c r="V978" s="93"/>
      <c r="W978" s="93"/>
    </row>
    <row r="979" spans="2:23" s="14" customFormat="1" ht="17.100000000000001" customHeight="1">
      <c r="B979" s="89"/>
      <c r="C979" s="90"/>
      <c r="D979" s="91"/>
      <c r="E979" s="92"/>
      <c r="F979" s="89"/>
      <c r="G979" s="89"/>
      <c r="H979" s="89"/>
      <c r="I979" s="89"/>
      <c r="J979" s="89"/>
      <c r="K979" s="89"/>
      <c r="L979" s="93"/>
      <c r="M979" s="93"/>
      <c r="N979" s="93"/>
      <c r="O979" s="93"/>
      <c r="P979" s="93"/>
      <c r="Q979" s="93"/>
      <c r="R979" s="93"/>
      <c r="S979" s="93"/>
      <c r="T979" s="93"/>
      <c r="U979" s="93"/>
      <c r="V979" s="93"/>
      <c r="W979" s="93"/>
    </row>
    <row r="980" spans="2:23" s="14" customFormat="1" ht="17.100000000000001" customHeight="1">
      <c r="B980" s="89"/>
      <c r="C980" s="90"/>
      <c r="D980" s="91"/>
      <c r="E980" s="92"/>
      <c r="F980" s="89"/>
      <c r="G980" s="89"/>
      <c r="H980" s="89"/>
      <c r="I980" s="89"/>
      <c r="J980" s="89"/>
      <c r="K980" s="89"/>
      <c r="L980" s="93"/>
      <c r="M980" s="93"/>
      <c r="N980" s="93"/>
      <c r="O980" s="93"/>
      <c r="P980" s="93"/>
      <c r="Q980" s="93"/>
      <c r="R980" s="93"/>
      <c r="S980" s="93"/>
      <c r="T980" s="93"/>
      <c r="U980" s="93"/>
      <c r="V980" s="93"/>
      <c r="W980" s="93"/>
    </row>
    <row r="981" spans="2:23" s="14" customFormat="1" ht="17.100000000000001" customHeight="1">
      <c r="B981" s="89"/>
      <c r="C981" s="90"/>
      <c r="D981" s="91"/>
      <c r="E981" s="92"/>
      <c r="F981" s="89"/>
      <c r="G981" s="89"/>
      <c r="H981" s="89"/>
      <c r="I981" s="89"/>
      <c r="J981" s="89"/>
      <c r="K981" s="89"/>
      <c r="L981" s="93"/>
      <c r="M981" s="93"/>
      <c r="N981" s="93"/>
      <c r="O981" s="93"/>
      <c r="P981" s="93"/>
      <c r="Q981" s="93"/>
      <c r="R981" s="93"/>
      <c r="S981" s="93"/>
      <c r="T981" s="93"/>
      <c r="U981" s="93"/>
      <c r="V981" s="93"/>
      <c r="W981" s="93"/>
    </row>
    <row r="982" spans="2:23" s="14" customFormat="1" ht="17.100000000000001" customHeight="1">
      <c r="B982" s="89"/>
      <c r="C982" s="90"/>
      <c r="D982" s="91"/>
      <c r="E982" s="92"/>
      <c r="F982" s="89"/>
      <c r="G982" s="89"/>
      <c r="H982" s="89"/>
      <c r="I982" s="89"/>
      <c r="J982" s="89"/>
      <c r="K982" s="89"/>
      <c r="L982" s="93"/>
      <c r="M982" s="93"/>
      <c r="N982" s="93"/>
      <c r="O982" s="93"/>
      <c r="P982" s="93"/>
      <c r="Q982" s="93"/>
      <c r="R982" s="93"/>
      <c r="S982" s="93"/>
      <c r="T982" s="93"/>
      <c r="U982" s="93"/>
      <c r="V982" s="93"/>
      <c r="W982" s="93"/>
    </row>
    <row r="983" spans="2:23" s="14" customFormat="1" ht="17.100000000000001" customHeight="1">
      <c r="B983" s="89"/>
      <c r="C983" s="90"/>
      <c r="D983" s="91"/>
      <c r="E983" s="92"/>
      <c r="F983" s="89"/>
      <c r="G983" s="89"/>
      <c r="H983" s="89"/>
      <c r="I983" s="89"/>
      <c r="J983" s="89"/>
      <c r="K983" s="89"/>
      <c r="L983" s="93"/>
      <c r="M983" s="93"/>
      <c r="N983" s="93"/>
      <c r="O983" s="93"/>
      <c r="P983" s="93"/>
      <c r="Q983" s="93"/>
      <c r="R983" s="93"/>
      <c r="S983" s="93"/>
      <c r="T983" s="93"/>
      <c r="U983" s="93"/>
      <c r="V983" s="93"/>
      <c r="W983" s="93"/>
    </row>
    <row r="984" spans="2:23" s="14" customFormat="1" ht="17.100000000000001" customHeight="1">
      <c r="B984" s="89"/>
      <c r="C984" s="90"/>
      <c r="D984" s="91"/>
      <c r="E984" s="92"/>
      <c r="F984" s="89"/>
      <c r="G984" s="89"/>
      <c r="H984" s="89"/>
      <c r="I984" s="89"/>
      <c r="J984" s="89"/>
      <c r="K984" s="89"/>
      <c r="L984" s="93"/>
      <c r="M984" s="93"/>
      <c r="N984" s="93"/>
      <c r="O984" s="93"/>
      <c r="P984" s="93"/>
      <c r="Q984" s="93"/>
      <c r="R984" s="93"/>
      <c r="S984" s="93"/>
      <c r="T984" s="93"/>
      <c r="U984" s="93"/>
      <c r="V984" s="93"/>
      <c r="W984" s="93"/>
    </row>
    <row r="985" spans="2:23" s="14" customFormat="1" ht="17.100000000000001" customHeight="1">
      <c r="B985" s="89"/>
      <c r="C985" s="90"/>
      <c r="D985" s="91"/>
      <c r="E985" s="92"/>
      <c r="F985" s="89"/>
      <c r="G985" s="89"/>
      <c r="H985" s="89"/>
      <c r="I985" s="89"/>
      <c r="J985" s="89"/>
      <c r="K985" s="89"/>
      <c r="L985" s="93"/>
      <c r="M985" s="93"/>
      <c r="N985" s="93"/>
      <c r="O985" s="93"/>
      <c r="P985" s="93"/>
      <c r="Q985" s="93"/>
      <c r="R985" s="93"/>
      <c r="S985" s="93"/>
      <c r="T985" s="93"/>
      <c r="U985" s="93"/>
      <c r="V985" s="93"/>
      <c r="W985" s="93"/>
    </row>
    <row r="986" spans="2:23" s="14" customFormat="1" ht="17.100000000000001" customHeight="1">
      <c r="B986" s="89"/>
      <c r="C986" s="90"/>
      <c r="D986" s="91"/>
      <c r="E986" s="92"/>
      <c r="F986" s="89"/>
      <c r="G986" s="89"/>
      <c r="H986" s="89"/>
      <c r="I986" s="89"/>
      <c r="J986" s="89"/>
      <c r="K986" s="89"/>
      <c r="L986" s="93"/>
      <c r="M986" s="93"/>
      <c r="N986" s="93"/>
      <c r="O986" s="93"/>
      <c r="P986" s="93"/>
      <c r="Q986" s="93"/>
      <c r="R986" s="93"/>
      <c r="S986" s="93"/>
      <c r="T986" s="93"/>
      <c r="U986" s="93"/>
      <c r="V986" s="93"/>
      <c r="W986" s="93"/>
    </row>
    <row r="987" spans="2:23" s="14" customFormat="1" ht="17.100000000000001" customHeight="1">
      <c r="B987" s="89"/>
      <c r="C987" s="90"/>
      <c r="D987" s="91"/>
      <c r="E987" s="92"/>
      <c r="F987" s="89"/>
      <c r="G987" s="89"/>
      <c r="H987" s="89"/>
      <c r="I987" s="89"/>
      <c r="J987" s="89"/>
      <c r="K987" s="89"/>
      <c r="L987" s="93"/>
      <c r="M987" s="93"/>
      <c r="N987" s="93"/>
      <c r="O987" s="93"/>
      <c r="P987" s="93"/>
      <c r="Q987" s="93"/>
      <c r="R987" s="93"/>
      <c r="S987" s="93"/>
      <c r="T987" s="93"/>
      <c r="U987" s="93"/>
      <c r="V987" s="93"/>
      <c r="W987" s="93"/>
    </row>
    <row r="988" spans="2:23" s="14" customFormat="1" ht="17.100000000000001" customHeight="1">
      <c r="B988" s="89"/>
      <c r="C988" s="90"/>
      <c r="D988" s="91"/>
      <c r="E988" s="92"/>
      <c r="F988" s="89"/>
      <c r="G988" s="89"/>
      <c r="H988" s="89"/>
      <c r="I988" s="89"/>
      <c r="J988" s="89"/>
      <c r="K988" s="89"/>
      <c r="L988" s="93"/>
      <c r="M988" s="93"/>
      <c r="N988" s="93"/>
      <c r="O988" s="93"/>
      <c r="P988" s="93"/>
      <c r="Q988" s="93"/>
      <c r="R988" s="93"/>
      <c r="S988" s="93"/>
      <c r="T988" s="93"/>
      <c r="U988" s="93"/>
      <c r="V988" s="93"/>
      <c r="W988" s="93"/>
    </row>
    <row r="989" spans="2:23" s="14" customFormat="1" ht="17.100000000000001" customHeight="1">
      <c r="B989" s="89"/>
      <c r="C989" s="90"/>
      <c r="D989" s="91"/>
      <c r="E989" s="92"/>
      <c r="F989" s="89"/>
      <c r="G989" s="89"/>
      <c r="H989" s="89"/>
      <c r="I989" s="89"/>
      <c r="J989" s="89"/>
      <c r="K989" s="89"/>
      <c r="L989" s="93"/>
      <c r="M989" s="93"/>
      <c r="N989" s="93"/>
      <c r="O989" s="93"/>
      <c r="P989" s="93"/>
      <c r="Q989" s="93"/>
      <c r="R989" s="93"/>
      <c r="S989" s="93"/>
      <c r="T989" s="93"/>
      <c r="U989" s="93"/>
      <c r="V989" s="93"/>
      <c r="W989" s="93"/>
    </row>
    <row r="990" spans="2:23" s="14" customFormat="1" ht="17.100000000000001" customHeight="1">
      <c r="B990" s="89"/>
      <c r="C990" s="90"/>
      <c r="D990" s="91"/>
      <c r="E990" s="92"/>
      <c r="F990" s="89"/>
      <c r="G990" s="89"/>
      <c r="H990" s="89"/>
      <c r="I990" s="89"/>
      <c r="J990" s="89"/>
      <c r="K990" s="89"/>
      <c r="L990" s="93"/>
      <c r="M990" s="93"/>
      <c r="N990" s="93"/>
      <c r="O990" s="93"/>
      <c r="P990" s="93"/>
      <c r="Q990" s="93"/>
      <c r="R990" s="93"/>
      <c r="S990" s="93"/>
      <c r="T990" s="93"/>
      <c r="U990" s="93"/>
      <c r="V990" s="93"/>
      <c r="W990" s="93"/>
    </row>
    <row r="991" spans="2:23" s="14" customFormat="1" ht="17.100000000000001" customHeight="1">
      <c r="B991" s="89"/>
      <c r="C991" s="90"/>
      <c r="D991" s="91"/>
      <c r="E991" s="92"/>
      <c r="F991" s="89"/>
      <c r="G991" s="89"/>
      <c r="H991" s="89"/>
      <c r="I991" s="89"/>
      <c r="J991" s="89"/>
      <c r="K991" s="89"/>
      <c r="L991" s="93"/>
      <c r="M991" s="93"/>
      <c r="N991" s="93"/>
      <c r="O991" s="93"/>
      <c r="P991" s="93"/>
      <c r="Q991" s="93"/>
      <c r="R991" s="93"/>
      <c r="S991" s="93"/>
      <c r="T991" s="93"/>
      <c r="U991" s="93"/>
      <c r="V991" s="93"/>
      <c r="W991" s="93"/>
    </row>
    <row r="992" spans="2:23" s="14" customFormat="1" ht="17.100000000000001" customHeight="1">
      <c r="B992" s="89"/>
      <c r="C992" s="90"/>
      <c r="D992" s="91"/>
      <c r="E992" s="92"/>
      <c r="F992" s="89"/>
      <c r="G992" s="89"/>
      <c r="H992" s="89"/>
      <c r="I992" s="89"/>
      <c r="J992" s="89"/>
      <c r="K992" s="89"/>
      <c r="L992" s="93"/>
      <c r="M992" s="93"/>
      <c r="N992" s="93"/>
      <c r="O992" s="93"/>
      <c r="P992" s="93"/>
      <c r="Q992" s="93"/>
      <c r="R992" s="93"/>
      <c r="S992" s="93"/>
      <c r="T992" s="93"/>
      <c r="U992" s="93"/>
      <c r="V992" s="93"/>
      <c r="W992" s="93"/>
    </row>
    <row r="993" spans="2:23" s="14" customFormat="1" ht="17.100000000000001" customHeight="1">
      <c r="B993" s="89"/>
      <c r="C993" s="90"/>
      <c r="D993" s="91"/>
      <c r="E993" s="92"/>
      <c r="F993" s="89"/>
      <c r="G993" s="89"/>
      <c r="H993" s="89"/>
      <c r="I993" s="89"/>
      <c r="J993" s="89"/>
      <c r="K993" s="89"/>
      <c r="L993" s="93"/>
      <c r="M993" s="93"/>
      <c r="N993" s="93"/>
      <c r="O993" s="93"/>
      <c r="P993" s="93"/>
      <c r="Q993" s="93"/>
      <c r="R993" s="93"/>
      <c r="S993" s="93"/>
      <c r="T993" s="93"/>
      <c r="U993" s="93"/>
      <c r="V993" s="93"/>
      <c r="W993" s="93"/>
    </row>
    <row r="994" spans="2:23" s="14" customFormat="1" ht="17.100000000000001" customHeight="1">
      <c r="B994" s="89"/>
      <c r="C994" s="90"/>
      <c r="D994" s="91"/>
      <c r="E994" s="92"/>
      <c r="F994" s="89"/>
      <c r="G994" s="89"/>
      <c r="H994" s="89"/>
      <c r="I994" s="89"/>
      <c r="J994" s="89"/>
      <c r="K994" s="89"/>
      <c r="L994" s="93"/>
      <c r="M994" s="93"/>
      <c r="N994" s="93"/>
      <c r="O994" s="93"/>
      <c r="P994" s="93"/>
      <c r="Q994" s="93"/>
      <c r="R994" s="93"/>
      <c r="S994" s="93"/>
      <c r="T994" s="93"/>
      <c r="U994" s="93"/>
      <c r="V994" s="93"/>
      <c r="W994" s="93"/>
    </row>
    <row r="995" spans="2:23" s="14" customFormat="1" ht="17.100000000000001" customHeight="1">
      <c r="B995" s="89"/>
      <c r="C995" s="90"/>
      <c r="D995" s="91"/>
      <c r="E995" s="92"/>
      <c r="F995" s="89"/>
      <c r="G995" s="89"/>
      <c r="H995" s="89"/>
      <c r="I995" s="89"/>
      <c r="J995" s="89"/>
      <c r="K995" s="89"/>
      <c r="L995" s="93"/>
      <c r="M995" s="93"/>
      <c r="N995" s="93"/>
      <c r="O995" s="93"/>
      <c r="P995" s="93"/>
      <c r="Q995" s="93"/>
      <c r="R995" s="93"/>
      <c r="S995" s="93"/>
      <c r="T995" s="93"/>
      <c r="U995" s="93"/>
      <c r="V995" s="93"/>
      <c r="W995" s="93"/>
    </row>
    <row r="996" spans="2:23" s="14" customFormat="1" ht="17.100000000000001" customHeight="1">
      <c r="B996" s="89"/>
      <c r="C996" s="90"/>
      <c r="D996" s="91"/>
      <c r="E996" s="92"/>
      <c r="F996" s="89"/>
      <c r="G996" s="89"/>
      <c r="H996" s="89"/>
      <c r="I996" s="89"/>
      <c r="J996" s="89"/>
      <c r="K996" s="89"/>
      <c r="L996" s="93"/>
      <c r="M996" s="93"/>
      <c r="N996" s="93"/>
      <c r="O996" s="93"/>
      <c r="P996" s="93"/>
      <c r="Q996" s="93"/>
      <c r="R996" s="93"/>
      <c r="S996" s="93"/>
      <c r="T996" s="93"/>
      <c r="U996" s="93"/>
      <c r="V996" s="93"/>
      <c r="W996" s="93"/>
    </row>
    <row r="997" spans="2:23" s="14" customFormat="1" ht="17.100000000000001" customHeight="1">
      <c r="B997" s="89"/>
      <c r="C997" s="90"/>
      <c r="D997" s="91"/>
      <c r="E997" s="92"/>
      <c r="F997" s="89"/>
      <c r="G997" s="89"/>
      <c r="H997" s="89"/>
      <c r="I997" s="89"/>
      <c r="J997" s="89"/>
      <c r="K997" s="89"/>
      <c r="L997" s="93"/>
      <c r="M997" s="93"/>
      <c r="N997" s="93"/>
      <c r="O997" s="93"/>
      <c r="P997" s="93"/>
      <c r="Q997" s="93"/>
      <c r="R997" s="93"/>
      <c r="S997" s="93"/>
      <c r="T997" s="93"/>
      <c r="U997" s="93"/>
      <c r="V997" s="93"/>
      <c r="W997" s="93"/>
    </row>
    <row r="998" spans="2:23" s="14" customFormat="1" ht="17.100000000000001" customHeight="1">
      <c r="B998" s="89"/>
      <c r="C998" s="90"/>
      <c r="D998" s="91"/>
      <c r="E998" s="92"/>
      <c r="F998" s="89"/>
      <c r="G998" s="89"/>
      <c r="H998" s="89"/>
      <c r="I998" s="89"/>
      <c r="J998" s="89"/>
      <c r="K998" s="89"/>
      <c r="L998" s="93"/>
      <c r="M998" s="93"/>
      <c r="N998" s="93"/>
      <c r="O998" s="93"/>
      <c r="P998" s="93"/>
      <c r="Q998" s="93"/>
      <c r="R998" s="93"/>
      <c r="S998" s="93"/>
      <c r="T998" s="93"/>
      <c r="U998" s="93"/>
      <c r="V998" s="93"/>
      <c r="W998" s="93"/>
    </row>
    <row r="999" spans="2:23" s="14" customFormat="1" ht="17.100000000000001" customHeight="1">
      <c r="B999" s="89"/>
      <c r="C999" s="90"/>
      <c r="D999" s="91"/>
      <c r="E999" s="92"/>
      <c r="F999" s="89"/>
      <c r="G999" s="89"/>
      <c r="H999" s="89"/>
      <c r="I999" s="89"/>
      <c r="J999" s="89"/>
      <c r="K999" s="89"/>
      <c r="L999" s="93"/>
      <c r="M999" s="93"/>
      <c r="N999" s="93"/>
      <c r="O999" s="93"/>
      <c r="P999" s="93"/>
      <c r="Q999" s="93"/>
      <c r="R999" s="93"/>
      <c r="S999" s="93"/>
      <c r="T999" s="93"/>
      <c r="U999" s="93"/>
      <c r="V999" s="93"/>
      <c r="W999" s="93"/>
    </row>
    <row r="1000" spans="2:23" s="14" customFormat="1" ht="17.100000000000001" customHeight="1">
      <c r="B1000" s="89"/>
      <c r="C1000" s="90"/>
      <c r="D1000" s="91"/>
      <c r="E1000" s="92"/>
      <c r="F1000" s="89"/>
      <c r="G1000" s="89"/>
      <c r="H1000" s="89"/>
      <c r="I1000" s="89"/>
      <c r="J1000" s="89"/>
      <c r="K1000" s="89"/>
      <c r="L1000" s="93"/>
      <c r="M1000" s="93"/>
      <c r="N1000" s="93"/>
      <c r="O1000" s="93"/>
      <c r="P1000" s="93"/>
      <c r="Q1000" s="93"/>
      <c r="R1000" s="93"/>
      <c r="S1000" s="93"/>
      <c r="T1000" s="93"/>
      <c r="U1000" s="93"/>
      <c r="V1000" s="93"/>
      <c r="W1000" s="93"/>
    </row>
    <row r="1001" spans="2:23" s="14" customFormat="1" ht="17.100000000000001" customHeight="1">
      <c r="B1001" s="89"/>
      <c r="C1001" s="90"/>
      <c r="D1001" s="91"/>
      <c r="E1001" s="92"/>
      <c r="F1001" s="89"/>
      <c r="G1001" s="89"/>
      <c r="H1001" s="89"/>
      <c r="I1001" s="89"/>
      <c r="J1001" s="89"/>
      <c r="K1001" s="89"/>
      <c r="L1001" s="93"/>
      <c r="M1001" s="93"/>
      <c r="N1001" s="93"/>
      <c r="O1001" s="93"/>
      <c r="P1001" s="93"/>
      <c r="Q1001" s="93"/>
      <c r="R1001" s="93"/>
      <c r="S1001" s="93"/>
      <c r="T1001" s="93"/>
      <c r="U1001" s="93"/>
      <c r="V1001" s="93"/>
      <c r="W1001" s="93"/>
    </row>
    <row r="1002" spans="2:23" s="14" customFormat="1" ht="17.100000000000001" customHeight="1">
      <c r="B1002" s="89"/>
      <c r="C1002" s="90"/>
      <c r="D1002" s="91"/>
      <c r="E1002" s="92"/>
      <c r="F1002" s="89"/>
      <c r="G1002" s="89"/>
      <c r="H1002" s="89"/>
      <c r="I1002" s="89"/>
      <c r="J1002" s="89"/>
      <c r="K1002" s="89"/>
      <c r="L1002" s="93"/>
      <c r="M1002" s="93"/>
      <c r="N1002" s="93"/>
      <c r="O1002" s="93"/>
      <c r="P1002" s="93"/>
      <c r="Q1002" s="93"/>
      <c r="R1002" s="93"/>
      <c r="S1002" s="93"/>
      <c r="T1002" s="93"/>
      <c r="U1002" s="93"/>
      <c r="V1002" s="93"/>
      <c r="W1002" s="93"/>
    </row>
    <row r="1003" spans="2:23" s="14" customFormat="1" ht="17.100000000000001" customHeight="1">
      <c r="B1003" s="89"/>
      <c r="C1003" s="90"/>
      <c r="D1003" s="91"/>
      <c r="E1003" s="92"/>
      <c r="F1003" s="89"/>
      <c r="G1003" s="89"/>
      <c r="H1003" s="89"/>
      <c r="I1003" s="89"/>
      <c r="J1003" s="89"/>
      <c r="K1003" s="89"/>
      <c r="L1003" s="93"/>
      <c r="M1003" s="93"/>
      <c r="N1003" s="93"/>
      <c r="O1003" s="93"/>
      <c r="P1003" s="93"/>
      <c r="Q1003" s="93"/>
      <c r="R1003" s="93"/>
      <c r="S1003" s="93"/>
      <c r="T1003" s="93"/>
      <c r="U1003" s="93"/>
      <c r="V1003" s="93"/>
      <c r="W1003" s="93"/>
    </row>
    <row r="1004" spans="2:23" s="14" customFormat="1" ht="17.100000000000001" customHeight="1">
      <c r="B1004" s="89"/>
      <c r="C1004" s="90"/>
      <c r="D1004" s="91"/>
      <c r="E1004" s="92"/>
      <c r="F1004" s="89"/>
      <c r="G1004" s="89"/>
      <c r="H1004" s="89"/>
      <c r="I1004" s="89"/>
      <c r="J1004" s="89"/>
      <c r="K1004" s="89"/>
      <c r="L1004" s="93"/>
      <c r="M1004" s="93"/>
      <c r="N1004" s="93"/>
      <c r="O1004" s="93"/>
      <c r="P1004" s="93"/>
      <c r="Q1004" s="93"/>
      <c r="R1004" s="93"/>
      <c r="S1004" s="93"/>
      <c r="T1004" s="93"/>
      <c r="U1004" s="93"/>
      <c r="V1004" s="93"/>
      <c r="W1004" s="93"/>
    </row>
    <row r="1005" spans="2:23" s="14" customFormat="1" ht="17.100000000000001" customHeight="1">
      <c r="B1005" s="89"/>
      <c r="C1005" s="90"/>
      <c r="D1005" s="91"/>
      <c r="E1005" s="92"/>
      <c r="F1005" s="89"/>
      <c r="G1005" s="89"/>
      <c r="H1005" s="89"/>
      <c r="I1005" s="89"/>
      <c r="J1005" s="89"/>
      <c r="K1005" s="89"/>
      <c r="L1005" s="93"/>
      <c r="M1005" s="93"/>
      <c r="N1005" s="93"/>
      <c r="O1005" s="93"/>
      <c r="P1005" s="93"/>
      <c r="Q1005" s="93"/>
      <c r="R1005" s="93"/>
      <c r="S1005" s="93"/>
      <c r="T1005" s="93"/>
      <c r="U1005" s="93"/>
      <c r="V1005" s="93"/>
      <c r="W1005" s="93"/>
    </row>
    <row r="1006" spans="2:23" s="14" customFormat="1" ht="17.100000000000001" customHeight="1">
      <c r="B1006" s="89"/>
      <c r="C1006" s="90"/>
      <c r="D1006" s="91"/>
      <c r="E1006" s="92"/>
      <c r="F1006" s="89"/>
      <c r="G1006" s="89"/>
      <c r="H1006" s="89"/>
      <c r="I1006" s="89"/>
      <c r="J1006" s="89"/>
      <c r="K1006" s="89"/>
      <c r="L1006" s="93"/>
      <c r="M1006" s="93"/>
      <c r="N1006" s="93"/>
      <c r="O1006" s="93"/>
      <c r="P1006" s="93"/>
      <c r="Q1006" s="93"/>
      <c r="R1006" s="93"/>
      <c r="S1006" s="93"/>
      <c r="T1006" s="93"/>
      <c r="U1006" s="93"/>
      <c r="V1006" s="93"/>
      <c r="W1006" s="93"/>
    </row>
    <row r="1007" spans="2:23" s="14" customFormat="1" ht="17.100000000000001" customHeight="1">
      <c r="B1007" s="89"/>
      <c r="C1007" s="90"/>
      <c r="D1007" s="91"/>
      <c r="E1007" s="92"/>
      <c r="F1007" s="89"/>
      <c r="G1007" s="89"/>
      <c r="H1007" s="89"/>
      <c r="I1007" s="89"/>
      <c r="J1007" s="89"/>
      <c r="K1007" s="89"/>
      <c r="L1007" s="93"/>
      <c r="M1007" s="93"/>
      <c r="N1007" s="93"/>
      <c r="O1007" s="93"/>
      <c r="P1007" s="93"/>
      <c r="Q1007" s="93"/>
      <c r="R1007" s="93"/>
      <c r="S1007" s="93"/>
      <c r="T1007" s="93"/>
      <c r="U1007" s="93"/>
      <c r="V1007" s="93"/>
      <c r="W1007" s="93"/>
    </row>
    <row r="1008" spans="2:23" s="14" customFormat="1" ht="17.100000000000001" customHeight="1">
      <c r="B1008" s="89"/>
      <c r="C1008" s="90"/>
      <c r="D1008" s="91"/>
      <c r="E1008" s="92"/>
      <c r="F1008" s="89"/>
      <c r="G1008" s="89"/>
      <c r="H1008" s="89"/>
      <c r="I1008" s="89"/>
      <c r="J1008" s="89"/>
      <c r="K1008" s="89"/>
      <c r="L1008" s="93"/>
      <c r="M1008" s="93"/>
      <c r="N1008" s="93"/>
      <c r="O1008" s="93"/>
      <c r="P1008" s="93"/>
      <c r="Q1008" s="93"/>
      <c r="R1008" s="93"/>
      <c r="S1008" s="93"/>
      <c r="T1008" s="93"/>
      <c r="U1008" s="93"/>
      <c r="V1008" s="93"/>
      <c r="W1008" s="93"/>
    </row>
    <row r="1009" spans="2:23" s="14" customFormat="1" ht="17.100000000000001" customHeight="1">
      <c r="B1009" s="89"/>
      <c r="C1009" s="90"/>
      <c r="D1009" s="91"/>
      <c r="E1009" s="92"/>
      <c r="F1009" s="89"/>
      <c r="G1009" s="89"/>
      <c r="H1009" s="89"/>
      <c r="I1009" s="89"/>
      <c r="J1009" s="89"/>
      <c r="K1009" s="89"/>
      <c r="L1009" s="93"/>
      <c r="M1009" s="93"/>
      <c r="N1009" s="93"/>
      <c r="O1009" s="93"/>
      <c r="P1009" s="93"/>
      <c r="Q1009" s="93"/>
      <c r="R1009" s="93"/>
      <c r="S1009" s="93"/>
      <c r="T1009" s="93"/>
      <c r="U1009" s="93"/>
      <c r="V1009" s="93"/>
      <c r="W1009" s="93"/>
    </row>
    <row r="1010" spans="2:23" s="14" customFormat="1" ht="17.100000000000001" customHeight="1">
      <c r="B1010" s="89"/>
      <c r="C1010" s="90"/>
      <c r="D1010" s="91"/>
      <c r="E1010" s="92"/>
      <c r="F1010" s="89"/>
      <c r="G1010" s="89"/>
      <c r="H1010" s="89"/>
      <c r="I1010" s="89"/>
      <c r="J1010" s="89"/>
      <c r="K1010" s="89"/>
      <c r="L1010" s="93"/>
      <c r="M1010" s="93"/>
      <c r="N1010" s="93"/>
      <c r="O1010" s="93"/>
      <c r="P1010" s="93"/>
      <c r="Q1010" s="93"/>
      <c r="R1010" s="93"/>
      <c r="S1010" s="93"/>
      <c r="T1010" s="93"/>
      <c r="U1010" s="93"/>
      <c r="V1010" s="93"/>
      <c r="W1010" s="93"/>
    </row>
    <row r="1011" spans="2:23" s="14" customFormat="1" ht="17.100000000000001" customHeight="1">
      <c r="B1011" s="89"/>
      <c r="C1011" s="90"/>
      <c r="D1011" s="91"/>
      <c r="E1011" s="92"/>
      <c r="F1011" s="89"/>
      <c r="G1011" s="89"/>
      <c r="H1011" s="89"/>
      <c r="I1011" s="89"/>
      <c r="J1011" s="89"/>
      <c r="K1011" s="89"/>
      <c r="L1011" s="93"/>
      <c r="M1011" s="93"/>
      <c r="N1011" s="93"/>
      <c r="O1011" s="93"/>
      <c r="P1011" s="93"/>
      <c r="Q1011" s="93"/>
      <c r="R1011" s="93"/>
      <c r="S1011" s="93"/>
      <c r="T1011" s="93"/>
      <c r="U1011" s="93"/>
      <c r="V1011" s="93"/>
      <c r="W1011" s="93"/>
    </row>
    <row r="1012" spans="2:23" s="14" customFormat="1" ht="17.100000000000001" customHeight="1">
      <c r="B1012" s="89"/>
      <c r="C1012" s="90"/>
      <c r="D1012" s="91"/>
      <c r="E1012" s="92"/>
      <c r="F1012" s="89"/>
      <c r="G1012" s="89"/>
      <c r="H1012" s="89"/>
      <c r="I1012" s="89"/>
      <c r="J1012" s="89"/>
      <c r="K1012" s="89"/>
      <c r="L1012" s="93"/>
      <c r="M1012" s="93"/>
      <c r="N1012" s="93"/>
      <c r="O1012" s="93"/>
      <c r="P1012" s="93"/>
      <c r="Q1012" s="93"/>
      <c r="R1012" s="93"/>
      <c r="S1012" s="93"/>
      <c r="T1012" s="93"/>
      <c r="U1012" s="93"/>
      <c r="V1012" s="93"/>
      <c r="W1012" s="93"/>
    </row>
    <row r="1013" spans="2:23" s="14" customFormat="1" ht="17.100000000000001" customHeight="1">
      <c r="B1013" s="89"/>
      <c r="C1013" s="90"/>
      <c r="D1013" s="91"/>
      <c r="E1013" s="92"/>
      <c r="F1013" s="89"/>
      <c r="G1013" s="89"/>
      <c r="H1013" s="89"/>
      <c r="I1013" s="89"/>
      <c r="J1013" s="89"/>
      <c r="K1013" s="89"/>
      <c r="L1013" s="93"/>
      <c r="M1013" s="93"/>
      <c r="N1013" s="93"/>
      <c r="O1013" s="93"/>
      <c r="P1013" s="93"/>
      <c r="Q1013" s="93"/>
      <c r="R1013" s="93"/>
      <c r="S1013" s="93"/>
      <c r="T1013" s="93"/>
      <c r="U1013" s="93"/>
      <c r="V1013" s="93"/>
      <c r="W1013" s="93"/>
    </row>
    <row r="1014" spans="2:23" s="14" customFormat="1" ht="17.100000000000001" customHeight="1">
      <c r="B1014" s="89"/>
      <c r="C1014" s="90"/>
      <c r="D1014" s="91"/>
      <c r="E1014" s="92"/>
      <c r="F1014" s="89"/>
      <c r="G1014" s="89"/>
      <c r="H1014" s="89"/>
      <c r="I1014" s="89"/>
      <c r="J1014" s="89"/>
      <c r="K1014" s="89"/>
      <c r="L1014" s="93"/>
      <c r="M1014" s="93"/>
      <c r="N1014" s="93"/>
      <c r="O1014" s="93"/>
      <c r="P1014" s="93"/>
      <c r="Q1014" s="93"/>
      <c r="R1014" s="93"/>
      <c r="S1014" s="93"/>
      <c r="T1014" s="93"/>
      <c r="U1014" s="93"/>
      <c r="V1014" s="93"/>
      <c r="W1014" s="93"/>
    </row>
    <row r="1015" spans="2:23" s="14" customFormat="1" ht="17.100000000000001" customHeight="1">
      <c r="B1015" s="89"/>
      <c r="C1015" s="90"/>
      <c r="D1015" s="91"/>
      <c r="E1015" s="92"/>
      <c r="F1015" s="89"/>
      <c r="G1015" s="89"/>
      <c r="H1015" s="89"/>
      <c r="I1015" s="89"/>
      <c r="J1015" s="89"/>
      <c r="K1015" s="89"/>
      <c r="L1015" s="93"/>
      <c r="M1015" s="93"/>
      <c r="N1015" s="93"/>
      <c r="O1015" s="93"/>
      <c r="P1015" s="93"/>
      <c r="Q1015" s="93"/>
      <c r="R1015" s="93"/>
      <c r="S1015" s="93"/>
      <c r="T1015" s="93"/>
      <c r="U1015" s="93"/>
      <c r="V1015" s="93"/>
      <c r="W1015" s="93"/>
    </row>
    <row r="1016" spans="2:23" s="14" customFormat="1" ht="17.100000000000001" customHeight="1">
      <c r="B1016" s="89"/>
      <c r="C1016" s="90"/>
      <c r="D1016" s="91"/>
      <c r="E1016" s="92"/>
      <c r="F1016" s="89"/>
      <c r="G1016" s="89"/>
      <c r="H1016" s="89"/>
      <c r="I1016" s="89"/>
      <c r="J1016" s="89"/>
      <c r="K1016" s="89"/>
      <c r="L1016" s="93"/>
      <c r="M1016" s="93"/>
      <c r="N1016" s="93"/>
      <c r="O1016" s="93"/>
      <c r="P1016" s="93"/>
      <c r="Q1016" s="93"/>
      <c r="R1016" s="93"/>
      <c r="S1016" s="93"/>
      <c r="T1016" s="93"/>
      <c r="U1016" s="93"/>
      <c r="V1016" s="93"/>
      <c r="W1016" s="93"/>
    </row>
    <row r="1017" spans="2:23" s="14" customFormat="1" ht="17.100000000000001" customHeight="1">
      <c r="B1017" s="89"/>
      <c r="C1017" s="90"/>
      <c r="D1017" s="91"/>
      <c r="E1017" s="92"/>
      <c r="F1017" s="89"/>
      <c r="G1017" s="89"/>
      <c r="H1017" s="89"/>
      <c r="I1017" s="89"/>
      <c r="J1017" s="89"/>
      <c r="K1017" s="89"/>
      <c r="L1017" s="93"/>
      <c r="M1017" s="93"/>
      <c r="N1017" s="93"/>
      <c r="O1017" s="93"/>
      <c r="P1017" s="93"/>
      <c r="Q1017" s="93"/>
      <c r="R1017" s="93"/>
      <c r="S1017" s="93"/>
      <c r="T1017" s="93"/>
      <c r="U1017" s="93"/>
      <c r="V1017" s="93"/>
      <c r="W1017" s="93"/>
    </row>
    <row r="1018" spans="2:23" s="14" customFormat="1" ht="17.100000000000001" customHeight="1">
      <c r="B1018" s="89"/>
      <c r="C1018" s="90"/>
      <c r="D1018" s="91"/>
      <c r="E1018" s="92"/>
      <c r="F1018" s="89"/>
      <c r="G1018" s="89"/>
      <c r="H1018" s="89"/>
      <c r="I1018" s="89"/>
      <c r="J1018" s="89"/>
      <c r="K1018" s="89"/>
      <c r="L1018" s="93"/>
      <c r="M1018" s="93"/>
      <c r="N1018" s="93"/>
      <c r="O1018" s="93"/>
      <c r="P1018" s="93"/>
      <c r="Q1018" s="93"/>
      <c r="R1018" s="93"/>
      <c r="S1018" s="93"/>
      <c r="T1018" s="93"/>
      <c r="U1018" s="93"/>
      <c r="V1018" s="93"/>
      <c r="W1018" s="93"/>
    </row>
    <row r="1019" spans="2:23" s="14" customFormat="1" ht="17.100000000000001" customHeight="1">
      <c r="B1019" s="89"/>
      <c r="C1019" s="90"/>
      <c r="D1019" s="91"/>
      <c r="E1019" s="92"/>
      <c r="F1019" s="89"/>
      <c r="G1019" s="89"/>
      <c r="H1019" s="89"/>
      <c r="I1019" s="89"/>
      <c r="J1019" s="89"/>
      <c r="K1019" s="89"/>
      <c r="L1019" s="93"/>
      <c r="M1019" s="93"/>
      <c r="N1019" s="93"/>
      <c r="O1019" s="93"/>
      <c r="P1019" s="93"/>
      <c r="Q1019" s="93"/>
      <c r="R1019" s="93"/>
      <c r="S1019" s="93"/>
      <c r="T1019" s="93"/>
      <c r="U1019" s="93"/>
      <c r="V1019" s="93"/>
      <c r="W1019" s="93"/>
    </row>
    <row r="1020" spans="2:23" s="14" customFormat="1" ht="17.100000000000001" customHeight="1">
      <c r="B1020" s="89"/>
      <c r="C1020" s="90"/>
      <c r="D1020" s="91"/>
      <c r="E1020" s="92"/>
      <c r="F1020" s="89"/>
      <c r="G1020" s="89"/>
      <c r="H1020" s="89"/>
      <c r="I1020" s="89"/>
      <c r="J1020" s="89"/>
      <c r="K1020" s="89"/>
      <c r="L1020" s="93"/>
      <c r="M1020" s="93"/>
      <c r="N1020" s="93"/>
      <c r="O1020" s="93"/>
      <c r="P1020" s="93"/>
      <c r="Q1020" s="93"/>
      <c r="R1020" s="93"/>
      <c r="S1020" s="93"/>
      <c r="T1020" s="93"/>
      <c r="U1020" s="93"/>
      <c r="V1020" s="93"/>
      <c r="W1020" s="93"/>
    </row>
    <row r="1021" spans="2:23" s="14" customFormat="1" ht="17.100000000000001" customHeight="1">
      <c r="B1021" s="89"/>
      <c r="C1021" s="90"/>
      <c r="D1021" s="91"/>
      <c r="E1021" s="92"/>
      <c r="F1021" s="89"/>
      <c r="G1021" s="89"/>
      <c r="H1021" s="89"/>
      <c r="I1021" s="89"/>
      <c r="J1021" s="89"/>
      <c r="K1021" s="89"/>
      <c r="L1021" s="93"/>
      <c r="M1021" s="93"/>
      <c r="N1021" s="93"/>
      <c r="O1021" s="93"/>
      <c r="P1021" s="93"/>
      <c r="Q1021" s="93"/>
      <c r="R1021" s="93"/>
      <c r="S1021" s="93"/>
      <c r="T1021" s="93"/>
      <c r="U1021" s="93"/>
      <c r="V1021" s="93"/>
      <c r="W1021" s="93"/>
    </row>
    <row r="1022" spans="2:23" s="14" customFormat="1" ht="17.100000000000001" customHeight="1">
      <c r="B1022" s="89"/>
      <c r="C1022" s="90"/>
      <c r="D1022" s="91"/>
      <c r="E1022" s="92"/>
      <c r="F1022" s="89"/>
      <c r="G1022" s="89"/>
      <c r="H1022" s="89"/>
      <c r="I1022" s="89"/>
      <c r="J1022" s="89"/>
      <c r="K1022" s="89"/>
      <c r="L1022" s="93"/>
      <c r="M1022" s="93"/>
      <c r="N1022" s="93"/>
      <c r="O1022" s="93"/>
      <c r="P1022" s="93"/>
      <c r="Q1022" s="93"/>
      <c r="R1022" s="93"/>
      <c r="S1022" s="93"/>
      <c r="T1022" s="93"/>
      <c r="U1022" s="93"/>
      <c r="V1022" s="93"/>
      <c r="W1022" s="93"/>
    </row>
    <row r="1023" spans="2:23" s="14" customFormat="1" ht="17.100000000000001" customHeight="1">
      <c r="B1023" s="89"/>
      <c r="C1023" s="90"/>
      <c r="D1023" s="91"/>
      <c r="E1023" s="92"/>
      <c r="F1023" s="89"/>
      <c r="G1023" s="89"/>
      <c r="H1023" s="89"/>
      <c r="I1023" s="89"/>
      <c r="J1023" s="89"/>
      <c r="K1023" s="89"/>
      <c r="L1023" s="93"/>
      <c r="M1023" s="93"/>
      <c r="N1023" s="93"/>
      <c r="O1023" s="93"/>
      <c r="P1023" s="93"/>
      <c r="Q1023" s="93"/>
      <c r="R1023" s="93"/>
      <c r="S1023" s="93"/>
      <c r="T1023" s="93"/>
      <c r="U1023" s="93"/>
      <c r="V1023" s="93"/>
      <c r="W1023" s="93"/>
    </row>
    <row r="1024" spans="2:23" s="14" customFormat="1" ht="17.100000000000001" customHeight="1">
      <c r="B1024" s="89"/>
      <c r="C1024" s="90"/>
      <c r="D1024" s="91"/>
      <c r="E1024" s="92"/>
      <c r="F1024" s="89"/>
      <c r="G1024" s="89"/>
      <c r="H1024" s="89"/>
      <c r="I1024" s="89"/>
      <c r="J1024" s="89"/>
      <c r="K1024" s="89"/>
      <c r="L1024" s="93"/>
      <c r="M1024" s="93"/>
      <c r="N1024" s="93"/>
      <c r="O1024" s="93"/>
      <c r="P1024" s="93"/>
      <c r="Q1024" s="93"/>
      <c r="R1024" s="93"/>
      <c r="S1024" s="93"/>
      <c r="T1024" s="93"/>
      <c r="U1024" s="93"/>
      <c r="V1024" s="93"/>
      <c r="W1024" s="93"/>
    </row>
    <row r="1025" spans="2:23" s="14" customFormat="1" ht="17.100000000000001" customHeight="1">
      <c r="B1025" s="89"/>
      <c r="C1025" s="90"/>
      <c r="D1025" s="91"/>
      <c r="E1025" s="92"/>
      <c r="F1025" s="89"/>
      <c r="G1025" s="89"/>
      <c r="H1025" s="89"/>
      <c r="I1025" s="89"/>
      <c r="J1025" s="89"/>
      <c r="K1025" s="89"/>
      <c r="L1025" s="93"/>
      <c r="M1025" s="93"/>
      <c r="N1025" s="93"/>
      <c r="O1025" s="93"/>
      <c r="P1025" s="93"/>
      <c r="Q1025" s="93"/>
      <c r="R1025" s="93"/>
      <c r="S1025" s="93"/>
      <c r="T1025" s="93"/>
      <c r="U1025" s="93"/>
      <c r="V1025" s="93"/>
      <c r="W1025" s="93"/>
    </row>
    <row r="1026" spans="2:23" s="14" customFormat="1" ht="17.100000000000001" customHeight="1">
      <c r="B1026" s="89"/>
      <c r="C1026" s="90"/>
      <c r="D1026" s="91"/>
      <c r="E1026" s="92"/>
      <c r="F1026" s="89"/>
      <c r="G1026" s="89"/>
      <c r="H1026" s="89"/>
      <c r="I1026" s="89"/>
      <c r="J1026" s="89"/>
      <c r="K1026" s="89"/>
      <c r="L1026" s="93"/>
      <c r="M1026" s="93"/>
      <c r="N1026" s="93"/>
      <c r="O1026" s="93"/>
      <c r="P1026" s="93"/>
      <c r="Q1026" s="93"/>
      <c r="R1026" s="93"/>
      <c r="S1026" s="93"/>
      <c r="T1026" s="93"/>
      <c r="U1026" s="93"/>
      <c r="V1026" s="93"/>
      <c r="W1026" s="93"/>
    </row>
    <row r="1027" spans="2:23" s="14" customFormat="1" ht="17.100000000000001" customHeight="1">
      <c r="B1027" s="89"/>
      <c r="C1027" s="90"/>
      <c r="D1027" s="91"/>
      <c r="E1027" s="92"/>
      <c r="F1027" s="89"/>
      <c r="G1027" s="89"/>
      <c r="H1027" s="89"/>
      <c r="I1027" s="89"/>
      <c r="J1027" s="89"/>
      <c r="K1027" s="89"/>
      <c r="L1027" s="93"/>
      <c r="M1027" s="93"/>
      <c r="N1027" s="93"/>
      <c r="O1027" s="93"/>
      <c r="P1027" s="93"/>
      <c r="Q1027" s="93"/>
      <c r="R1027" s="93"/>
      <c r="S1027" s="93"/>
      <c r="T1027" s="93"/>
      <c r="U1027" s="93"/>
      <c r="V1027" s="93"/>
      <c r="W1027" s="93"/>
    </row>
    <row r="1028" spans="2:23" s="14" customFormat="1" ht="17.100000000000001" customHeight="1">
      <c r="B1028" s="89"/>
      <c r="C1028" s="90"/>
      <c r="D1028" s="91"/>
      <c r="E1028" s="92"/>
      <c r="F1028" s="89"/>
      <c r="G1028" s="89"/>
      <c r="H1028" s="89"/>
      <c r="I1028" s="89"/>
      <c r="J1028" s="89"/>
      <c r="K1028" s="89"/>
      <c r="L1028" s="93"/>
      <c r="M1028" s="93"/>
      <c r="N1028" s="93"/>
      <c r="O1028" s="93"/>
      <c r="P1028" s="93"/>
      <c r="Q1028" s="93"/>
      <c r="R1028" s="93"/>
      <c r="S1028" s="93"/>
      <c r="T1028" s="93"/>
      <c r="U1028" s="93"/>
      <c r="V1028" s="93"/>
      <c r="W1028" s="93"/>
    </row>
    <row r="1029" spans="2:23" s="14" customFormat="1" ht="17.100000000000001" customHeight="1">
      <c r="B1029" s="89"/>
      <c r="C1029" s="90"/>
      <c r="D1029" s="91"/>
      <c r="E1029" s="92"/>
      <c r="F1029" s="89"/>
      <c r="G1029" s="89"/>
      <c r="H1029" s="89"/>
      <c r="I1029" s="89"/>
      <c r="J1029" s="89"/>
      <c r="K1029" s="89"/>
      <c r="L1029" s="93"/>
      <c r="M1029" s="93"/>
      <c r="N1029" s="93"/>
      <c r="O1029" s="93"/>
      <c r="P1029" s="93"/>
      <c r="Q1029" s="93"/>
      <c r="R1029" s="93"/>
      <c r="S1029" s="93"/>
      <c r="T1029" s="93"/>
      <c r="U1029" s="93"/>
      <c r="V1029" s="93"/>
      <c r="W1029" s="93"/>
    </row>
    <row r="1030" spans="2:23" s="14" customFormat="1" ht="17.100000000000001" customHeight="1">
      <c r="B1030" s="89"/>
      <c r="C1030" s="90"/>
      <c r="D1030" s="91"/>
      <c r="E1030" s="92"/>
      <c r="F1030" s="89"/>
      <c r="G1030" s="89"/>
      <c r="H1030" s="89"/>
      <c r="I1030" s="89"/>
      <c r="J1030" s="89"/>
      <c r="K1030" s="89"/>
      <c r="L1030" s="93"/>
      <c r="M1030" s="93"/>
      <c r="N1030" s="93"/>
      <c r="O1030" s="93"/>
      <c r="P1030" s="93"/>
      <c r="Q1030" s="93"/>
      <c r="R1030" s="93"/>
      <c r="S1030" s="93"/>
      <c r="T1030" s="93"/>
      <c r="U1030" s="93"/>
      <c r="V1030" s="93"/>
      <c r="W1030" s="93"/>
    </row>
    <row r="1031" spans="2:23" s="14" customFormat="1" ht="17.100000000000001" customHeight="1">
      <c r="B1031" s="89"/>
      <c r="C1031" s="90"/>
      <c r="D1031" s="91"/>
      <c r="E1031" s="92"/>
      <c r="F1031" s="89"/>
      <c r="G1031" s="89"/>
      <c r="H1031" s="89"/>
      <c r="I1031" s="89"/>
      <c r="J1031" s="89"/>
      <c r="K1031" s="89"/>
      <c r="L1031" s="93"/>
      <c r="M1031" s="93"/>
      <c r="N1031" s="93"/>
      <c r="O1031" s="93"/>
      <c r="P1031" s="93"/>
      <c r="Q1031" s="93"/>
      <c r="R1031" s="93"/>
      <c r="S1031" s="93"/>
      <c r="T1031" s="93"/>
      <c r="U1031" s="93"/>
      <c r="V1031" s="93"/>
      <c r="W1031" s="93"/>
    </row>
    <row r="1032" spans="2:23" s="14" customFormat="1" ht="17.100000000000001" customHeight="1">
      <c r="B1032" s="89"/>
      <c r="C1032" s="90"/>
      <c r="D1032" s="91"/>
      <c r="E1032" s="92"/>
      <c r="F1032" s="89"/>
      <c r="G1032" s="89"/>
      <c r="H1032" s="89"/>
      <c r="I1032" s="89"/>
      <c r="J1032" s="89"/>
      <c r="K1032" s="89"/>
      <c r="L1032" s="93"/>
      <c r="M1032" s="93"/>
      <c r="N1032" s="93"/>
      <c r="O1032" s="93"/>
      <c r="P1032" s="93"/>
      <c r="Q1032" s="93"/>
      <c r="R1032" s="93"/>
      <c r="S1032" s="93"/>
      <c r="T1032" s="93"/>
      <c r="U1032" s="93"/>
      <c r="V1032" s="93"/>
      <c r="W1032" s="93"/>
    </row>
    <row r="1033" spans="2:23" s="14" customFormat="1" ht="17.100000000000001" customHeight="1">
      <c r="B1033" s="89"/>
      <c r="C1033" s="90"/>
      <c r="D1033" s="91"/>
      <c r="E1033" s="92"/>
      <c r="F1033" s="89"/>
      <c r="G1033" s="89"/>
      <c r="H1033" s="89"/>
      <c r="I1033" s="89"/>
      <c r="J1033" s="89"/>
      <c r="K1033" s="89"/>
      <c r="L1033" s="93"/>
      <c r="M1033" s="93"/>
      <c r="N1033" s="93"/>
      <c r="O1033" s="93"/>
      <c r="P1033" s="93"/>
      <c r="Q1033" s="93"/>
      <c r="R1033" s="93"/>
      <c r="S1033" s="93"/>
      <c r="T1033" s="93"/>
      <c r="U1033" s="93"/>
      <c r="V1033" s="93"/>
      <c r="W1033" s="93"/>
    </row>
    <row r="1034" spans="2:23" s="14" customFormat="1" ht="17.100000000000001" customHeight="1">
      <c r="B1034" s="89"/>
      <c r="C1034" s="90"/>
      <c r="D1034" s="91"/>
      <c r="E1034" s="92"/>
      <c r="F1034" s="89"/>
      <c r="G1034" s="89"/>
      <c r="H1034" s="89"/>
      <c r="I1034" s="89"/>
      <c r="J1034" s="89"/>
      <c r="K1034" s="89"/>
      <c r="L1034" s="93"/>
      <c r="M1034" s="93"/>
      <c r="N1034" s="93"/>
      <c r="O1034" s="93"/>
      <c r="P1034" s="93"/>
      <c r="Q1034" s="93"/>
      <c r="R1034" s="93"/>
      <c r="S1034" s="93"/>
      <c r="T1034" s="93"/>
      <c r="U1034" s="93"/>
      <c r="V1034" s="93"/>
      <c r="W1034" s="93"/>
    </row>
    <row r="1035" spans="2:23" s="14" customFormat="1" ht="17.100000000000001" customHeight="1">
      <c r="B1035" s="89"/>
      <c r="C1035" s="90"/>
      <c r="D1035" s="91"/>
      <c r="E1035" s="92"/>
      <c r="F1035" s="89"/>
      <c r="G1035" s="89"/>
      <c r="H1035" s="89"/>
      <c r="I1035" s="89"/>
      <c r="J1035" s="89"/>
      <c r="K1035" s="89"/>
      <c r="L1035" s="93"/>
      <c r="M1035" s="93"/>
      <c r="N1035" s="93"/>
      <c r="O1035" s="93"/>
      <c r="P1035" s="93"/>
      <c r="Q1035" s="93"/>
      <c r="R1035" s="93"/>
      <c r="S1035" s="93"/>
      <c r="T1035" s="93"/>
      <c r="U1035" s="93"/>
      <c r="V1035" s="93"/>
      <c r="W1035" s="93"/>
    </row>
    <row r="1036" spans="2:23" s="14" customFormat="1" ht="17.100000000000001" customHeight="1">
      <c r="B1036" s="89"/>
      <c r="C1036" s="90"/>
      <c r="D1036" s="91"/>
      <c r="E1036" s="92"/>
      <c r="F1036" s="89"/>
      <c r="G1036" s="89"/>
      <c r="H1036" s="89"/>
      <c r="I1036" s="89"/>
      <c r="J1036" s="89"/>
      <c r="K1036" s="89"/>
      <c r="L1036" s="93"/>
      <c r="M1036" s="93"/>
      <c r="N1036" s="93"/>
      <c r="O1036" s="93"/>
      <c r="P1036" s="93"/>
      <c r="Q1036" s="93"/>
      <c r="R1036" s="93"/>
      <c r="S1036" s="93"/>
      <c r="T1036" s="93"/>
      <c r="U1036" s="93"/>
      <c r="V1036" s="93"/>
      <c r="W1036" s="93"/>
    </row>
    <row r="1037" spans="2:23" s="14" customFormat="1" ht="17.100000000000001" customHeight="1">
      <c r="B1037" s="89"/>
      <c r="C1037" s="90"/>
      <c r="D1037" s="91"/>
      <c r="E1037" s="92"/>
      <c r="F1037" s="89"/>
      <c r="G1037" s="89"/>
      <c r="H1037" s="89"/>
      <c r="I1037" s="89"/>
      <c r="J1037" s="89"/>
      <c r="K1037" s="89"/>
      <c r="L1037" s="93"/>
      <c r="M1037" s="93"/>
      <c r="N1037" s="93"/>
      <c r="O1037" s="93"/>
      <c r="P1037" s="93"/>
      <c r="Q1037" s="93"/>
      <c r="R1037" s="93"/>
      <c r="S1037" s="93"/>
      <c r="T1037" s="93"/>
      <c r="U1037" s="93"/>
      <c r="V1037" s="93"/>
      <c r="W1037" s="93"/>
    </row>
    <row r="1038" spans="2:23" s="14" customFormat="1" ht="17.100000000000001" customHeight="1">
      <c r="B1038" s="89"/>
      <c r="C1038" s="90"/>
      <c r="D1038" s="91"/>
      <c r="E1038" s="92"/>
      <c r="F1038" s="89"/>
      <c r="G1038" s="89"/>
      <c r="H1038" s="89"/>
      <c r="I1038" s="89"/>
      <c r="J1038" s="89"/>
      <c r="K1038" s="89"/>
      <c r="L1038" s="93"/>
      <c r="M1038" s="93"/>
      <c r="N1038" s="93"/>
      <c r="O1038" s="93"/>
      <c r="P1038" s="93"/>
      <c r="Q1038" s="93"/>
      <c r="R1038" s="93"/>
      <c r="S1038" s="93"/>
      <c r="T1038" s="93"/>
      <c r="U1038" s="93"/>
      <c r="V1038" s="93"/>
      <c r="W1038" s="93"/>
    </row>
    <row r="1039" spans="2:23" s="14" customFormat="1" ht="17.100000000000001" customHeight="1">
      <c r="B1039" s="89"/>
      <c r="C1039" s="90"/>
      <c r="D1039" s="91"/>
      <c r="E1039" s="92"/>
      <c r="F1039" s="89"/>
      <c r="G1039" s="89"/>
      <c r="H1039" s="89"/>
      <c r="I1039" s="89"/>
      <c r="J1039" s="89"/>
      <c r="K1039" s="89"/>
      <c r="L1039" s="93"/>
      <c r="M1039" s="93"/>
      <c r="N1039" s="93"/>
      <c r="O1039" s="93"/>
      <c r="P1039" s="93"/>
      <c r="Q1039" s="93"/>
      <c r="R1039" s="93"/>
      <c r="S1039" s="93"/>
      <c r="T1039" s="93"/>
      <c r="U1039" s="93"/>
      <c r="V1039" s="93"/>
      <c r="W1039" s="93"/>
    </row>
    <row r="1040" spans="2:23" s="14" customFormat="1" ht="17.100000000000001" customHeight="1">
      <c r="B1040" s="89"/>
      <c r="C1040" s="90"/>
      <c r="D1040" s="91"/>
      <c r="E1040" s="92"/>
      <c r="F1040" s="89"/>
      <c r="G1040" s="89"/>
      <c r="H1040" s="89"/>
      <c r="I1040" s="89"/>
      <c r="J1040" s="89"/>
      <c r="K1040" s="89"/>
      <c r="L1040" s="93"/>
      <c r="M1040" s="93"/>
      <c r="N1040" s="93"/>
      <c r="O1040" s="93"/>
      <c r="P1040" s="93"/>
      <c r="Q1040" s="93"/>
      <c r="R1040" s="93"/>
      <c r="S1040" s="93"/>
      <c r="T1040" s="93"/>
      <c r="U1040" s="93"/>
      <c r="V1040" s="93"/>
      <c r="W1040" s="93"/>
    </row>
  </sheetData>
  <dataConsolidate/>
  <mergeCells count="3">
    <mergeCell ref="C5:E5"/>
    <mergeCell ref="F5:K6"/>
    <mergeCell ref="C6:E6"/>
  </mergeCells>
  <phoneticPr fontId="31" type="noConversion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5953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54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161925</xdr:rowOff>
                  </from>
                  <to>
                    <xdr:col>4</xdr:col>
                    <xdr:colOff>9525</xdr:colOff>
                    <xdr:row>7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0"/>
  <dimension ref="A1:Y1041"/>
  <sheetViews>
    <sheetView showGridLines="0" zoomScaleNormal="100" workbookViewId="0">
      <selection activeCell="C29" sqref="C29"/>
    </sheetView>
  </sheetViews>
  <sheetFormatPr defaultColWidth="9.140625" defaultRowHeight="17.100000000000001" customHeight="1"/>
  <cols>
    <col min="1" max="1" width="4.42578125" style="2" customWidth="1"/>
    <col min="2" max="2" width="25.7109375" style="4" bestFit="1" customWidth="1"/>
    <col min="3" max="3" width="19.7109375" style="44" customWidth="1"/>
    <col min="4" max="4" width="10.7109375" style="39" customWidth="1"/>
    <col min="5" max="5" width="7" style="35" customWidth="1"/>
    <col min="6" max="7" width="7.7109375" style="4" customWidth="1"/>
    <col min="8" max="8" width="8.7109375" style="4" customWidth="1"/>
    <col min="9" max="9" width="7.7109375" style="4" customWidth="1"/>
    <col min="10" max="10" width="6.7109375" style="4" customWidth="1"/>
    <col min="11" max="11" width="48.5703125" style="4" customWidth="1"/>
    <col min="12" max="12" width="12.28515625" style="2" bestFit="1" customWidth="1"/>
    <col min="13" max="13" width="14.140625" style="2" bestFit="1" customWidth="1"/>
    <col min="14" max="16384" width="9.140625" style="2"/>
  </cols>
  <sheetData>
    <row r="1" spans="1:15" s="29" customFormat="1" ht="22.5" customHeight="1" thickBot="1">
      <c r="A1" s="97" t="s">
        <v>539</v>
      </c>
      <c r="B1" s="98"/>
      <c r="C1" s="99"/>
      <c r="D1" s="100"/>
      <c r="E1" s="101"/>
      <c r="F1" s="102" t="s">
        <v>543</v>
      </c>
      <c r="G1" s="103"/>
      <c r="H1" s="103"/>
      <c r="I1" s="104" t="s">
        <v>540</v>
      </c>
      <c r="J1" s="105"/>
      <c r="K1" s="106" t="s">
        <v>590</v>
      </c>
      <c r="L1" s="45"/>
      <c r="M1" s="46"/>
      <c r="N1" s="47"/>
    </row>
    <row r="2" spans="1:15" s="29" customFormat="1" ht="17.100000000000001" customHeight="1" thickBot="1">
      <c r="A2" s="107" t="s">
        <v>592</v>
      </c>
      <c r="B2" s="108"/>
      <c r="C2" s="109" t="s">
        <v>541</v>
      </c>
      <c r="D2" s="110"/>
      <c r="E2" s="111"/>
      <c r="F2" s="112"/>
      <c r="G2" s="112"/>
      <c r="H2" s="112"/>
      <c r="I2" s="112"/>
      <c r="J2" s="113"/>
      <c r="K2" s="114" t="s">
        <v>542</v>
      </c>
      <c r="L2" s="48"/>
      <c r="M2" s="49" t="s">
        <v>21</v>
      </c>
      <c r="N2" s="50"/>
    </row>
    <row r="3" spans="1:1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51" t="s">
        <v>22</v>
      </c>
      <c r="M3" s="49" t="s">
        <v>23</v>
      </c>
      <c r="N3" s="52"/>
      <c r="O3" s="18"/>
    </row>
    <row r="4" spans="1:15" s="8" customFormat="1" ht="15">
      <c r="A4" s="19" t="s">
        <v>0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9" t="s">
        <v>24</v>
      </c>
      <c r="M4" s="53" t="s">
        <v>25</v>
      </c>
      <c r="N4" s="54">
        <f>N2*N3</f>
        <v>0</v>
      </c>
    </row>
    <row r="5" spans="1:15" s="8" customFormat="1" ht="13.5">
      <c r="A5" s="19" t="s">
        <v>41</v>
      </c>
      <c r="B5" s="9"/>
      <c r="C5" s="158" t="s">
        <v>629</v>
      </c>
      <c r="D5" s="159"/>
      <c r="E5" s="160"/>
      <c r="F5" s="161"/>
      <c r="G5" s="162"/>
      <c r="H5" s="162"/>
      <c r="I5" s="162"/>
      <c r="J5" s="162"/>
      <c r="K5" s="163"/>
      <c r="L5" s="51" t="s">
        <v>26</v>
      </c>
      <c r="M5" s="53" t="s">
        <v>23</v>
      </c>
      <c r="N5" s="54"/>
    </row>
    <row r="6" spans="1:15" s="8" customFormat="1" ht="13.5">
      <c r="A6" s="19" t="s">
        <v>19</v>
      </c>
      <c r="B6" s="9"/>
      <c r="C6" s="158" t="s">
        <v>631</v>
      </c>
      <c r="D6" s="159"/>
      <c r="E6" s="160"/>
      <c r="F6" s="164"/>
      <c r="G6" s="165"/>
      <c r="H6" s="165"/>
      <c r="I6" s="165"/>
      <c r="J6" s="165"/>
      <c r="K6" s="166"/>
      <c r="L6" s="49" t="s">
        <v>24</v>
      </c>
      <c r="M6" s="53" t="s">
        <v>25</v>
      </c>
      <c r="N6" s="54">
        <f>N2*N5</f>
        <v>0</v>
      </c>
    </row>
    <row r="7" spans="1:15" s="8" customFormat="1" ht="13.5">
      <c r="A7" s="10"/>
      <c r="B7" s="20" t="s">
        <v>2</v>
      </c>
      <c r="C7" s="42" t="s">
        <v>619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</row>
    <row r="8" spans="1:1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</row>
    <row r="9" spans="1:15" ht="11.25">
      <c r="A9" s="69">
        <v>1</v>
      </c>
      <c r="B9" s="68" t="s">
        <v>648</v>
      </c>
      <c r="C9" s="69" t="s">
        <v>519</v>
      </c>
      <c r="D9" s="69" t="s">
        <v>531</v>
      </c>
      <c r="E9" s="69">
        <v>10</v>
      </c>
      <c r="F9" s="69" t="s">
        <v>585</v>
      </c>
      <c r="G9" s="69" t="s">
        <v>586</v>
      </c>
      <c r="H9" s="69"/>
      <c r="I9" s="69"/>
      <c r="J9" s="69"/>
      <c r="K9" s="69"/>
    </row>
    <row r="10" spans="1:15" ht="11.25">
      <c r="A10" s="69">
        <v>2</v>
      </c>
      <c r="B10" s="68" t="s">
        <v>649</v>
      </c>
      <c r="C10" s="69" t="s">
        <v>647</v>
      </c>
      <c r="D10" s="69" t="s">
        <v>531</v>
      </c>
      <c r="E10" s="69">
        <v>200</v>
      </c>
      <c r="F10" s="69"/>
      <c r="G10" s="69"/>
      <c r="H10" s="69"/>
      <c r="I10" s="69"/>
      <c r="J10" s="69"/>
      <c r="K10" s="69"/>
    </row>
    <row r="11" spans="1:15" ht="11.25">
      <c r="A11" s="69">
        <v>3</v>
      </c>
      <c r="B11" s="68" t="s">
        <v>703</v>
      </c>
      <c r="C11" s="70" t="s">
        <v>702</v>
      </c>
      <c r="D11" s="71" t="s">
        <v>704</v>
      </c>
      <c r="E11" s="71">
        <v>1</v>
      </c>
      <c r="F11" s="72"/>
      <c r="G11" s="69"/>
      <c r="H11" s="71"/>
      <c r="I11" s="71"/>
      <c r="J11" s="71"/>
      <c r="K11" s="70" t="s">
        <v>705</v>
      </c>
      <c r="L11" s="8"/>
      <c r="M11" s="14"/>
      <c r="N11" s="15"/>
    </row>
    <row r="12" spans="1:15" ht="11.25">
      <c r="A12" s="69"/>
      <c r="B12" s="68"/>
      <c r="C12" s="70"/>
      <c r="D12" s="71"/>
      <c r="E12" s="71"/>
      <c r="F12" s="72"/>
      <c r="G12" s="69"/>
      <c r="H12" s="71"/>
      <c r="I12" s="71"/>
      <c r="J12" s="71"/>
      <c r="K12" s="70"/>
      <c r="L12" s="8"/>
    </row>
    <row r="13" spans="1:15" ht="11.25">
      <c r="A13" s="69"/>
      <c r="B13" s="68"/>
      <c r="C13" s="70"/>
      <c r="D13" s="71"/>
      <c r="E13" s="71"/>
      <c r="F13" s="73"/>
      <c r="G13" s="69"/>
      <c r="H13" s="71"/>
      <c r="I13" s="71"/>
      <c r="J13" s="71"/>
      <c r="K13" s="70"/>
      <c r="L13" s="8"/>
      <c r="M13" s="14"/>
      <c r="N13" s="15"/>
    </row>
    <row r="14" spans="1:15" ht="11.25">
      <c r="A14" s="69"/>
      <c r="B14" s="68"/>
      <c r="C14" s="70"/>
      <c r="D14" s="69"/>
      <c r="E14" s="71"/>
      <c r="F14" s="73"/>
      <c r="G14" s="69"/>
      <c r="H14" s="71"/>
      <c r="I14" s="71"/>
      <c r="J14" s="71"/>
      <c r="K14" s="70"/>
      <c r="L14" s="8"/>
      <c r="M14" s="3"/>
      <c r="N14" s="1"/>
    </row>
    <row r="15" spans="1:15" ht="11.25">
      <c r="A15" s="69"/>
      <c r="B15" s="68"/>
      <c r="C15" s="70"/>
      <c r="D15" s="69"/>
      <c r="E15" s="69"/>
      <c r="F15" s="69"/>
      <c r="G15" s="69"/>
      <c r="H15" s="69"/>
      <c r="I15" s="69"/>
      <c r="J15" s="69"/>
      <c r="K15" s="74"/>
      <c r="L15" s="8"/>
    </row>
    <row r="16" spans="1:15" ht="11.25">
      <c r="A16" s="69"/>
      <c r="B16" s="68"/>
      <c r="C16" s="70"/>
      <c r="D16" s="69"/>
      <c r="E16" s="69"/>
      <c r="F16" s="69"/>
      <c r="G16" s="69"/>
      <c r="H16" s="69"/>
      <c r="I16" s="69"/>
      <c r="J16" s="69"/>
      <c r="K16" s="74"/>
      <c r="L16" s="8"/>
    </row>
    <row r="17" spans="1:12" ht="11.25">
      <c r="A17" s="69"/>
      <c r="B17" s="68"/>
      <c r="C17" s="70"/>
      <c r="D17" s="69"/>
      <c r="E17" s="69"/>
      <c r="F17" s="69"/>
      <c r="G17" s="69"/>
      <c r="H17" s="69"/>
      <c r="I17" s="69"/>
      <c r="J17" s="69"/>
      <c r="K17" s="74"/>
      <c r="L17" s="8"/>
    </row>
    <row r="18" spans="1:12" ht="11.25">
      <c r="A18" s="69"/>
      <c r="B18" s="68"/>
      <c r="C18" s="70"/>
      <c r="D18" s="69"/>
      <c r="E18" s="69"/>
      <c r="F18" s="69"/>
      <c r="G18" s="69"/>
      <c r="H18" s="69"/>
      <c r="I18" s="69"/>
      <c r="J18" s="69"/>
      <c r="K18" s="74"/>
      <c r="L18" s="8"/>
    </row>
    <row r="19" spans="1:12" ht="11.25">
      <c r="A19" s="69"/>
      <c r="B19" s="68"/>
      <c r="C19" s="70"/>
      <c r="D19" s="69"/>
      <c r="E19" s="69"/>
      <c r="F19" s="69"/>
      <c r="G19" s="69"/>
      <c r="H19" s="69"/>
      <c r="I19" s="69"/>
      <c r="J19" s="69"/>
      <c r="K19" s="74"/>
      <c r="L19" s="8"/>
    </row>
    <row r="20" spans="1:12" ht="11.25">
      <c r="A20" s="69"/>
      <c r="B20" s="68"/>
      <c r="C20" s="70"/>
      <c r="D20" s="69"/>
      <c r="E20" s="69"/>
      <c r="F20" s="69"/>
      <c r="G20" s="69"/>
      <c r="H20" s="69"/>
      <c r="I20" s="69"/>
      <c r="J20" s="69"/>
      <c r="K20" s="74"/>
      <c r="L20" s="8"/>
    </row>
    <row r="21" spans="1:12" ht="11.25">
      <c r="A21" s="69"/>
      <c r="B21" s="68"/>
      <c r="C21" s="70"/>
      <c r="D21" s="69"/>
      <c r="E21" s="69"/>
      <c r="F21" s="69"/>
      <c r="G21" s="69"/>
      <c r="H21" s="69"/>
      <c r="I21" s="69"/>
      <c r="J21" s="69"/>
      <c r="K21" s="74"/>
      <c r="L21" s="8"/>
    </row>
    <row r="22" spans="1:12" ht="11.25">
      <c r="A22" s="69"/>
      <c r="B22" s="68"/>
      <c r="C22" s="70"/>
      <c r="D22" s="69"/>
      <c r="E22" s="69"/>
      <c r="F22" s="69"/>
      <c r="G22" s="69"/>
      <c r="H22" s="69"/>
      <c r="I22" s="69"/>
      <c r="J22" s="69"/>
      <c r="K22" s="74"/>
      <c r="L22" s="8"/>
    </row>
    <row r="23" spans="1:12" ht="11.25">
      <c r="A23" s="69"/>
      <c r="B23" s="68"/>
      <c r="C23" s="70"/>
      <c r="D23" s="69"/>
      <c r="E23" s="69"/>
      <c r="F23" s="69"/>
      <c r="G23" s="69"/>
      <c r="H23" s="69"/>
      <c r="I23" s="69"/>
      <c r="J23" s="69"/>
      <c r="K23" s="74"/>
      <c r="L23" s="8"/>
    </row>
    <row r="24" spans="1:12" ht="11.25">
      <c r="A24" s="69"/>
      <c r="B24" s="69"/>
      <c r="C24" s="70"/>
      <c r="D24" s="69"/>
      <c r="E24" s="69"/>
      <c r="F24" s="69"/>
      <c r="G24" s="69"/>
      <c r="H24" s="69"/>
      <c r="I24" s="69"/>
      <c r="J24" s="69"/>
      <c r="K24" s="74"/>
      <c r="L24" s="8"/>
    </row>
    <row r="25" spans="1:12" ht="11.25">
      <c r="A25" s="69"/>
      <c r="B25" s="69"/>
      <c r="C25" s="70"/>
      <c r="D25" s="69"/>
      <c r="E25" s="69"/>
      <c r="F25" s="69"/>
      <c r="G25" s="69"/>
      <c r="H25" s="69"/>
      <c r="I25" s="69"/>
      <c r="J25" s="69"/>
      <c r="K25" s="74"/>
      <c r="L25" s="8"/>
    </row>
    <row r="26" spans="1:12" ht="11.25">
      <c r="A26" s="69"/>
      <c r="B26" s="75"/>
      <c r="C26" s="76"/>
      <c r="D26" s="76"/>
      <c r="E26" s="76"/>
      <c r="F26" s="69"/>
      <c r="G26" s="69"/>
      <c r="H26" s="69"/>
      <c r="I26" s="69"/>
      <c r="J26" s="69"/>
      <c r="K26" s="74"/>
      <c r="L26" s="60"/>
    </row>
    <row r="27" spans="1:12" ht="11.25">
      <c r="A27" s="69"/>
      <c r="B27" s="69"/>
      <c r="C27" s="69"/>
      <c r="D27" s="69"/>
      <c r="E27" s="69"/>
      <c r="F27" s="69"/>
      <c r="G27" s="69"/>
      <c r="H27" s="69"/>
      <c r="I27" s="69"/>
      <c r="J27" s="69"/>
      <c r="K27" s="74"/>
      <c r="L27" s="8"/>
    </row>
    <row r="28" spans="1:12" ht="11.25">
      <c r="A28" s="69"/>
      <c r="B28" s="69"/>
      <c r="C28" s="69"/>
      <c r="D28" s="69"/>
      <c r="E28" s="69"/>
      <c r="F28" s="69"/>
      <c r="G28" s="69"/>
      <c r="H28" s="69"/>
      <c r="I28" s="69"/>
      <c r="J28" s="69"/>
      <c r="K28" s="74"/>
      <c r="L28" s="8"/>
    </row>
    <row r="29" spans="1:12" ht="11.25">
      <c r="A29" s="69"/>
      <c r="B29" s="69"/>
      <c r="C29" s="74"/>
      <c r="D29" s="69"/>
      <c r="E29" s="69"/>
      <c r="F29" s="69"/>
      <c r="G29" s="69"/>
      <c r="H29" s="69"/>
      <c r="I29" s="69"/>
      <c r="J29" s="69"/>
      <c r="K29" s="74"/>
      <c r="L29" s="8"/>
    </row>
    <row r="30" spans="1:12" ht="11.25">
      <c r="A30" s="69"/>
      <c r="B30" s="69"/>
      <c r="C30" s="74"/>
      <c r="D30" s="69"/>
      <c r="E30" s="69"/>
      <c r="F30" s="69"/>
      <c r="G30" s="69"/>
      <c r="H30" s="69"/>
      <c r="I30" s="69"/>
      <c r="J30" s="69"/>
      <c r="K30" s="74"/>
      <c r="L30" s="8"/>
    </row>
    <row r="31" spans="1:12" ht="11.25">
      <c r="A31" s="69"/>
      <c r="B31" s="69"/>
      <c r="C31" s="74"/>
      <c r="D31" s="69"/>
      <c r="E31" s="69"/>
      <c r="F31" s="69"/>
      <c r="G31" s="69"/>
      <c r="H31" s="69"/>
      <c r="I31" s="69"/>
      <c r="J31" s="69"/>
      <c r="K31" s="74"/>
      <c r="L31" s="8"/>
    </row>
    <row r="32" spans="1:12" ht="11.25">
      <c r="A32" s="69"/>
      <c r="B32" s="69"/>
      <c r="C32" s="74"/>
      <c r="D32" s="69"/>
      <c r="E32" s="69"/>
      <c r="F32" s="69"/>
      <c r="G32" s="69"/>
      <c r="H32" s="69"/>
      <c r="I32" s="69"/>
      <c r="J32" s="69"/>
      <c r="K32" s="74"/>
      <c r="L32" s="8"/>
    </row>
    <row r="33" spans="1:25" ht="11.25">
      <c r="A33" s="69"/>
      <c r="B33" s="69"/>
      <c r="C33" s="74"/>
      <c r="D33" s="69"/>
      <c r="E33" s="69"/>
      <c r="F33" s="69"/>
      <c r="G33" s="69"/>
      <c r="H33" s="69"/>
      <c r="I33" s="69"/>
      <c r="J33" s="69"/>
      <c r="K33" s="74"/>
      <c r="L33" s="8"/>
    </row>
    <row r="34" spans="1:25" ht="11.25">
      <c r="A34" s="69"/>
      <c r="B34" s="69"/>
      <c r="C34" s="74"/>
      <c r="D34" s="69"/>
      <c r="E34" s="69"/>
      <c r="F34" s="69"/>
      <c r="G34" s="69"/>
      <c r="H34" s="69"/>
      <c r="I34" s="69"/>
      <c r="J34" s="69"/>
      <c r="K34" s="74"/>
      <c r="L34" s="8"/>
    </row>
    <row r="35" spans="1:25" ht="11.25">
      <c r="A35" s="69"/>
      <c r="B35" s="77"/>
      <c r="C35" s="74"/>
      <c r="D35" s="69"/>
      <c r="E35" s="69"/>
      <c r="F35" s="69"/>
      <c r="G35" s="69"/>
      <c r="H35" s="69"/>
      <c r="I35" s="69"/>
      <c r="J35" s="69"/>
      <c r="K35" s="74"/>
      <c r="L35" s="8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</row>
    <row r="36" spans="1:25" ht="11.25">
      <c r="A36" s="69"/>
      <c r="B36" s="77"/>
      <c r="C36" s="74"/>
      <c r="D36" s="69"/>
      <c r="E36" s="69"/>
      <c r="F36" s="69"/>
      <c r="G36" s="69"/>
      <c r="H36" s="69"/>
      <c r="I36" s="69"/>
      <c r="J36" s="69"/>
      <c r="K36" s="74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</row>
    <row r="37" spans="1:25" ht="11.25">
      <c r="A37" s="69"/>
      <c r="B37" s="77"/>
      <c r="C37" s="74"/>
      <c r="D37" s="69"/>
      <c r="E37" s="69"/>
      <c r="F37" s="69"/>
      <c r="G37" s="69"/>
      <c r="H37" s="69"/>
      <c r="I37" s="69"/>
      <c r="J37" s="69"/>
      <c r="K37" s="74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</row>
    <row r="38" spans="1:25" ht="11.25">
      <c r="A38" s="86"/>
      <c r="B38" s="87"/>
      <c r="C38" s="88"/>
      <c r="D38" s="86"/>
      <c r="E38" s="86"/>
      <c r="F38" s="86"/>
      <c r="G38" s="86"/>
      <c r="H38" s="86"/>
      <c r="I38" s="86"/>
      <c r="J38" s="86"/>
      <c r="K38" s="88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</row>
    <row r="39" spans="1:25" s="85" customFormat="1" ht="234.75" customHeight="1">
      <c r="A39" s="79" t="s">
        <v>587</v>
      </c>
      <c r="B39" s="80"/>
      <c r="C39" s="81"/>
      <c r="D39" s="82"/>
      <c r="E39" s="83"/>
      <c r="F39" s="84"/>
      <c r="G39" s="84"/>
      <c r="H39" s="84"/>
      <c r="I39" s="84"/>
      <c r="J39" s="84"/>
      <c r="K39" s="84"/>
    </row>
    <row r="40" spans="1:25" s="14" customFormat="1" ht="17.100000000000001" customHeight="1">
      <c r="B40" s="136" t="s">
        <v>588</v>
      </c>
      <c r="C40" s="137" t="s">
        <v>524</v>
      </c>
      <c r="D40" s="138" t="s">
        <v>525</v>
      </c>
      <c r="E40" s="139" t="s">
        <v>535</v>
      </c>
      <c r="F40" s="140" t="s">
        <v>526</v>
      </c>
      <c r="G40" s="140" t="s">
        <v>575</v>
      </c>
      <c r="H40" s="96"/>
      <c r="I40" s="96"/>
      <c r="J40" s="96"/>
      <c r="K40" s="96"/>
      <c r="L40" s="95"/>
      <c r="M40" s="95"/>
      <c r="N40" s="95"/>
      <c r="O40" s="95"/>
      <c r="P40" s="95"/>
      <c r="Q40" s="95"/>
      <c r="R40" s="95"/>
      <c r="S40" s="95"/>
      <c r="T40" s="95"/>
      <c r="U40" s="95"/>
      <c r="V40" s="95"/>
      <c r="W40" s="95"/>
    </row>
    <row r="41" spans="1:25" s="14" customFormat="1" ht="17.100000000000001" customHeight="1">
      <c r="B41" s="140" t="s">
        <v>519</v>
      </c>
      <c r="C41" s="137" t="s">
        <v>520</v>
      </c>
      <c r="D41" s="138" t="s">
        <v>521</v>
      </c>
      <c r="E41" s="139" t="s">
        <v>522</v>
      </c>
      <c r="F41" s="140" t="s">
        <v>523</v>
      </c>
      <c r="G41" s="140" t="s">
        <v>527</v>
      </c>
      <c r="H41" s="96"/>
      <c r="I41" s="96"/>
      <c r="J41" s="96"/>
      <c r="K41" s="96"/>
      <c r="L41" s="95"/>
      <c r="M41" s="95"/>
      <c r="N41" s="95"/>
      <c r="O41" s="95"/>
      <c r="P41" s="95"/>
      <c r="Q41" s="95"/>
      <c r="R41" s="95"/>
      <c r="S41" s="95"/>
      <c r="T41" s="95"/>
      <c r="U41" s="95"/>
      <c r="V41" s="95"/>
      <c r="W41" s="95"/>
    </row>
    <row r="42" spans="1:25" s="14" customFormat="1" ht="17.100000000000001" customHeight="1">
      <c r="B42" s="141" t="s">
        <v>576</v>
      </c>
      <c r="C42" s="142" t="s">
        <v>577</v>
      </c>
      <c r="D42" s="143" t="s">
        <v>578</v>
      </c>
      <c r="E42" s="144">
        <v>1</v>
      </c>
      <c r="F42" s="141" t="s">
        <v>579</v>
      </c>
      <c r="G42" s="141" t="s">
        <v>580</v>
      </c>
      <c r="H42" s="89"/>
      <c r="I42" s="89"/>
      <c r="J42" s="89"/>
      <c r="K42" s="89"/>
      <c r="L42" s="93"/>
      <c r="M42" s="93"/>
      <c r="N42" s="93"/>
      <c r="O42" s="93"/>
      <c r="P42" s="93"/>
      <c r="Q42" s="93"/>
      <c r="R42" s="93"/>
      <c r="S42" s="93"/>
      <c r="T42" s="93"/>
      <c r="U42" s="93"/>
      <c r="V42" s="93"/>
      <c r="W42" s="93"/>
    </row>
    <row r="43" spans="1:25" s="14" customFormat="1" ht="17.100000000000001" customHeight="1">
      <c r="B43" s="141" t="s">
        <v>581</v>
      </c>
      <c r="C43" s="142" t="s">
        <v>577</v>
      </c>
      <c r="D43" s="143" t="s">
        <v>578</v>
      </c>
      <c r="E43" s="144">
        <v>1</v>
      </c>
      <c r="F43" s="141" t="s">
        <v>579</v>
      </c>
      <c r="G43" s="141" t="s">
        <v>580</v>
      </c>
      <c r="H43" s="89"/>
      <c r="I43" s="89"/>
      <c r="J43" s="89"/>
      <c r="K43" s="89"/>
      <c r="L43" s="93"/>
      <c r="M43" s="93"/>
      <c r="N43" s="93"/>
      <c r="O43" s="93"/>
      <c r="P43" s="93"/>
      <c r="Q43" s="93"/>
      <c r="R43" s="93"/>
      <c r="S43" s="93"/>
      <c r="T43" s="93"/>
      <c r="U43" s="93"/>
      <c r="V43" s="93"/>
      <c r="W43" s="93"/>
    </row>
    <row r="44" spans="1:25" s="14" customFormat="1" ht="17.100000000000001" customHeight="1">
      <c r="B44" s="141" t="s">
        <v>582</v>
      </c>
      <c r="C44" s="142" t="s">
        <v>577</v>
      </c>
      <c r="D44" s="143" t="s">
        <v>578</v>
      </c>
      <c r="E44" s="144">
        <v>6</v>
      </c>
      <c r="F44" s="141" t="s">
        <v>579</v>
      </c>
      <c r="G44" s="141" t="s">
        <v>580</v>
      </c>
      <c r="H44" s="89"/>
      <c r="I44" s="89"/>
      <c r="J44" s="89"/>
      <c r="K44" s="89"/>
      <c r="L44" s="93"/>
      <c r="M44" s="93"/>
      <c r="N44" s="93"/>
      <c r="O44" s="93"/>
      <c r="P44" s="93"/>
      <c r="Q44" s="93"/>
      <c r="R44" s="93"/>
      <c r="S44" s="93"/>
      <c r="T44" s="93"/>
      <c r="U44" s="93"/>
      <c r="V44" s="93"/>
      <c r="W44" s="93"/>
    </row>
    <row r="45" spans="1:25" s="14" customFormat="1" ht="17.100000000000001" customHeight="1">
      <c r="B45" s="141" t="s">
        <v>583</v>
      </c>
      <c r="C45" s="142" t="s">
        <v>577</v>
      </c>
      <c r="D45" s="143" t="s">
        <v>578</v>
      </c>
      <c r="E45" s="144">
        <v>3</v>
      </c>
      <c r="F45" s="141" t="s">
        <v>579</v>
      </c>
      <c r="G45" s="141" t="s">
        <v>580</v>
      </c>
      <c r="H45" s="89"/>
      <c r="I45" s="89"/>
      <c r="J45" s="89"/>
      <c r="K45" s="89"/>
      <c r="L45" s="93"/>
      <c r="M45" s="93"/>
      <c r="N45" s="93"/>
      <c r="O45" s="93"/>
      <c r="P45" s="93"/>
      <c r="Q45" s="93"/>
      <c r="R45" s="93"/>
      <c r="S45" s="93"/>
      <c r="T45" s="93"/>
      <c r="U45" s="93"/>
      <c r="V45" s="93"/>
      <c r="W45" s="93"/>
    </row>
    <row r="46" spans="1:25" s="14" customFormat="1" ht="17.100000000000001" customHeight="1">
      <c r="B46" s="89"/>
      <c r="C46" s="90"/>
      <c r="D46" s="91"/>
      <c r="E46" s="92"/>
      <c r="F46" s="89"/>
      <c r="G46" s="89"/>
      <c r="H46" s="89"/>
      <c r="I46" s="89"/>
      <c r="J46" s="89"/>
      <c r="K46" s="89"/>
      <c r="L46" s="93"/>
      <c r="M46" s="93"/>
      <c r="N46" s="93"/>
      <c r="O46" s="93"/>
      <c r="P46" s="93"/>
      <c r="Q46" s="93"/>
      <c r="R46" s="93"/>
      <c r="S46" s="93"/>
      <c r="T46" s="93"/>
      <c r="U46" s="93"/>
      <c r="V46" s="93"/>
      <c r="W46" s="93"/>
    </row>
    <row r="47" spans="1:25" s="14" customFormat="1" ht="17.100000000000001" customHeight="1">
      <c r="B47" s="89"/>
      <c r="C47" s="90"/>
      <c r="D47" s="91"/>
      <c r="E47" s="92"/>
      <c r="F47" s="89"/>
      <c r="G47" s="89"/>
      <c r="H47" s="89"/>
      <c r="I47" s="89"/>
      <c r="J47" s="89"/>
      <c r="K47" s="89"/>
      <c r="L47" s="93"/>
      <c r="M47" s="93"/>
      <c r="N47" s="93"/>
      <c r="O47" s="93"/>
      <c r="P47" s="93"/>
      <c r="Q47" s="93"/>
      <c r="R47" s="93"/>
      <c r="S47" s="93"/>
      <c r="T47" s="93"/>
      <c r="U47" s="93"/>
      <c r="V47" s="93"/>
      <c r="W47" s="93"/>
    </row>
    <row r="48" spans="1:25" s="14" customFormat="1" ht="17.100000000000001" customHeight="1">
      <c r="B48" s="89"/>
      <c r="C48" s="90"/>
      <c r="D48" s="91"/>
      <c r="E48" s="92"/>
      <c r="F48" s="89"/>
      <c r="G48" s="89"/>
      <c r="H48" s="89"/>
      <c r="I48" s="89"/>
      <c r="J48" s="89"/>
      <c r="K48" s="89"/>
      <c r="L48" s="93"/>
      <c r="M48" s="93"/>
      <c r="N48" s="93"/>
      <c r="O48" s="93"/>
      <c r="P48" s="93"/>
      <c r="Q48" s="93"/>
      <c r="R48" s="93"/>
      <c r="S48" s="93"/>
      <c r="T48" s="93"/>
      <c r="U48" s="93"/>
      <c r="V48" s="93"/>
      <c r="W48" s="93"/>
    </row>
    <row r="49" spans="2:23" s="14" customFormat="1" ht="17.100000000000001" customHeight="1">
      <c r="B49" s="89"/>
      <c r="C49" s="90"/>
      <c r="D49" s="91"/>
      <c r="E49" s="92"/>
      <c r="F49" s="89"/>
      <c r="G49" s="89"/>
      <c r="H49" s="89"/>
      <c r="I49" s="89"/>
      <c r="J49" s="89"/>
      <c r="K49" s="89"/>
      <c r="L49" s="93"/>
      <c r="M49" s="93"/>
      <c r="N49" s="93"/>
      <c r="O49" s="93"/>
      <c r="P49" s="93"/>
      <c r="Q49" s="93"/>
      <c r="R49" s="93"/>
      <c r="S49" s="93"/>
      <c r="T49" s="93"/>
      <c r="U49" s="93"/>
      <c r="V49" s="93"/>
      <c r="W49" s="93"/>
    </row>
    <row r="50" spans="2:23" s="14" customFormat="1" ht="17.100000000000001" customHeight="1">
      <c r="B50" s="89"/>
      <c r="C50" s="90"/>
      <c r="D50" s="91"/>
      <c r="E50" s="92"/>
      <c r="F50" s="89"/>
      <c r="G50" s="89"/>
      <c r="H50" s="89"/>
      <c r="I50" s="89"/>
      <c r="J50" s="89"/>
      <c r="K50" s="89"/>
      <c r="L50" s="93"/>
      <c r="M50" s="93"/>
      <c r="N50" s="93"/>
      <c r="O50" s="93"/>
      <c r="P50" s="93"/>
      <c r="Q50" s="93"/>
      <c r="R50" s="93"/>
      <c r="S50" s="93"/>
      <c r="T50" s="93"/>
      <c r="U50" s="93"/>
      <c r="V50" s="93"/>
      <c r="W50" s="93"/>
    </row>
    <row r="51" spans="2:23" s="14" customFormat="1" ht="17.100000000000001" customHeight="1">
      <c r="B51" s="89"/>
      <c r="C51" s="90"/>
      <c r="D51" s="91"/>
      <c r="E51" s="92"/>
      <c r="F51" s="89"/>
      <c r="G51" s="89"/>
      <c r="H51" s="89"/>
      <c r="I51" s="89"/>
      <c r="J51" s="89"/>
      <c r="K51" s="89"/>
      <c r="L51" s="93"/>
      <c r="M51" s="93"/>
      <c r="N51" s="93"/>
      <c r="O51" s="93"/>
      <c r="P51" s="93"/>
      <c r="Q51" s="93"/>
      <c r="R51" s="93"/>
      <c r="S51" s="93"/>
      <c r="T51" s="93"/>
      <c r="U51" s="93"/>
      <c r="V51" s="93"/>
      <c r="W51" s="93"/>
    </row>
    <row r="52" spans="2:23" s="14" customFormat="1" ht="17.100000000000001" customHeight="1">
      <c r="B52" s="89"/>
      <c r="C52" s="90"/>
      <c r="D52" s="91"/>
      <c r="E52" s="92"/>
      <c r="F52" s="89"/>
      <c r="G52" s="89"/>
      <c r="H52" s="89"/>
      <c r="I52" s="89"/>
      <c r="J52" s="89"/>
      <c r="K52" s="89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</row>
    <row r="53" spans="2:23" s="14" customFormat="1" ht="17.100000000000001" customHeight="1">
      <c r="B53" s="89"/>
      <c r="C53" s="90"/>
      <c r="D53" s="91"/>
      <c r="E53" s="92"/>
      <c r="F53" s="89"/>
      <c r="G53" s="89"/>
      <c r="H53" s="89"/>
      <c r="I53" s="89"/>
      <c r="J53" s="89"/>
      <c r="K53" s="89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</row>
    <row r="54" spans="2:23" s="14" customFormat="1" ht="17.100000000000001" customHeight="1">
      <c r="B54" s="89"/>
      <c r="C54" s="90"/>
      <c r="D54" s="91"/>
      <c r="E54" s="92"/>
      <c r="F54" s="89"/>
      <c r="G54" s="89"/>
      <c r="H54" s="89"/>
      <c r="I54" s="89"/>
      <c r="J54" s="89"/>
      <c r="K54" s="89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</row>
    <row r="55" spans="2:23" s="14" customFormat="1" ht="17.100000000000001" customHeight="1">
      <c r="B55" s="89"/>
      <c r="C55" s="90"/>
      <c r="D55" s="91"/>
      <c r="E55" s="92"/>
      <c r="F55" s="89"/>
      <c r="G55" s="89"/>
      <c r="H55" s="89"/>
      <c r="I55" s="89"/>
      <c r="J55" s="89"/>
      <c r="K55" s="89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</row>
    <row r="56" spans="2:23" s="14" customFormat="1" ht="17.100000000000001" customHeight="1">
      <c r="B56" s="89"/>
      <c r="C56" s="90"/>
      <c r="D56" s="91"/>
      <c r="E56" s="92"/>
      <c r="F56" s="89"/>
      <c r="G56" s="89"/>
      <c r="H56" s="89"/>
      <c r="I56" s="89"/>
      <c r="J56" s="89"/>
      <c r="K56" s="89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</row>
    <row r="57" spans="2:23" s="14" customFormat="1" ht="17.100000000000001" customHeight="1">
      <c r="B57" s="89"/>
      <c r="C57" s="90"/>
      <c r="D57" s="91"/>
      <c r="E57" s="92"/>
      <c r="F57" s="89"/>
      <c r="G57" s="89"/>
      <c r="H57" s="89"/>
      <c r="I57" s="89"/>
      <c r="J57" s="89"/>
      <c r="K57" s="89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</row>
    <row r="58" spans="2:23" s="14" customFormat="1" ht="17.100000000000001" customHeight="1">
      <c r="B58" s="89"/>
      <c r="C58" s="90"/>
      <c r="D58" s="91"/>
      <c r="E58" s="92"/>
      <c r="F58" s="89"/>
      <c r="G58" s="89"/>
      <c r="H58" s="89"/>
      <c r="I58" s="89"/>
      <c r="J58" s="89"/>
      <c r="K58" s="89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</row>
    <row r="59" spans="2:23" s="14" customFormat="1" ht="17.100000000000001" customHeight="1">
      <c r="B59" s="89"/>
      <c r="C59" s="90"/>
      <c r="D59" s="91"/>
      <c r="E59" s="92"/>
      <c r="F59" s="89"/>
      <c r="G59" s="89"/>
      <c r="H59" s="89"/>
      <c r="I59" s="89"/>
      <c r="J59" s="89"/>
      <c r="K59" s="89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</row>
    <row r="60" spans="2:23" s="14" customFormat="1" ht="17.100000000000001" customHeight="1">
      <c r="B60" s="89"/>
      <c r="C60" s="90"/>
      <c r="D60" s="91"/>
      <c r="E60" s="92"/>
      <c r="F60" s="89"/>
      <c r="G60" s="89"/>
      <c r="H60" s="89"/>
      <c r="I60" s="89"/>
      <c r="J60" s="89"/>
      <c r="K60" s="89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</row>
    <row r="61" spans="2:23" s="14" customFormat="1" ht="17.100000000000001" customHeight="1">
      <c r="B61" s="89"/>
      <c r="C61" s="90"/>
      <c r="D61" s="91"/>
      <c r="E61" s="92"/>
      <c r="F61" s="89"/>
      <c r="G61" s="89"/>
      <c r="H61" s="89"/>
      <c r="I61" s="89"/>
      <c r="J61" s="89"/>
      <c r="K61" s="89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</row>
    <row r="62" spans="2:23" s="14" customFormat="1" ht="17.100000000000001" customHeight="1">
      <c r="B62" s="89"/>
      <c r="C62" s="90"/>
      <c r="D62" s="91"/>
      <c r="E62" s="92"/>
      <c r="F62" s="89"/>
      <c r="G62" s="89"/>
      <c r="H62" s="89"/>
      <c r="I62" s="89"/>
      <c r="J62" s="89"/>
      <c r="K62" s="89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</row>
    <row r="63" spans="2:23" s="14" customFormat="1" ht="17.100000000000001" customHeight="1">
      <c r="B63" s="89"/>
      <c r="C63" s="90"/>
      <c r="D63" s="91"/>
      <c r="E63" s="92"/>
      <c r="F63" s="89"/>
      <c r="G63" s="89"/>
      <c r="H63" s="89"/>
      <c r="I63" s="89"/>
      <c r="J63" s="89"/>
      <c r="K63" s="89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</row>
    <row r="64" spans="2:23" s="14" customFormat="1" ht="17.100000000000001" customHeight="1">
      <c r="B64" s="89"/>
      <c r="C64" s="90"/>
      <c r="D64" s="91"/>
      <c r="E64" s="92"/>
      <c r="F64" s="89"/>
      <c r="G64" s="89"/>
      <c r="H64" s="89"/>
      <c r="I64" s="89"/>
      <c r="J64" s="89"/>
      <c r="K64" s="89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</row>
    <row r="65" spans="2:23" s="14" customFormat="1" ht="17.100000000000001" customHeight="1">
      <c r="B65" s="89"/>
      <c r="C65" s="90"/>
      <c r="D65" s="91"/>
      <c r="E65" s="92"/>
      <c r="F65" s="89"/>
      <c r="G65" s="89"/>
      <c r="H65" s="89"/>
      <c r="I65" s="89"/>
      <c r="J65" s="89"/>
      <c r="K65" s="89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</row>
    <row r="66" spans="2:23" s="14" customFormat="1" ht="17.100000000000001" customHeight="1">
      <c r="B66" s="89"/>
      <c r="C66" s="90"/>
      <c r="D66" s="91"/>
      <c r="E66" s="92"/>
      <c r="F66" s="89"/>
      <c r="G66" s="89"/>
      <c r="H66" s="89"/>
      <c r="I66" s="89"/>
      <c r="J66" s="89"/>
      <c r="K66" s="89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</row>
    <row r="67" spans="2:23" s="14" customFormat="1" ht="17.100000000000001" customHeight="1">
      <c r="B67" s="89"/>
      <c r="C67" s="90"/>
      <c r="D67" s="91"/>
      <c r="E67" s="92"/>
      <c r="F67" s="89"/>
      <c r="G67" s="89"/>
      <c r="H67" s="89"/>
      <c r="I67" s="89"/>
      <c r="J67" s="89"/>
      <c r="K67" s="89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</row>
    <row r="68" spans="2:23" s="14" customFormat="1" ht="17.100000000000001" customHeight="1">
      <c r="B68" s="89"/>
      <c r="C68" s="90"/>
      <c r="D68" s="91"/>
      <c r="E68" s="92"/>
      <c r="F68" s="89"/>
      <c r="G68" s="89"/>
      <c r="H68" s="89"/>
      <c r="I68" s="89"/>
      <c r="J68" s="89"/>
      <c r="K68" s="89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</row>
    <row r="69" spans="2:23" s="14" customFormat="1" ht="17.100000000000001" customHeight="1">
      <c r="B69" s="89"/>
      <c r="C69" s="90"/>
      <c r="D69" s="91"/>
      <c r="E69" s="92"/>
      <c r="F69" s="89"/>
      <c r="G69" s="89"/>
      <c r="H69" s="89"/>
      <c r="I69" s="89"/>
      <c r="J69" s="89"/>
      <c r="K69" s="89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</row>
    <row r="70" spans="2:23" s="14" customFormat="1" ht="17.100000000000001" customHeight="1">
      <c r="B70" s="89"/>
      <c r="C70" s="90"/>
      <c r="D70" s="91"/>
      <c r="E70" s="92"/>
      <c r="F70" s="89"/>
      <c r="G70" s="89"/>
      <c r="H70" s="89"/>
      <c r="I70" s="89"/>
      <c r="J70" s="89"/>
      <c r="K70" s="89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</row>
    <row r="71" spans="2:23" s="14" customFormat="1" ht="17.100000000000001" customHeight="1">
      <c r="B71" s="89"/>
      <c r="C71" s="90"/>
      <c r="D71" s="91"/>
      <c r="E71" s="92"/>
      <c r="F71" s="89"/>
      <c r="G71" s="89"/>
      <c r="H71" s="89"/>
      <c r="I71" s="89"/>
      <c r="J71" s="89"/>
      <c r="K71" s="89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</row>
    <row r="72" spans="2:23" s="14" customFormat="1" ht="17.100000000000001" customHeight="1">
      <c r="B72" s="89"/>
      <c r="C72" s="90"/>
      <c r="D72" s="91"/>
      <c r="E72" s="92"/>
      <c r="F72" s="89"/>
      <c r="G72" s="89"/>
      <c r="H72" s="89"/>
      <c r="I72" s="89"/>
      <c r="J72" s="89"/>
      <c r="K72" s="89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</row>
    <row r="73" spans="2:23" s="14" customFormat="1" ht="17.100000000000001" customHeight="1">
      <c r="B73" s="89"/>
      <c r="C73" s="90"/>
      <c r="D73" s="91"/>
      <c r="E73" s="92"/>
      <c r="F73" s="89"/>
      <c r="G73" s="89"/>
      <c r="H73" s="89"/>
      <c r="I73" s="89"/>
      <c r="J73" s="89"/>
      <c r="K73" s="89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</row>
    <row r="74" spans="2:23" s="14" customFormat="1" ht="17.100000000000001" customHeight="1">
      <c r="B74" s="89"/>
      <c r="C74" s="90"/>
      <c r="D74" s="91"/>
      <c r="E74" s="92"/>
      <c r="F74" s="89"/>
      <c r="G74" s="89"/>
      <c r="H74" s="89"/>
      <c r="I74" s="89"/>
      <c r="J74" s="89"/>
      <c r="K74" s="89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</row>
    <row r="75" spans="2:23" s="14" customFormat="1" ht="17.100000000000001" customHeight="1">
      <c r="B75" s="89"/>
      <c r="C75" s="90"/>
      <c r="D75" s="91"/>
      <c r="E75" s="92"/>
      <c r="F75" s="89"/>
      <c r="G75" s="89"/>
      <c r="H75" s="89"/>
      <c r="I75" s="89"/>
      <c r="J75" s="89"/>
      <c r="K75" s="89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</row>
    <row r="76" spans="2:23" s="14" customFormat="1" ht="17.100000000000001" customHeight="1">
      <c r="B76" s="89"/>
      <c r="C76" s="90"/>
      <c r="D76" s="91"/>
      <c r="E76" s="92"/>
      <c r="F76" s="89"/>
      <c r="G76" s="89"/>
      <c r="H76" s="89"/>
      <c r="I76" s="89"/>
      <c r="J76" s="89"/>
      <c r="K76" s="89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</row>
    <row r="77" spans="2:23" s="14" customFormat="1" ht="17.100000000000001" customHeight="1">
      <c r="B77" s="89"/>
      <c r="C77" s="90"/>
      <c r="D77" s="91"/>
      <c r="E77" s="92"/>
      <c r="F77" s="89"/>
      <c r="G77" s="89"/>
      <c r="H77" s="89"/>
      <c r="I77" s="89"/>
      <c r="J77" s="89"/>
      <c r="K77" s="89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</row>
    <row r="78" spans="2:23" s="14" customFormat="1" ht="17.100000000000001" customHeight="1">
      <c r="B78" s="89"/>
      <c r="C78" s="90"/>
      <c r="D78" s="91"/>
      <c r="E78" s="92"/>
      <c r="F78" s="89"/>
      <c r="G78" s="89"/>
      <c r="H78" s="89"/>
      <c r="I78" s="89"/>
      <c r="J78" s="89"/>
      <c r="K78" s="89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</row>
    <row r="79" spans="2:23" s="14" customFormat="1" ht="17.100000000000001" customHeight="1">
      <c r="B79" s="89"/>
      <c r="C79" s="90"/>
      <c r="D79" s="91"/>
      <c r="E79" s="92"/>
      <c r="F79" s="89"/>
      <c r="G79" s="89"/>
      <c r="H79" s="89"/>
      <c r="I79" s="89"/>
      <c r="J79" s="89"/>
      <c r="K79" s="89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</row>
    <row r="80" spans="2:23" s="14" customFormat="1" ht="17.100000000000001" customHeight="1">
      <c r="B80" s="89"/>
      <c r="C80" s="90"/>
      <c r="D80" s="91"/>
      <c r="E80" s="92"/>
      <c r="F80" s="89"/>
      <c r="G80" s="89"/>
      <c r="H80" s="89"/>
      <c r="I80" s="89"/>
      <c r="J80" s="89"/>
      <c r="K80" s="89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</row>
    <row r="81" spans="2:23" s="14" customFormat="1" ht="17.100000000000001" customHeight="1">
      <c r="B81" s="89"/>
      <c r="C81" s="90"/>
      <c r="D81" s="91"/>
      <c r="E81" s="92"/>
      <c r="F81" s="89"/>
      <c r="G81" s="89"/>
      <c r="H81" s="89"/>
      <c r="I81" s="89"/>
      <c r="J81" s="89"/>
      <c r="K81" s="89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</row>
    <row r="82" spans="2:23" s="14" customFormat="1" ht="17.100000000000001" customHeight="1">
      <c r="B82" s="89"/>
      <c r="C82" s="90"/>
      <c r="D82" s="91"/>
      <c r="E82" s="92"/>
      <c r="F82" s="89"/>
      <c r="G82" s="89"/>
      <c r="H82" s="89"/>
      <c r="I82" s="89"/>
      <c r="J82" s="89"/>
      <c r="K82" s="89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</row>
    <row r="83" spans="2:23" s="14" customFormat="1" ht="17.100000000000001" customHeight="1">
      <c r="B83" s="89"/>
      <c r="C83" s="90"/>
      <c r="D83" s="91"/>
      <c r="E83" s="92"/>
      <c r="F83" s="89"/>
      <c r="G83" s="89"/>
      <c r="H83" s="89"/>
      <c r="I83" s="89"/>
      <c r="J83" s="89"/>
      <c r="K83" s="89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</row>
    <row r="84" spans="2:23" s="14" customFormat="1" ht="17.100000000000001" customHeight="1">
      <c r="B84" s="89"/>
      <c r="C84" s="90"/>
      <c r="D84" s="91"/>
      <c r="E84" s="92"/>
      <c r="F84" s="89"/>
      <c r="G84" s="89"/>
      <c r="H84" s="89"/>
      <c r="I84" s="89"/>
      <c r="J84" s="89"/>
      <c r="K84" s="89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</row>
    <row r="85" spans="2:23" s="14" customFormat="1" ht="17.100000000000001" customHeight="1">
      <c r="B85" s="89"/>
      <c r="C85" s="90"/>
      <c r="D85" s="91"/>
      <c r="E85" s="92"/>
      <c r="F85" s="89"/>
      <c r="G85" s="89"/>
      <c r="H85" s="89"/>
      <c r="I85" s="89"/>
      <c r="J85" s="89"/>
      <c r="K85" s="89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</row>
    <row r="86" spans="2:23" s="14" customFormat="1" ht="17.100000000000001" customHeight="1">
      <c r="B86" s="89"/>
      <c r="C86" s="90"/>
      <c r="D86" s="91"/>
      <c r="E86" s="92"/>
      <c r="F86" s="89"/>
      <c r="G86" s="89"/>
      <c r="H86" s="89"/>
      <c r="I86" s="89"/>
      <c r="J86" s="89"/>
      <c r="K86" s="89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</row>
    <row r="87" spans="2:23" s="14" customFormat="1" ht="17.100000000000001" customHeight="1">
      <c r="B87" s="89"/>
      <c r="C87" s="90"/>
      <c r="D87" s="91"/>
      <c r="E87" s="92"/>
      <c r="F87" s="89"/>
      <c r="G87" s="89"/>
      <c r="H87" s="89"/>
      <c r="I87" s="89"/>
      <c r="J87" s="89"/>
      <c r="K87" s="89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</row>
    <row r="88" spans="2:23" s="14" customFormat="1" ht="17.100000000000001" customHeight="1">
      <c r="B88" s="89"/>
      <c r="C88" s="90"/>
      <c r="D88" s="91"/>
      <c r="E88" s="92"/>
      <c r="F88" s="89"/>
      <c r="G88" s="89"/>
      <c r="H88" s="89"/>
      <c r="I88" s="89"/>
      <c r="J88" s="89"/>
      <c r="K88" s="89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</row>
    <row r="89" spans="2:23" s="14" customFormat="1" ht="17.100000000000001" customHeight="1">
      <c r="B89" s="89"/>
      <c r="C89" s="90"/>
      <c r="D89" s="91"/>
      <c r="E89" s="92"/>
      <c r="F89" s="89"/>
      <c r="G89" s="89"/>
      <c r="H89" s="89"/>
      <c r="I89" s="89"/>
      <c r="J89" s="89"/>
      <c r="K89" s="89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</row>
    <row r="90" spans="2:23" s="14" customFormat="1" ht="17.100000000000001" customHeight="1">
      <c r="B90" s="89"/>
      <c r="C90" s="90"/>
      <c r="D90" s="91"/>
      <c r="E90" s="92"/>
      <c r="F90" s="89"/>
      <c r="G90" s="89"/>
      <c r="H90" s="89"/>
      <c r="I90" s="89"/>
      <c r="J90" s="89"/>
      <c r="K90" s="89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</row>
    <row r="91" spans="2:23" s="14" customFormat="1" ht="17.100000000000001" customHeight="1">
      <c r="B91" s="89"/>
      <c r="C91" s="90"/>
      <c r="D91" s="91"/>
      <c r="E91" s="92"/>
      <c r="F91" s="89"/>
      <c r="G91" s="89"/>
      <c r="H91" s="89"/>
      <c r="I91" s="89"/>
      <c r="J91" s="89"/>
      <c r="K91" s="89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</row>
    <row r="92" spans="2:23" s="14" customFormat="1" ht="17.100000000000001" customHeight="1">
      <c r="B92" s="89"/>
      <c r="C92" s="90"/>
      <c r="D92" s="91"/>
      <c r="E92" s="92"/>
      <c r="F92" s="89"/>
      <c r="G92" s="89"/>
      <c r="H92" s="89"/>
      <c r="I92" s="89"/>
      <c r="J92" s="89"/>
      <c r="K92" s="89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</row>
    <row r="93" spans="2:23" s="14" customFormat="1" ht="17.100000000000001" customHeight="1">
      <c r="B93" s="89"/>
      <c r="C93" s="90"/>
      <c r="D93" s="91"/>
      <c r="E93" s="92"/>
      <c r="F93" s="89"/>
      <c r="G93" s="89"/>
      <c r="H93" s="89"/>
      <c r="I93" s="89"/>
      <c r="J93" s="89"/>
      <c r="K93" s="89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</row>
    <row r="94" spans="2:23" s="14" customFormat="1" ht="17.100000000000001" customHeight="1">
      <c r="B94" s="89"/>
      <c r="C94" s="90"/>
      <c r="D94" s="91"/>
      <c r="E94" s="92"/>
      <c r="F94" s="89"/>
      <c r="G94" s="89"/>
      <c r="H94" s="89"/>
      <c r="I94" s="89"/>
      <c r="J94" s="89"/>
      <c r="K94" s="89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</row>
    <row r="95" spans="2:23" s="14" customFormat="1" ht="17.100000000000001" customHeight="1">
      <c r="B95" s="89"/>
      <c r="C95" s="90"/>
      <c r="D95" s="91"/>
      <c r="E95" s="92"/>
      <c r="F95" s="89"/>
      <c r="G95" s="89"/>
      <c r="H95" s="89"/>
      <c r="I95" s="89"/>
      <c r="J95" s="89"/>
      <c r="K95" s="89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</row>
    <row r="96" spans="2:23" s="14" customFormat="1" ht="17.100000000000001" customHeight="1">
      <c r="B96" s="89"/>
      <c r="C96" s="90"/>
      <c r="D96" s="91"/>
      <c r="E96" s="92"/>
      <c r="F96" s="89"/>
      <c r="G96" s="89"/>
      <c r="H96" s="89"/>
      <c r="I96" s="89"/>
      <c r="J96" s="89"/>
      <c r="K96" s="89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</row>
    <row r="97" spans="2:23" s="14" customFormat="1" ht="17.100000000000001" customHeight="1">
      <c r="B97" s="89"/>
      <c r="C97" s="90"/>
      <c r="D97" s="91"/>
      <c r="E97" s="92"/>
      <c r="F97" s="89"/>
      <c r="G97" s="89"/>
      <c r="H97" s="89"/>
      <c r="I97" s="89"/>
      <c r="J97" s="89"/>
      <c r="K97" s="89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</row>
    <row r="98" spans="2:23" s="14" customFormat="1" ht="17.100000000000001" customHeight="1">
      <c r="B98" s="89"/>
      <c r="C98" s="90"/>
      <c r="D98" s="91"/>
      <c r="E98" s="92"/>
      <c r="F98" s="89"/>
      <c r="G98" s="89"/>
      <c r="H98" s="89"/>
      <c r="I98" s="89"/>
      <c r="J98" s="89"/>
      <c r="K98" s="89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</row>
    <row r="99" spans="2:23" s="14" customFormat="1" ht="17.100000000000001" customHeight="1">
      <c r="B99" s="89"/>
      <c r="C99" s="90"/>
      <c r="D99" s="91"/>
      <c r="E99" s="92"/>
      <c r="F99" s="89"/>
      <c r="G99" s="89"/>
      <c r="H99" s="89"/>
      <c r="I99" s="89"/>
      <c r="J99" s="89"/>
      <c r="K99" s="89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</row>
    <row r="100" spans="2:23" s="14" customFormat="1" ht="17.100000000000001" customHeight="1">
      <c r="B100" s="89"/>
      <c r="C100" s="90"/>
      <c r="D100" s="91"/>
      <c r="E100" s="92"/>
      <c r="F100" s="89"/>
      <c r="G100" s="89"/>
      <c r="H100" s="89"/>
      <c r="I100" s="89"/>
      <c r="J100" s="89"/>
      <c r="K100" s="89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</row>
    <row r="101" spans="2:23" s="14" customFormat="1" ht="17.100000000000001" customHeight="1">
      <c r="B101" s="89"/>
      <c r="C101" s="90"/>
      <c r="D101" s="91"/>
      <c r="E101" s="92"/>
      <c r="F101" s="89"/>
      <c r="G101" s="89"/>
      <c r="H101" s="89"/>
      <c r="I101" s="89"/>
      <c r="J101" s="89"/>
      <c r="K101" s="89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</row>
    <row r="102" spans="2:23" s="14" customFormat="1" ht="17.100000000000001" customHeight="1">
      <c r="B102" s="89"/>
      <c r="C102" s="90"/>
      <c r="D102" s="91"/>
      <c r="E102" s="92"/>
      <c r="F102" s="89"/>
      <c r="G102" s="89"/>
      <c r="H102" s="89"/>
      <c r="I102" s="89"/>
      <c r="J102" s="89"/>
      <c r="K102" s="89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</row>
    <row r="103" spans="2:23" s="14" customFormat="1" ht="17.100000000000001" customHeight="1">
      <c r="B103" s="89"/>
      <c r="C103" s="90"/>
      <c r="D103" s="91"/>
      <c r="E103" s="92"/>
      <c r="F103" s="89"/>
      <c r="G103" s="89"/>
      <c r="H103" s="89"/>
      <c r="I103" s="89"/>
      <c r="J103" s="89"/>
      <c r="K103" s="89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</row>
    <row r="104" spans="2:23" s="14" customFormat="1" ht="17.100000000000001" customHeight="1">
      <c r="B104" s="89"/>
      <c r="C104" s="90"/>
      <c r="D104" s="91"/>
      <c r="E104" s="92"/>
      <c r="F104" s="89"/>
      <c r="G104" s="89"/>
      <c r="H104" s="89"/>
      <c r="I104" s="89"/>
      <c r="J104" s="89"/>
      <c r="K104" s="89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</row>
    <row r="105" spans="2:23" s="14" customFormat="1" ht="17.100000000000001" customHeight="1">
      <c r="B105" s="89"/>
      <c r="C105" s="90"/>
      <c r="D105" s="91"/>
      <c r="E105" s="92"/>
      <c r="F105" s="89"/>
      <c r="G105" s="89"/>
      <c r="H105" s="89"/>
      <c r="I105" s="89"/>
      <c r="J105" s="89"/>
      <c r="K105" s="89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</row>
    <row r="106" spans="2:23" s="14" customFormat="1" ht="17.100000000000001" customHeight="1">
      <c r="B106" s="89"/>
      <c r="C106" s="90"/>
      <c r="D106" s="91"/>
      <c r="E106" s="92"/>
      <c r="F106" s="89"/>
      <c r="G106" s="89"/>
      <c r="H106" s="89"/>
      <c r="I106" s="89"/>
      <c r="J106" s="89"/>
      <c r="K106" s="89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</row>
    <row r="107" spans="2:23" s="14" customFormat="1" ht="17.100000000000001" customHeight="1">
      <c r="B107" s="89"/>
      <c r="C107" s="90"/>
      <c r="D107" s="91"/>
      <c r="E107" s="92"/>
      <c r="F107" s="89"/>
      <c r="G107" s="89"/>
      <c r="H107" s="89"/>
      <c r="I107" s="89"/>
      <c r="J107" s="89"/>
      <c r="K107" s="89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</row>
    <row r="108" spans="2:23" s="14" customFormat="1" ht="17.100000000000001" customHeight="1">
      <c r="B108" s="89"/>
      <c r="C108" s="90"/>
      <c r="D108" s="91"/>
      <c r="E108" s="92"/>
      <c r="F108" s="89"/>
      <c r="G108" s="89"/>
      <c r="H108" s="89"/>
      <c r="I108" s="89"/>
      <c r="J108" s="89"/>
      <c r="K108" s="89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</row>
    <row r="109" spans="2:23" s="14" customFormat="1" ht="17.100000000000001" customHeight="1">
      <c r="B109" s="89"/>
      <c r="C109" s="90"/>
      <c r="D109" s="91"/>
      <c r="E109" s="92"/>
      <c r="F109" s="89"/>
      <c r="G109" s="89"/>
      <c r="H109" s="89"/>
      <c r="I109" s="89"/>
      <c r="J109" s="89"/>
      <c r="K109" s="89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</row>
    <row r="110" spans="2:23" s="14" customFormat="1" ht="17.100000000000001" customHeight="1">
      <c r="B110" s="89"/>
      <c r="C110" s="90"/>
      <c r="D110" s="91"/>
      <c r="E110" s="92"/>
      <c r="F110" s="89"/>
      <c r="G110" s="89"/>
      <c r="H110" s="89"/>
      <c r="I110" s="89"/>
      <c r="J110" s="89"/>
      <c r="K110" s="89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</row>
    <row r="111" spans="2:23" s="14" customFormat="1" ht="17.100000000000001" customHeight="1">
      <c r="B111" s="89"/>
      <c r="C111" s="90"/>
      <c r="D111" s="91"/>
      <c r="E111" s="92"/>
      <c r="F111" s="89"/>
      <c r="G111" s="89"/>
      <c r="H111" s="89"/>
      <c r="I111" s="89"/>
      <c r="J111" s="89"/>
      <c r="K111" s="89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</row>
    <row r="112" spans="2:23" s="14" customFormat="1" ht="17.100000000000001" customHeight="1">
      <c r="B112" s="89"/>
      <c r="C112" s="90"/>
      <c r="D112" s="91"/>
      <c r="E112" s="92"/>
      <c r="F112" s="89"/>
      <c r="G112" s="89"/>
      <c r="H112" s="89"/>
      <c r="I112" s="89"/>
      <c r="J112" s="89"/>
      <c r="K112" s="89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</row>
    <row r="113" spans="2:23" s="14" customFormat="1" ht="17.100000000000001" customHeight="1">
      <c r="B113" s="89"/>
      <c r="C113" s="90"/>
      <c r="D113" s="91"/>
      <c r="E113" s="92"/>
      <c r="F113" s="89"/>
      <c r="G113" s="89"/>
      <c r="H113" s="89"/>
      <c r="I113" s="89"/>
      <c r="J113" s="89"/>
      <c r="K113" s="89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</row>
    <row r="114" spans="2:23" s="14" customFormat="1" ht="17.100000000000001" customHeight="1">
      <c r="B114" s="89"/>
      <c r="C114" s="90"/>
      <c r="D114" s="91"/>
      <c r="E114" s="92"/>
      <c r="F114" s="89"/>
      <c r="G114" s="89"/>
      <c r="H114" s="89"/>
      <c r="I114" s="89"/>
      <c r="J114" s="89"/>
      <c r="K114" s="89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</row>
    <row r="115" spans="2:23" s="14" customFormat="1" ht="17.100000000000001" customHeight="1">
      <c r="B115" s="89"/>
      <c r="C115" s="90"/>
      <c r="D115" s="91"/>
      <c r="E115" s="92"/>
      <c r="F115" s="89"/>
      <c r="G115" s="89"/>
      <c r="H115" s="89"/>
      <c r="I115" s="89"/>
      <c r="J115" s="89"/>
      <c r="K115" s="89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</row>
    <row r="116" spans="2:23" s="14" customFormat="1" ht="17.100000000000001" customHeight="1">
      <c r="B116" s="89"/>
      <c r="C116" s="90"/>
      <c r="D116" s="91"/>
      <c r="E116" s="92"/>
      <c r="F116" s="89"/>
      <c r="G116" s="89"/>
      <c r="H116" s="89"/>
      <c r="I116" s="89"/>
      <c r="J116" s="89"/>
      <c r="K116" s="89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</row>
    <row r="117" spans="2:23" s="14" customFormat="1" ht="17.100000000000001" customHeight="1">
      <c r="B117" s="89"/>
      <c r="C117" s="90"/>
      <c r="D117" s="91"/>
      <c r="E117" s="92"/>
      <c r="F117" s="89"/>
      <c r="G117" s="89"/>
      <c r="H117" s="89"/>
      <c r="I117" s="89"/>
      <c r="J117" s="89"/>
      <c r="K117" s="89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</row>
    <row r="118" spans="2:23" s="14" customFormat="1" ht="17.100000000000001" customHeight="1">
      <c r="B118" s="89"/>
      <c r="C118" s="90"/>
      <c r="D118" s="91"/>
      <c r="E118" s="92"/>
      <c r="F118" s="89"/>
      <c r="G118" s="89"/>
      <c r="H118" s="89"/>
      <c r="I118" s="89"/>
      <c r="J118" s="89"/>
      <c r="K118" s="89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</row>
    <row r="119" spans="2:23" s="14" customFormat="1" ht="17.100000000000001" customHeight="1">
      <c r="B119" s="89"/>
      <c r="C119" s="90"/>
      <c r="D119" s="91"/>
      <c r="E119" s="92"/>
      <c r="F119" s="89"/>
      <c r="G119" s="89"/>
      <c r="H119" s="89"/>
      <c r="I119" s="89"/>
      <c r="J119" s="89"/>
      <c r="K119" s="89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</row>
    <row r="120" spans="2:23" s="14" customFormat="1" ht="17.100000000000001" customHeight="1">
      <c r="B120" s="89"/>
      <c r="C120" s="90"/>
      <c r="D120" s="91"/>
      <c r="E120" s="92"/>
      <c r="F120" s="89"/>
      <c r="G120" s="89"/>
      <c r="H120" s="89"/>
      <c r="I120" s="89"/>
      <c r="J120" s="89"/>
      <c r="K120" s="89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</row>
    <row r="121" spans="2:23" s="14" customFormat="1" ht="17.100000000000001" customHeight="1">
      <c r="B121" s="89"/>
      <c r="C121" s="90"/>
      <c r="D121" s="91"/>
      <c r="E121" s="92"/>
      <c r="F121" s="89"/>
      <c r="G121" s="89"/>
      <c r="H121" s="89"/>
      <c r="I121" s="89"/>
      <c r="J121" s="89"/>
      <c r="K121" s="89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</row>
    <row r="122" spans="2:23" s="14" customFormat="1" ht="17.100000000000001" customHeight="1">
      <c r="B122" s="89"/>
      <c r="C122" s="90"/>
      <c r="D122" s="91"/>
      <c r="E122" s="92"/>
      <c r="F122" s="89"/>
      <c r="G122" s="89"/>
      <c r="H122" s="89"/>
      <c r="I122" s="89"/>
      <c r="J122" s="89"/>
      <c r="K122" s="89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</row>
    <row r="123" spans="2:23" s="14" customFormat="1" ht="17.100000000000001" customHeight="1">
      <c r="B123" s="89"/>
      <c r="C123" s="90"/>
      <c r="D123" s="91"/>
      <c r="E123" s="92"/>
      <c r="F123" s="89"/>
      <c r="G123" s="89"/>
      <c r="H123" s="89"/>
      <c r="I123" s="89"/>
      <c r="J123" s="89"/>
      <c r="K123" s="89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</row>
    <row r="124" spans="2:23" s="14" customFormat="1" ht="17.100000000000001" customHeight="1">
      <c r="B124" s="89"/>
      <c r="C124" s="90"/>
      <c r="D124" s="91"/>
      <c r="E124" s="92"/>
      <c r="F124" s="89"/>
      <c r="G124" s="89"/>
      <c r="H124" s="89"/>
      <c r="I124" s="89"/>
      <c r="J124" s="89"/>
      <c r="K124" s="89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</row>
    <row r="125" spans="2:23" s="14" customFormat="1" ht="17.100000000000001" customHeight="1">
      <c r="B125" s="89"/>
      <c r="C125" s="90"/>
      <c r="D125" s="91"/>
      <c r="E125" s="92"/>
      <c r="F125" s="89"/>
      <c r="G125" s="89"/>
      <c r="H125" s="89"/>
      <c r="I125" s="89"/>
      <c r="J125" s="89"/>
      <c r="K125" s="89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</row>
    <row r="126" spans="2:23" s="14" customFormat="1" ht="17.100000000000001" customHeight="1">
      <c r="B126" s="89"/>
      <c r="C126" s="90"/>
      <c r="D126" s="91"/>
      <c r="E126" s="92"/>
      <c r="F126" s="89"/>
      <c r="G126" s="89"/>
      <c r="H126" s="89"/>
      <c r="I126" s="89"/>
      <c r="J126" s="89"/>
      <c r="K126" s="89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</row>
    <row r="127" spans="2:23" s="14" customFormat="1" ht="17.100000000000001" customHeight="1">
      <c r="B127" s="89"/>
      <c r="C127" s="90"/>
      <c r="D127" s="91"/>
      <c r="E127" s="92"/>
      <c r="F127" s="89"/>
      <c r="G127" s="89"/>
      <c r="H127" s="89"/>
      <c r="I127" s="89"/>
      <c r="J127" s="89"/>
      <c r="K127" s="89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</row>
    <row r="128" spans="2:23" s="14" customFormat="1" ht="17.100000000000001" customHeight="1">
      <c r="B128" s="89"/>
      <c r="C128" s="90"/>
      <c r="D128" s="91"/>
      <c r="E128" s="92"/>
      <c r="F128" s="89"/>
      <c r="G128" s="89"/>
      <c r="H128" s="89"/>
      <c r="I128" s="89"/>
      <c r="J128" s="89"/>
      <c r="K128" s="89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</row>
    <row r="129" spans="2:23" s="14" customFormat="1" ht="17.100000000000001" customHeight="1">
      <c r="B129" s="89"/>
      <c r="C129" s="90"/>
      <c r="D129" s="91"/>
      <c r="E129" s="92"/>
      <c r="F129" s="89"/>
      <c r="G129" s="89"/>
      <c r="H129" s="89"/>
      <c r="I129" s="89"/>
      <c r="J129" s="89"/>
      <c r="K129" s="89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</row>
    <row r="130" spans="2:23" s="14" customFormat="1" ht="17.100000000000001" customHeight="1">
      <c r="B130" s="89"/>
      <c r="C130" s="90"/>
      <c r="D130" s="91"/>
      <c r="E130" s="92"/>
      <c r="F130" s="89"/>
      <c r="G130" s="89"/>
      <c r="H130" s="89"/>
      <c r="I130" s="89"/>
      <c r="J130" s="89"/>
      <c r="K130" s="89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</row>
    <row r="131" spans="2:23" s="14" customFormat="1" ht="17.100000000000001" customHeight="1">
      <c r="B131" s="89"/>
      <c r="C131" s="90"/>
      <c r="D131" s="91"/>
      <c r="E131" s="92"/>
      <c r="F131" s="89"/>
      <c r="G131" s="89"/>
      <c r="H131" s="89"/>
      <c r="I131" s="89"/>
      <c r="J131" s="89"/>
      <c r="K131" s="89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</row>
    <row r="132" spans="2:23" s="14" customFormat="1" ht="17.100000000000001" customHeight="1">
      <c r="B132" s="89"/>
      <c r="C132" s="90"/>
      <c r="D132" s="91"/>
      <c r="E132" s="92"/>
      <c r="F132" s="89"/>
      <c r="G132" s="89"/>
      <c r="H132" s="89"/>
      <c r="I132" s="89"/>
      <c r="J132" s="89"/>
      <c r="K132" s="89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</row>
    <row r="133" spans="2:23" s="14" customFormat="1" ht="17.100000000000001" customHeight="1">
      <c r="B133" s="89"/>
      <c r="C133" s="90"/>
      <c r="D133" s="91"/>
      <c r="E133" s="92"/>
      <c r="F133" s="89"/>
      <c r="G133" s="89"/>
      <c r="H133" s="89"/>
      <c r="I133" s="89"/>
      <c r="J133" s="89"/>
      <c r="K133" s="89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</row>
    <row r="134" spans="2:23" s="14" customFormat="1" ht="17.100000000000001" customHeight="1">
      <c r="B134" s="89"/>
      <c r="C134" s="90"/>
      <c r="D134" s="91"/>
      <c r="E134" s="92"/>
      <c r="F134" s="89"/>
      <c r="G134" s="89"/>
      <c r="H134" s="89"/>
      <c r="I134" s="89"/>
      <c r="J134" s="89"/>
      <c r="K134" s="89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</row>
    <row r="135" spans="2:23" s="14" customFormat="1" ht="17.100000000000001" customHeight="1">
      <c r="B135" s="89"/>
      <c r="C135" s="90"/>
      <c r="D135" s="91"/>
      <c r="E135" s="92"/>
      <c r="F135" s="89"/>
      <c r="G135" s="89"/>
      <c r="H135" s="89"/>
      <c r="I135" s="89"/>
      <c r="J135" s="89"/>
      <c r="K135" s="89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</row>
    <row r="136" spans="2:23" s="14" customFormat="1" ht="17.100000000000001" customHeight="1">
      <c r="B136" s="89"/>
      <c r="C136" s="90"/>
      <c r="D136" s="91"/>
      <c r="E136" s="92"/>
      <c r="F136" s="89"/>
      <c r="G136" s="89"/>
      <c r="H136" s="89"/>
      <c r="I136" s="89"/>
      <c r="J136" s="89"/>
      <c r="K136" s="89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</row>
    <row r="137" spans="2:23" s="14" customFormat="1" ht="17.100000000000001" customHeight="1">
      <c r="B137" s="89"/>
      <c r="C137" s="90"/>
      <c r="D137" s="91"/>
      <c r="E137" s="92"/>
      <c r="F137" s="89"/>
      <c r="G137" s="89"/>
      <c r="H137" s="89"/>
      <c r="I137" s="89"/>
      <c r="J137" s="89"/>
      <c r="K137" s="89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</row>
    <row r="138" spans="2:23" s="14" customFormat="1" ht="17.100000000000001" customHeight="1">
      <c r="B138" s="89"/>
      <c r="C138" s="90"/>
      <c r="D138" s="91"/>
      <c r="E138" s="92"/>
      <c r="F138" s="89"/>
      <c r="G138" s="89"/>
      <c r="H138" s="89"/>
      <c r="I138" s="89"/>
      <c r="J138" s="89"/>
      <c r="K138" s="89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</row>
    <row r="139" spans="2:23" s="14" customFormat="1" ht="17.100000000000001" customHeight="1">
      <c r="B139" s="89"/>
      <c r="C139" s="90"/>
      <c r="D139" s="91"/>
      <c r="E139" s="92"/>
      <c r="F139" s="89"/>
      <c r="G139" s="89"/>
      <c r="H139" s="89"/>
      <c r="I139" s="89"/>
      <c r="J139" s="89"/>
      <c r="K139" s="89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</row>
    <row r="140" spans="2:23" s="14" customFormat="1" ht="17.100000000000001" customHeight="1">
      <c r="B140" s="89"/>
      <c r="C140" s="90"/>
      <c r="D140" s="91"/>
      <c r="E140" s="92"/>
      <c r="F140" s="89"/>
      <c r="G140" s="89"/>
      <c r="H140" s="89"/>
      <c r="I140" s="89"/>
      <c r="J140" s="89"/>
      <c r="K140" s="89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</row>
    <row r="141" spans="2:23" s="14" customFormat="1" ht="17.100000000000001" customHeight="1">
      <c r="B141" s="89"/>
      <c r="C141" s="90"/>
      <c r="D141" s="91"/>
      <c r="E141" s="92"/>
      <c r="F141" s="89"/>
      <c r="G141" s="89"/>
      <c r="H141" s="89"/>
      <c r="I141" s="89"/>
      <c r="J141" s="89"/>
      <c r="K141" s="89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</row>
    <row r="142" spans="2:23" s="14" customFormat="1" ht="17.100000000000001" customHeight="1">
      <c r="B142" s="89"/>
      <c r="C142" s="90"/>
      <c r="D142" s="91"/>
      <c r="E142" s="92"/>
      <c r="F142" s="89"/>
      <c r="G142" s="89"/>
      <c r="H142" s="89"/>
      <c r="I142" s="89"/>
      <c r="J142" s="89"/>
      <c r="K142" s="89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</row>
    <row r="143" spans="2:23" s="14" customFormat="1" ht="17.100000000000001" customHeight="1">
      <c r="B143" s="89"/>
      <c r="C143" s="90"/>
      <c r="D143" s="91"/>
      <c r="E143" s="92"/>
      <c r="F143" s="89"/>
      <c r="G143" s="89"/>
      <c r="H143" s="89"/>
      <c r="I143" s="89"/>
      <c r="J143" s="89"/>
      <c r="K143" s="89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</row>
    <row r="144" spans="2:23" s="14" customFormat="1" ht="17.100000000000001" customHeight="1">
      <c r="B144" s="89"/>
      <c r="C144" s="90"/>
      <c r="D144" s="91"/>
      <c r="E144" s="92"/>
      <c r="F144" s="89"/>
      <c r="G144" s="89"/>
      <c r="H144" s="89"/>
      <c r="I144" s="89"/>
      <c r="J144" s="89"/>
      <c r="K144" s="89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</row>
    <row r="145" spans="2:23" s="14" customFormat="1" ht="17.100000000000001" customHeight="1">
      <c r="B145" s="89"/>
      <c r="C145" s="90"/>
      <c r="D145" s="91"/>
      <c r="E145" s="92"/>
      <c r="F145" s="89"/>
      <c r="G145" s="89"/>
      <c r="H145" s="89"/>
      <c r="I145" s="89"/>
      <c r="J145" s="89"/>
      <c r="K145" s="89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</row>
    <row r="146" spans="2:23" s="14" customFormat="1" ht="17.100000000000001" customHeight="1">
      <c r="B146" s="89"/>
      <c r="C146" s="90"/>
      <c r="D146" s="91"/>
      <c r="E146" s="92"/>
      <c r="F146" s="89"/>
      <c r="G146" s="89"/>
      <c r="H146" s="89"/>
      <c r="I146" s="89"/>
      <c r="J146" s="89"/>
      <c r="K146" s="89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</row>
    <row r="147" spans="2:23" s="14" customFormat="1" ht="17.100000000000001" customHeight="1">
      <c r="B147" s="89"/>
      <c r="C147" s="90"/>
      <c r="D147" s="91"/>
      <c r="E147" s="92"/>
      <c r="F147" s="89"/>
      <c r="G147" s="89"/>
      <c r="H147" s="89"/>
      <c r="I147" s="89"/>
      <c r="J147" s="89"/>
      <c r="K147" s="89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</row>
    <row r="148" spans="2:23" s="14" customFormat="1" ht="17.100000000000001" customHeight="1">
      <c r="B148" s="89"/>
      <c r="C148" s="90"/>
      <c r="D148" s="91"/>
      <c r="E148" s="92"/>
      <c r="F148" s="89"/>
      <c r="G148" s="89"/>
      <c r="H148" s="89"/>
      <c r="I148" s="89"/>
      <c r="J148" s="89"/>
      <c r="K148" s="89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</row>
    <row r="149" spans="2:23" s="14" customFormat="1" ht="17.100000000000001" customHeight="1">
      <c r="B149" s="89"/>
      <c r="C149" s="90"/>
      <c r="D149" s="91"/>
      <c r="E149" s="92"/>
      <c r="F149" s="89"/>
      <c r="G149" s="89"/>
      <c r="H149" s="89"/>
      <c r="I149" s="89"/>
      <c r="J149" s="89"/>
      <c r="K149" s="89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</row>
    <row r="150" spans="2:23" s="14" customFormat="1" ht="17.100000000000001" customHeight="1">
      <c r="B150" s="89"/>
      <c r="C150" s="90"/>
      <c r="D150" s="91"/>
      <c r="E150" s="92"/>
      <c r="F150" s="89"/>
      <c r="G150" s="89"/>
      <c r="H150" s="89"/>
      <c r="I150" s="89"/>
      <c r="J150" s="89"/>
      <c r="K150" s="89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</row>
    <row r="151" spans="2:23" s="14" customFormat="1" ht="17.100000000000001" customHeight="1">
      <c r="B151" s="89"/>
      <c r="C151" s="90"/>
      <c r="D151" s="91"/>
      <c r="E151" s="92"/>
      <c r="F151" s="89"/>
      <c r="G151" s="89"/>
      <c r="H151" s="89"/>
      <c r="I151" s="89"/>
      <c r="J151" s="89"/>
      <c r="K151" s="89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</row>
    <row r="152" spans="2:23" s="14" customFormat="1" ht="17.100000000000001" customHeight="1">
      <c r="B152" s="89"/>
      <c r="C152" s="90"/>
      <c r="D152" s="91"/>
      <c r="E152" s="92"/>
      <c r="F152" s="89"/>
      <c r="G152" s="89"/>
      <c r="H152" s="89"/>
      <c r="I152" s="89"/>
      <c r="J152" s="89"/>
      <c r="K152" s="89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</row>
    <row r="153" spans="2:23" s="14" customFormat="1" ht="17.100000000000001" customHeight="1">
      <c r="B153" s="89"/>
      <c r="C153" s="90"/>
      <c r="D153" s="91"/>
      <c r="E153" s="92"/>
      <c r="F153" s="89"/>
      <c r="G153" s="89"/>
      <c r="H153" s="89"/>
      <c r="I153" s="89"/>
      <c r="J153" s="89"/>
      <c r="K153" s="89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</row>
    <row r="154" spans="2:23" s="14" customFormat="1" ht="17.100000000000001" customHeight="1">
      <c r="B154" s="89"/>
      <c r="C154" s="90"/>
      <c r="D154" s="91"/>
      <c r="E154" s="92"/>
      <c r="F154" s="89"/>
      <c r="G154" s="89"/>
      <c r="H154" s="89"/>
      <c r="I154" s="89"/>
      <c r="J154" s="89"/>
      <c r="K154" s="89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</row>
    <row r="155" spans="2:23" s="14" customFormat="1" ht="17.100000000000001" customHeight="1">
      <c r="B155" s="89"/>
      <c r="C155" s="90"/>
      <c r="D155" s="91"/>
      <c r="E155" s="92"/>
      <c r="F155" s="89"/>
      <c r="G155" s="89"/>
      <c r="H155" s="89"/>
      <c r="I155" s="89"/>
      <c r="J155" s="89"/>
      <c r="K155" s="89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</row>
    <row r="156" spans="2:23" s="14" customFormat="1" ht="17.100000000000001" customHeight="1">
      <c r="B156" s="89"/>
      <c r="C156" s="90"/>
      <c r="D156" s="91"/>
      <c r="E156" s="92"/>
      <c r="F156" s="89"/>
      <c r="G156" s="89"/>
      <c r="H156" s="89"/>
      <c r="I156" s="89"/>
      <c r="J156" s="89"/>
      <c r="K156" s="89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</row>
    <row r="157" spans="2:23" s="14" customFormat="1" ht="17.100000000000001" customHeight="1">
      <c r="B157" s="89"/>
      <c r="C157" s="90"/>
      <c r="D157" s="91"/>
      <c r="E157" s="92"/>
      <c r="F157" s="89"/>
      <c r="G157" s="89"/>
      <c r="H157" s="89"/>
      <c r="I157" s="89"/>
      <c r="J157" s="89"/>
      <c r="K157" s="89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</row>
    <row r="158" spans="2:23" s="14" customFormat="1" ht="17.100000000000001" customHeight="1">
      <c r="B158" s="89"/>
      <c r="C158" s="90"/>
      <c r="D158" s="91"/>
      <c r="E158" s="92"/>
      <c r="F158" s="89"/>
      <c r="G158" s="89"/>
      <c r="H158" s="89"/>
      <c r="I158" s="89"/>
      <c r="J158" s="89"/>
      <c r="K158" s="89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</row>
    <row r="159" spans="2:23" s="14" customFormat="1" ht="17.100000000000001" customHeight="1">
      <c r="B159" s="89"/>
      <c r="C159" s="90"/>
      <c r="D159" s="91"/>
      <c r="E159" s="92"/>
      <c r="F159" s="89"/>
      <c r="G159" s="89"/>
      <c r="H159" s="89"/>
      <c r="I159" s="89"/>
      <c r="J159" s="89"/>
      <c r="K159" s="89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</row>
    <row r="160" spans="2:23" s="14" customFormat="1" ht="17.100000000000001" customHeight="1">
      <c r="B160" s="89"/>
      <c r="C160" s="90"/>
      <c r="D160" s="91"/>
      <c r="E160" s="92"/>
      <c r="F160" s="89"/>
      <c r="G160" s="89"/>
      <c r="H160" s="89"/>
      <c r="I160" s="89"/>
      <c r="J160" s="89"/>
      <c r="K160" s="89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</row>
    <row r="161" spans="2:23" s="14" customFormat="1" ht="17.100000000000001" customHeight="1">
      <c r="B161" s="89"/>
      <c r="C161" s="90"/>
      <c r="D161" s="91"/>
      <c r="E161" s="92"/>
      <c r="F161" s="89"/>
      <c r="G161" s="89"/>
      <c r="H161" s="89"/>
      <c r="I161" s="89"/>
      <c r="J161" s="89"/>
      <c r="K161" s="89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</row>
    <row r="162" spans="2:23" s="14" customFormat="1" ht="17.100000000000001" customHeight="1">
      <c r="B162" s="89"/>
      <c r="C162" s="90"/>
      <c r="D162" s="91"/>
      <c r="E162" s="92"/>
      <c r="F162" s="89"/>
      <c r="G162" s="89"/>
      <c r="H162" s="89"/>
      <c r="I162" s="89"/>
      <c r="J162" s="89"/>
      <c r="K162" s="89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</row>
    <row r="163" spans="2:23" s="14" customFormat="1" ht="17.100000000000001" customHeight="1">
      <c r="B163" s="89"/>
      <c r="C163" s="90"/>
      <c r="D163" s="91"/>
      <c r="E163" s="92"/>
      <c r="F163" s="89"/>
      <c r="G163" s="89"/>
      <c r="H163" s="89"/>
      <c r="I163" s="89"/>
      <c r="J163" s="89"/>
      <c r="K163" s="89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</row>
    <row r="164" spans="2:23" s="14" customFormat="1" ht="17.100000000000001" customHeight="1">
      <c r="B164" s="89"/>
      <c r="C164" s="90"/>
      <c r="D164" s="91"/>
      <c r="E164" s="92"/>
      <c r="F164" s="89"/>
      <c r="G164" s="89"/>
      <c r="H164" s="89"/>
      <c r="I164" s="89"/>
      <c r="J164" s="89"/>
      <c r="K164" s="89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</row>
    <row r="165" spans="2:23" s="14" customFormat="1" ht="17.100000000000001" customHeight="1">
      <c r="B165" s="89"/>
      <c r="C165" s="90"/>
      <c r="D165" s="91"/>
      <c r="E165" s="92"/>
      <c r="F165" s="89"/>
      <c r="G165" s="89"/>
      <c r="H165" s="89"/>
      <c r="I165" s="89"/>
      <c r="J165" s="89"/>
      <c r="K165" s="89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</row>
    <row r="166" spans="2:23" s="14" customFormat="1" ht="17.100000000000001" customHeight="1">
      <c r="B166" s="89"/>
      <c r="C166" s="90"/>
      <c r="D166" s="91"/>
      <c r="E166" s="92"/>
      <c r="F166" s="89"/>
      <c r="G166" s="89"/>
      <c r="H166" s="89"/>
      <c r="I166" s="89"/>
      <c r="J166" s="89"/>
      <c r="K166" s="89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</row>
    <row r="167" spans="2:23" s="14" customFormat="1" ht="17.100000000000001" customHeight="1">
      <c r="B167" s="89"/>
      <c r="C167" s="90"/>
      <c r="D167" s="91"/>
      <c r="E167" s="92"/>
      <c r="F167" s="89"/>
      <c r="G167" s="89"/>
      <c r="H167" s="89"/>
      <c r="I167" s="89"/>
      <c r="J167" s="89"/>
      <c r="K167" s="89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</row>
    <row r="168" spans="2:23" s="14" customFormat="1" ht="17.100000000000001" customHeight="1">
      <c r="B168" s="89"/>
      <c r="C168" s="90"/>
      <c r="D168" s="91"/>
      <c r="E168" s="92"/>
      <c r="F168" s="89"/>
      <c r="G168" s="89"/>
      <c r="H168" s="89"/>
      <c r="I168" s="89"/>
      <c r="J168" s="89"/>
      <c r="K168" s="89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</row>
    <row r="169" spans="2:23" s="14" customFormat="1" ht="17.100000000000001" customHeight="1">
      <c r="B169" s="89"/>
      <c r="C169" s="90"/>
      <c r="D169" s="91"/>
      <c r="E169" s="92"/>
      <c r="F169" s="89"/>
      <c r="G169" s="89"/>
      <c r="H169" s="89"/>
      <c r="I169" s="89"/>
      <c r="J169" s="89"/>
      <c r="K169" s="89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</row>
    <row r="170" spans="2:23" s="14" customFormat="1" ht="17.100000000000001" customHeight="1">
      <c r="B170" s="89"/>
      <c r="C170" s="90"/>
      <c r="D170" s="91"/>
      <c r="E170" s="92"/>
      <c r="F170" s="89"/>
      <c r="G170" s="89"/>
      <c r="H170" s="89"/>
      <c r="I170" s="89"/>
      <c r="J170" s="89"/>
      <c r="K170" s="89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</row>
    <row r="171" spans="2:23" s="14" customFormat="1" ht="17.100000000000001" customHeight="1">
      <c r="B171" s="89"/>
      <c r="C171" s="90"/>
      <c r="D171" s="91"/>
      <c r="E171" s="92"/>
      <c r="F171" s="89"/>
      <c r="G171" s="89"/>
      <c r="H171" s="89"/>
      <c r="I171" s="89"/>
      <c r="J171" s="89"/>
      <c r="K171" s="89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</row>
    <row r="172" spans="2:23" s="14" customFormat="1" ht="17.100000000000001" customHeight="1">
      <c r="B172" s="89"/>
      <c r="C172" s="90"/>
      <c r="D172" s="91"/>
      <c r="E172" s="92"/>
      <c r="F172" s="89"/>
      <c r="G172" s="89"/>
      <c r="H172" s="89"/>
      <c r="I172" s="89"/>
      <c r="J172" s="89"/>
      <c r="K172" s="89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</row>
    <row r="173" spans="2:23" s="14" customFormat="1" ht="17.100000000000001" customHeight="1">
      <c r="B173" s="89"/>
      <c r="C173" s="90"/>
      <c r="D173" s="91"/>
      <c r="E173" s="92"/>
      <c r="F173" s="89"/>
      <c r="G173" s="89"/>
      <c r="H173" s="89"/>
      <c r="I173" s="89"/>
      <c r="J173" s="89"/>
      <c r="K173" s="89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</row>
    <row r="174" spans="2:23" s="14" customFormat="1" ht="17.100000000000001" customHeight="1">
      <c r="B174" s="89"/>
      <c r="C174" s="90"/>
      <c r="D174" s="91"/>
      <c r="E174" s="92"/>
      <c r="F174" s="89"/>
      <c r="G174" s="89"/>
      <c r="H174" s="89"/>
      <c r="I174" s="89"/>
      <c r="J174" s="89"/>
      <c r="K174" s="89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</row>
    <row r="175" spans="2:23" s="14" customFormat="1" ht="17.100000000000001" customHeight="1">
      <c r="B175" s="89"/>
      <c r="C175" s="90"/>
      <c r="D175" s="91"/>
      <c r="E175" s="92"/>
      <c r="F175" s="89"/>
      <c r="G175" s="89"/>
      <c r="H175" s="89"/>
      <c r="I175" s="89"/>
      <c r="J175" s="89"/>
      <c r="K175" s="89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</row>
    <row r="176" spans="2:23" s="14" customFormat="1" ht="17.100000000000001" customHeight="1">
      <c r="B176" s="89"/>
      <c r="C176" s="90"/>
      <c r="D176" s="91"/>
      <c r="E176" s="92"/>
      <c r="F176" s="89"/>
      <c r="G176" s="89"/>
      <c r="H176" s="89"/>
      <c r="I176" s="89"/>
      <c r="J176" s="89"/>
      <c r="K176" s="89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</row>
    <row r="177" spans="2:23" s="14" customFormat="1" ht="17.100000000000001" customHeight="1">
      <c r="B177" s="89"/>
      <c r="C177" s="90"/>
      <c r="D177" s="91"/>
      <c r="E177" s="92"/>
      <c r="F177" s="89"/>
      <c r="G177" s="89"/>
      <c r="H177" s="89"/>
      <c r="I177" s="89"/>
      <c r="J177" s="89"/>
      <c r="K177" s="89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</row>
    <row r="178" spans="2:23" s="14" customFormat="1" ht="17.100000000000001" customHeight="1">
      <c r="B178" s="89"/>
      <c r="C178" s="90"/>
      <c r="D178" s="91"/>
      <c r="E178" s="92"/>
      <c r="F178" s="89"/>
      <c r="G178" s="89"/>
      <c r="H178" s="89"/>
      <c r="I178" s="89"/>
      <c r="J178" s="89"/>
      <c r="K178" s="89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</row>
    <row r="179" spans="2:23" s="14" customFormat="1" ht="17.100000000000001" customHeight="1">
      <c r="B179" s="89"/>
      <c r="C179" s="90"/>
      <c r="D179" s="91"/>
      <c r="E179" s="92"/>
      <c r="F179" s="89"/>
      <c r="G179" s="89"/>
      <c r="H179" s="89"/>
      <c r="I179" s="89"/>
      <c r="J179" s="89"/>
      <c r="K179" s="89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</row>
    <row r="180" spans="2:23" s="14" customFormat="1" ht="17.100000000000001" customHeight="1">
      <c r="B180" s="89"/>
      <c r="C180" s="90"/>
      <c r="D180" s="91"/>
      <c r="E180" s="92"/>
      <c r="F180" s="89"/>
      <c r="G180" s="89"/>
      <c r="H180" s="89"/>
      <c r="I180" s="89"/>
      <c r="J180" s="89"/>
      <c r="K180" s="89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</row>
    <row r="181" spans="2:23" s="14" customFormat="1" ht="17.100000000000001" customHeight="1">
      <c r="B181" s="89"/>
      <c r="C181" s="90"/>
      <c r="D181" s="91"/>
      <c r="E181" s="92"/>
      <c r="F181" s="89"/>
      <c r="G181" s="89"/>
      <c r="H181" s="89"/>
      <c r="I181" s="89"/>
      <c r="J181" s="89"/>
      <c r="K181" s="89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</row>
    <row r="182" spans="2:23" s="14" customFormat="1" ht="17.100000000000001" customHeight="1">
      <c r="B182" s="89"/>
      <c r="C182" s="90"/>
      <c r="D182" s="91"/>
      <c r="E182" s="92"/>
      <c r="F182" s="89"/>
      <c r="G182" s="89"/>
      <c r="H182" s="89"/>
      <c r="I182" s="89"/>
      <c r="J182" s="89"/>
      <c r="K182" s="89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</row>
    <row r="183" spans="2:23" s="14" customFormat="1" ht="17.100000000000001" customHeight="1">
      <c r="B183" s="89"/>
      <c r="C183" s="90"/>
      <c r="D183" s="91"/>
      <c r="E183" s="92"/>
      <c r="F183" s="89"/>
      <c r="G183" s="89"/>
      <c r="H183" s="89"/>
      <c r="I183" s="89"/>
      <c r="J183" s="89"/>
      <c r="K183" s="89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</row>
    <row r="184" spans="2:23" s="14" customFormat="1" ht="17.100000000000001" customHeight="1">
      <c r="B184" s="89"/>
      <c r="C184" s="90"/>
      <c r="D184" s="91"/>
      <c r="E184" s="92"/>
      <c r="F184" s="89"/>
      <c r="G184" s="89"/>
      <c r="H184" s="89"/>
      <c r="I184" s="89"/>
      <c r="J184" s="89"/>
      <c r="K184" s="89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</row>
    <row r="185" spans="2:23" s="14" customFormat="1" ht="17.100000000000001" customHeight="1">
      <c r="B185" s="89"/>
      <c r="C185" s="90"/>
      <c r="D185" s="91"/>
      <c r="E185" s="92"/>
      <c r="F185" s="89"/>
      <c r="G185" s="89"/>
      <c r="H185" s="89"/>
      <c r="I185" s="89"/>
      <c r="J185" s="89"/>
      <c r="K185" s="89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</row>
    <row r="186" spans="2:23" s="14" customFormat="1" ht="17.100000000000001" customHeight="1">
      <c r="B186" s="89"/>
      <c r="C186" s="90"/>
      <c r="D186" s="91"/>
      <c r="E186" s="92"/>
      <c r="F186" s="89"/>
      <c r="G186" s="89"/>
      <c r="H186" s="89"/>
      <c r="I186" s="89"/>
      <c r="J186" s="89"/>
      <c r="K186" s="89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</row>
    <row r="187" spans="2:23" s="14" customFormat="1" ht="17.100000000000001" customHeight="1">
      <c r="B187" s="89"/>
      <c r="C187" s="90"/>
      <c r="D187" s="91"/>
      <c r="E187" s="92"/>
      <c r="F187" s="89"/>
      <c r="G187" s="89"/>
      <c r="H187" s="89"/>
      <c r="I187" s="89"/>
      <c r="J187" s="89"/>
      <c r="K187" s="89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</row>
    <row r="188" spans="2:23" s="14" customFormat="1" ht="17.100000000000001" customHeight="1">
      <c r="B188" s="89"/>
      <c r="C188" s="90"/>
      <c r="D188" s="91"/>
      <c r="E188" s="92"/>
      <c r="F188" s="89"/>
      <c r="G188" s="89"/>
      <c r="H188" s="89"/>
      <c r="I188" s="89"/>
      <c r="J188" s="89"/>
      <c r="K188" s="89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</row>
    <row r="189" spans="2:23" s="14" customFormat="1" ht="17.100000000000001" customHeight="1">
      <c r="B189" s="89"/>
      <c r="C189" s="90"/>
      <c r="D189" s="91"/>
      <c r="E189" s="92"/>
      <c r="F189" s="89"/>
      <c r="G189" s="89"/>
      <c r="H189" s="89"/>
      <c r="I189" s="89"/>
      <c r="J189" s="89"/>
      <c r="K189" s="89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</row>
    <row r="190" spans="2:23" s="14" customFormat="1" ht="17.100000000000001" customHeight="1">
      <c r="B190" s="89"/>
      <c r="C190" s="90"/>
      <c r="D190" s="91"/>
      <c r="E190" s="92"/>
      <c r="F190" s="89"/>
      <c r="G190" s="89"/>
      <c r="H190" s="89"/>
      <c r="I190" s="89"/>
      <c r="J190" s="89"/>
      <c r="K190" s="89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</row>
    <row r="191" spans="2:23" s="14" customFormat="1" ht="17.100000000000001" customHeight="1">
      <c r="B191" s="89"/>
      <c r="C191" s="90"/>
      <c r="D191" s="91"/>
      <c r="E191" s="92"/>
      <c r="F191" s="89"/>
      <c r="G191" s="89"/>
      <c r="H191" s="89"/>
      <c r="I191" s="89"/>
      <c r="J191" s="89"/>
      <c r="K191" s="89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</row>
    <row r="192" spans="2:23" s="14" customFormat="1" ht="17.100000000000001" customHeight="1">
      <c r="B192" s="89"/>
      <c r="C192" s="90"/>
      <c r="D192" s="91"/>
      <c r="E192" s="92"/>
      <c r="F192" s="89"/>
      <c r="G192" s="89"/>
      <c r="H192" s="89"/>
      <c r="I192" s="89"/>
      <c r="J192" s="89"/>
      <c r="K192" s="89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</row>
    <row r="193" spans="2:23" s="14" customFormat="1" ht="17.100000000000001" customHeight="1">
      <c r="B193" s="89"/>
      <c r="C193" s="90"/>
      <c r="D193" s="91"/>
      <c r="E193" s="92"/>
      <c r="F193" s="89"/>
      <c r="G193" s="89"/>
      <c r="H193" s="89"/>
      <c r="I193" s="89"/>
      <c r="J193" s="89"/>
      <c r="K193" s="89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</row>
    <row r="194" spans="2:23" s="14" customFormat="1" ht="17.100000000000001" customHeight="1">
      <c r="B194" s="89"/>
      <c r="C194" s="90"/>
      <c r="D194" s="91"/>
      <c r="E194" s="92"/>
      <c r="F194" s="89"/>
      <c r="G194" s="89"/>
      <c r="H194" s="89"/>
      <c r="I194" s="89"/>
      <c r="J194" s="89"/>
      <c r="K194" s="89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</row>
    <row r="195" spans="2:23" s="14" customFormat="1" ht="17.100000000000001" customHeight="1">
      <c r="B195" s="89"/>
      <c r="C195" s="90"/>
      <c r="D195" s="91"/>
      <c r="E195" s="92"/>
      <c r="F195" s="89"/>
      <c r="G195" s="89"/>
      <c r="H195" s="89"/>
      <c r="I195" s="89"/>
      <c r="J195" s="89"/>
      <c r="K195" s="89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</row>
    <row r="196" spans="2:23" s="14" customFormat="1" ht="17.100000000000001" customHeight="1">
      <c r="B196" s="89"/>
      <c r="C196" s="90"/>
      <c r="D196" s="91"/>
      <c r="E196" s="92"/>
      <c r="F196" s="89"/>
      <c r="G196" s="89"/>
      <c r="H196" s="89"/>
      <c r="I196" s="89"/>
      <c r="J196" s="89"/>
      <c r="K196" s="89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</row>
    <row r="197" spans="2:23" s="14" customFormat="1" ht="17.100000000000001" customHeight="1">
      <c r="B197" s="89"/>
      <c r="C197" s="90"/>
      <c r="D197" s="91"/>
      <c r="E197" s="92"/>
      <c r="F197" s="89"/>
      <c r="G197" s="89"/>
      <c r="H197" s="89"/>
      <c r="I197" s="89"/>
      <c r="J197" s="89"/>
      <c r="K197" s="89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</row>
    <row r="198" spans="2:23" s="14" customFormat="1" ht="17.100000000000001" customHeight="1">
      <c r="B198" s="89"/>
      <c r="C198" s="90"/>
      <c r="D198" s="91"/>
      <c r="E198" s="92"/>
      <c r="F198" s="89"/>
      <c r="G198" s="89"/>
      <c r="H198" s="89"/>
      <c r="I198" s="89"/>
      <c r="J198" s="89"/>
      <c r="K198" s="89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</row>
    <row r="199" spans="2:23" s="14" customFormat="1" ht="17.100000000000001" customHeight="1">
      <c r="B199" s="89"/>
      <c r="C199" s="90"/>
      <c r="D199" s="91"/>
      <c r="E199" s="92"/>
      <c r="F199" s="89"/>
      <c r="G199" s="89"/>
      <c r="H199" s="89"/>
      <c r="I199" s="89"/>
      <c r="J199" s="89"/>
      <c r="K199" s="89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</row>
    <row r="200" spans="2:23" s="14" customFormat="1" ht="17.100000000000001" customHeight="1">
      <c r="B200" s="89"/>
      <c r="C200" s="90"/>
      <c r="D200" s="91"/>
      <c r="E200" s="92"/>
      <c r="F200" s="89"/>
      <c r="G200" s="89"/>
      <c r="H200" s="89"/>
      <c r="I200" s="89"/>
      <c r="J200" s="89"/>
      <c r="K200" s="89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</row>
    <row r="201" spans="2:23" s="14" customFormat="1" ht="17.100000000000001" customHeight="1">
      <c r="B201" s="89"/>
      <c r="C201" s="90"/>
      <c r="D201" s="91"/>
      <c r="E201" s="92"/>
      <c r="F201" s="89"/>
      <c r="G201" s="89"/>
      <c r="H201" s="89"/>
      <c r="I201" s="89"/>
      <c r="J201" s="89"/>
      <c r="K201" s="89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</row>
    <row r="202" spans="2:23" s="14" customFormat="1" ht="17.100000000000001" customHeight="1">
      <c r="B202" s="89"/>
      <c r="C202" s="90"/>
      <c r="D202" s="91"/>
      <c r="E202" s="92"/>
      <c r="F202" s="89"/>
      <c r="G202" s="89"/>
      <c r="H202" s="89"/>
      <c r="I202" s="89"/>
      <c r="J202" s="89"/>
      <c r="K202" s="89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</row>
    <row r="203" spans="2:23" s="14" customFormat="1" ht="17.100000000000001" customHeight="1">
      <c r="B203" s="89"/>
      <c r="C203" s="90"/>
      <c r="D203" s="91"/>
      <c r="E203" s="92"/>
      <c r="F203" s="89"/>
      <c r="G203" s="89"/>
      <c r="H203" s="89"/>
      <c r="I203" s="89"/>
      <c r="J203" s="89"/>
      <c r="K203" s="89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</row>
    <row r="204" spans="2:23" s="14" customFormat="1" ht="17.100000000000001" customHeight="1">
      <c r="B204" s="89"/>
      <c r="C204" s="90"/>
      <c r="D204" s="91"/>
      <c r="E204" s="92"/>
      <c r="F204" s="89"/>
      <c r="G204" s="89"/>
      <c r="H204" s="89"/>
      <c r="I204" s="89"/>
      <c r="J204" s="89"/>
      <c r="K204" s="89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</row>
    <row r="205" spans="2:23" s="14" customFormat="1" ht="17.100000000000001" customHeight="1">
      <c r="B205" s="89"/>
      <c r="C205" s="90"/>
      <c r="D205" s="91"/>
      <c r="E205" s="92"/>
      <c r="F205" s="89"/>
      <c r="G205" s="89"/>
      <c r="H205" s="89"/>
      <c r="I205" s="89"/>
      <c r="J205" s="89"/>
      <c r="K205" s="89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</row>
    <row r="206" spans="2:23" s="14" customFormat="1" ht="17.100000000000001" customHeight="1">
      <c r="B206" s="89"/>
      <c r="C206" s="90"/>
      <c r="D206" s="91"/>
      <c r="E206" s="92"/>
      <c r="F206" s="89"/>
      <c r="G206" s="89"/>
      <c r="H206" s="89"/>
      <c r="I206" s="89"/>
      <c r="J206" s="89"/>
      <c r="K206" s="89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</row>
    <row r="207" spans="2:23" s="14" customFormat="1" ht="17.100000000000001" customHeight="1">
      <c r="B207" s="89"/>
      <c r="C207" s="90"/>
      <c r="D207" s="91"/>
      <c r="E207" s="92"/>
      <c r="F207" s="89"/>
      <c r="G207" s="89"/>
      <c r="H207" s="89"/>
      <c r="I207" s="89"/>
      <c r="J207" s="89"/>
      <c r="K207" s="89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</row>
    <row r="208" spans="2:23" s="14" customFormat="1" ht="17.100000000000001" customHeight="1">
      <c r="B208" s="89"/>
      <c r="C208" s="90"/>
      <c r="D208" s="91"/>
      <c r="E208" s="92"/>
      <c r="F208" s="89"/>
      <c r="G208" s="89"/>
      <c r="H208" s="89"/>
      <c r="I208" s="89"/>
      <c r="J208" s="89"/>
      <c r="K208" s="89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</row>
    <row r="209" spans="2:23" s="14" customFormat="1" ht="17.100000000000001" customHeight="1">
      <c r="B209" s="89"/>
      <c r="C209" s="90"/>
      <c r="D209" s="91"/>
      <c r="E209" s="92"/>
      <c r="F209" s="89"/>
      <c r="G209" s="89"/>
      <c r="H209" s="89"/>
      <c r="I209" s="89"/>
      <c r="J209" s="89"/>
      <c r="K209" s="89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</row>
    <row r="210" spans="2:23" s="14" customFormat="1" ht="17.100000000000001" customHeight="1">
      <c r="B210" s="89"/>
      <c r="C210" s="90"/>
      <c r="D210" s="91"/>
      <c r="E210" s="92"/>
      <c r="F210" s="89"/>
      <c r="G210" s="89"/>
      <c r="H210" s="89"/>
      <c r="I210" s="89"/>
      <c r="J210" s="89"/>
      <c r="K210" s="89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</row>
    <row r="211" spans="2:23" s="14" customFormat="1" ht="17.100000000000001" customHeight="1">
      <c r="B211" s="89"/>
      <c r="C211" s="90"/>
      <c r="D211" s="91"/>
      <c r="E211" s="92"/>
      <c r="F211" s="89"/>
      <c r="G211" s="89"/>
      <c r="H211" s="89"/>
      <c r="I211" s="89"/>
      <c r="J211" s="89"/>
      <c r="K211" s="89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</row>
    <row r="212" spans="2:23" s="14" customFormat="1" ht="17.100000000000001" customHeight="1">
      <c r="B212" s="89"/>
      <c r="C212" s="90"/>
      <c r="D212" s="91"/>
      <c r="E212" s="92"/>
      <c r="F212" s="89"/>
      <c r="G212" s="89"/>
      <c r="H212" s="89"/>
      <c r="I212" s="89"/>
      <c r="J212" s="89"/>
      <c r="K212" s="89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</row>
    <row r="213" spans="2:23" s="14" customFormat="1" ht="17.100000000000001" customHeight="1">
      <c r="B213" s="89"/>
      <c r="C213" s="90"/>
      <c r="D213" s="91"/>
      <c r="E213" s="92"/>
      <c r="F213" s="89"/>
      <c r="G213" s="89"/>
      <c r="H213" s="89"/>
      <c r="I213" s="89"/>
      <c r="J213" s="89"/>
      <c r="K213" s="89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</row>
    <row r="214" spans="2:23" s="14" customFormat="1" ht="17.100000000000001" customHeight="1">
      <c r="B214" s="89"/>
      <c r="C214" s="90"/>
      <c r="D214" s="91"/>
      <c r="E214" s="92"/>
      <c r="F214" s="89"/>
      <c r="G214" s="89"/>
      <c r="H214" s="89"/>
      <c r="I214" s="89"/>
      <c r="J214" s="89"/>
      <c r="K214" s="89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</row>
    <row r="215" spans="2:23" s="14" customFormat="1" ht="17.100000000000001" customHeight="1">
      <c r="B215" s="89"/>
      <c r="C215" s="90"/>
      <c r="D215" s="91"/>
      <c r="E215" s="92"/>
      <c r="F215" s="89"/>
      <c r="G215" s="89"/>
      <c r="H215" s="89"/>
      <c r="I215" s="89"/>
      <c r="J215" s="89"/>
      <c r="K215" s="89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</row>
    <row r="216" spans="2:23" s="14" customFormat="1" ht="17.100000000000001" customHeight="1">
      <c r="B216" s="89"/>
      <c r="C216" s="90"/>
      <c r="D216" s="91"/>
      <c r="E216" s="92"/>
      <c r="F216" s="89"/>
      <c r="G216" s="89"/>
      <c r="H216" s="89"/>
      <c r="I216" s="89"/>
      <c r="J216" s="89"/>
      <c r="K216" s="89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</row>
    <row r="217" spans="2:23" s="14" customFormat="1" ht="17.100000000000001" customHeight="1">
      <c r="B217" s="89"/>
      <c r="C217" s="90"/>
      <c r="D217" s="91"/>
      <c r="E217" s="92"/>
      <c r="F217" s="89"/>
      <c r="G217" s="89"/>
      <c r="H217" s="89"/>
      <c r="I217" s="89"/>
      <c r="J217" s="89"/>
      <c r="K217" s="89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</row>
    <row r="218" spans="2:23" s="14" customFormat="1" ht="17.100000000000001" customHeight="1">
      <c r="B218" s="89"/>
      <c r="C218" s="90"/>
      <c r="D218" s="91"/>
      <c r="E218" s="92"/>
      <c r="F218" s="89"/>
      <c r="G218" s="89"/>
      <c r="H218" s="89"/>
      <c r="I218" s="89"/>
      <c r="J218" s="89"/>
      <c r="K218" s="89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</row>
    <row r="219" spans="2:23" s="14" customFormat="1" ht="17.100000000000001" customHeight="1">
      <c r="B219" s="89"/>
      <c r="C219" s="90"/>
      <c r="D219" s="91"/>
      <c r="E219" s="92"/>
      <c r="F219" s="89"/>
      <c r="G219" s="89"/>
      <c r="H219" s="89"/>
      <c r="I219" s="89"/>
      <c r="J219" s="89"/>
      <c r="K219" s="89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</row>
    <row r="220" spans="2:23" s="14" customFormat="1" ht="17.100000000000001" customHeight="1">
      <c r="B220" s="89"/>
      <c r="C220" s="90"/>
      <c r="D220" s="91"/>
      <c r="E220" s="92"/>
      <c r="F220" s="89"/>
      <c r="G220" s="89"/>
      <c r="H220" s="89"/>
      <c r="I220" s="89"/>
      <c r="J220" s="89"/>
      <c r="K220" s="89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</row>
    <row r="221" spans="2:23" s="14" customFormat="1" ht="17.100000000000001" customHeight="1">
      <c r="B221" s="89"/>
      <c r="C221" s="90"/>
      <c r="D221" s="91"/>
      <c r="E221" s="92"/>
      <c r="F221" s="89"/>
      <c r="G221" s="89"/>
      <c r="H221" s="89"/>
      <c r="I221" s="89"/>
      <c r="J221" s="89"/>
      <c r="K221" s="89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</row>
    <row r="222" spans="2:23" s="14" customFormat="1" ht="17.100000000000001" customHeight="1">
      <c r="B222" s="89"/>
      <c r="C222" s="90"/>
      <c r="D222" s="91"/>
      <c r="E222" s="92"/>
      <c r="F222" s="89"/>
      <c r="G222" s="89"/>
      <c r="H222" s="89"/>
      <c r="I222" s="89"/>
      <c r="J222" s="89"/>
      <c r="K222" s="89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</row>
    <row r="223" spans="2:23" s="14" customFormat="1" ht="17.100000000000001" customHeight="1">
      <c r="B223" s="89"/>
      <c r="C223" s="90"/>
      <c r="D223" s="91"/>
      <c r="E223" s="92"/>
      <c r="F223" s="89"/>
      <c r="G223" s="89"/>
      <c r="H223" s="89"/>
      <c r="I223" s="89"/>
      <c r="J223" s="89"/>
      <c r="K223" s="89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</row>
    <row r="224" spans="2:23" s="14" customFormat="1" ht="17.100000000000001" customHeight="1">
      <c r="B224" s="89"/>
      <c r="C224" s="90"/>
      <c r="D224" s="91"/>
      <c r="E224" s="92"/>
      <c r="F224" s="89"/>
      <c r="G224" s="89"/>
      <c r="H224" s="89"/>
      <c r="I224" s="89"/>
      <c r="J224" s="89"/>
      <c r="K224" s="89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</row>
    <row r="225" spans="2:23" s="14" customFormat="1" ht="17.100000000000001" customHeight="1">
      <c r="B225" s="89"/>
      <c r="C225" s="90"/>
      <c r="D225" s="91"/>
      <c r="E225" s="92"/>
      <c r="F225" s="89"/>
      <c r="G225" s="89"/>
      <c r="H225" s="89"/>
      <c r="I225" s="89"/>
      <c r="J225" s="89"/>
      <c r="K225" s="89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</row>
    <row r="226" spans="2:23" s="14" customFormat="1" ht="17.100000000000001" customHeight="1">
      <c r="B226" s="89"/>
      <c r="C226" s="90"/>
      <c r="D226" s="91"/>
      <c r="E226" s="92"/>
      <c r="F226" s="89"/>
      <c r="G226" s="89"/>
      <c r="H226" s="89"/>
      <c r="I226" s="89"/>
      <c r="J226" s="89"/>
      <c r="K226" s="89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</row>
    <row r="227" spans="2:23" s="14" customFormat="1" ht="17.100000000000001" customHeight="1">
      <c r="B227" s="89"/>
      <c r="C227" s="90"/>
      <c r="D227" s="91"/>
      <c r="E227" s="92"/>
      <c r="F227" s="89"/>
      <c r="G227" s="89"/>
      <c r="H227" s="89"/>
      <c r="I227" s="89"/>
      <c r="J227" s="89"/>
      <c r="K227" s="89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</row>
    <row r="228" spans="2:23" s="14" customFormat="1" ht="17.100000000000001" customHeight="1">
      <c r="B228" s="89"/>
      <c r="C228" s="90"/>
      <c r="D228" s="91"/>
      <c r="E228" s="92"/>
      <c r="F228" s="89"/>
      <c r="G228" s="89"/>
      <c r="H228" s="89"/>
      <c r="I228" s="89"/>
      <c r="J228" s="89"/>
      <c r="K228" s="89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</row>
    <row r="229" spans="2:23" s="14" customFormat="1" ht="17.100000000000001" customHeight="1">
      <c r="B229" s="89"/>
      <c r="C229" s="90"/>
      <c r="D229" s="91"/>
      <c r="E229" s="92"/>
      <c r="F229" s="89"/>
      <c r="G229" s="89"/>
      <c r="H229" s="89"/>
      <c r="I229" s="89"/>
      <c r="J229" s="89"/>
      <c r="K229" s="89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</row>
    <row r="230" spans="2:23" s="14" customFormat="1" ht="17.100000000000001" customHeight="1">
      <c r="B230" s="89"/>
      <c r="C230" s="90"/>
      <c r="D230" s="91"/>
      <c r="E230" s="92"/>
      <c r="F230" s="89"/>
      <c r="G230" s="89"/>
      <c r="H230" s="89"/>
      <c r="I230" s="89"/>
      <c r="J230" s="89"/>
      <c r="K230" s="89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</row>
    <row r="231" spans="2:23" s="14" customFormat="1" ht="17.100000000000001" customHeight="1">
      <c r="B231" s="89"/>
      <c r="C231" s="90"/>
      <c r="D231" s="91"/>
      <c r="E231" s="92"/>
      <c r="F231" s="89"/>
      <c r="G231" s="89"/>
      <c r="H231" s="89"/>
      <c r="I231" s="89"/>
      <c r="J231" s="89"/>
      <c r="K231" s="89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</row>
    <row r="232" spans="2:23" s="14" customFormat="1" ht="17.100000000000001" customHeight="1">
      <c r="B232" s="89"/>
      <c r="C232" s="90"/>
      <c r="D232" s="91"/>
      <c r="E232" s="92"/>
      <c r="F232" s="89"/>
      <c r="G232" s="89"/>
      <c r="H232" s="89"/>
      <c r="I232" s="89"/>
      <c r="J232" s="89"/>
      <c r="K232" s="89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</row>
    <row r="233" spans="2:23" s="14" customFormat="1" ht="17.100000000000001" customHeight="1">
      <c r="B233" s="89"/>
      <c r="C233" s="90"/>
      <c r="D233" s="91"/>
      <c r="E233" s="92"/>
      <c r="F233" s="89"/>
      <c r="G233" s="89"/>
      <c r="H233" s="89"/>
      <c r="I233" s="89"/>
      <c r="J233" s="89"/>
      <c r="K233" s="89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</row>
    <row r="234" spans="2:23" s="14" customFormat="1" ht="17.100000000000001" customHeight="1">
      <c r="B234" s="89"/>
      <c r="C234" s="90"/>
      <c r="D234" s="91"/>
      <c r="E234" s="92"/>
      <c r="F234" s="89"/>
      <c r="G234" s="89"/>
      <c r="H234" s="89"/>
      <c r="I234" s="89"/>
      <c r="J234" s="89"/>
      <c r="K234" s="89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</row>
    <row r="235" spans="2:23" s="14" customFormat="1" ht="17.100000000000001" customHeight="1">
      <c r="B235" s="89"/>
      <c r="C235" s="90"/>
      <c r="D235" s="91"/>
      <c r="E235" s="92"/>
      <c r="F235" s="89"/>
      <c r="G235" s="89"/>
      <c r="H235" s="89"/>
      <c r="I235" s="89"/>
      <c r="J235" s="89"/>
      <c r="K235" s="89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</row>
    <row r="236" spans="2:23" s="14" customFormat="1" ht="17.100000000000001" customHeight="1">
      <c r="B236" s="89"/>
      <c r="C236" s="90"/>
      <c r="D236" s="91"/>
      <c r="E236" s="92"/>
      <c r="F236" s="89"/>
      <c r="G236" s="89"/>
      <c r="H236" s="89"/>
      <c r="I236" s="89"/>
      <c r="J236" s="89"/>
      <c r="K236" s="89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</row>
    <row r="237" spans="2:23" s="14" customFormat="1" ht="17.100000000000001" customHeight="1">
      <c r="B237" s="89"/>
      <c r="C237" s="90"/>
      <c r="D237" s="91"/>
      <c r="E237" s="92"/>
      <c r="F237" s="89"/>
      <c r="G237" s="89"/>
      <c r="H237" s="89"/>
      <c r="I237" s="89"/>
      <c r="J237" s="89"/>
      <c r="K237" s="89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</row>
    <row r="238" spans="2:23" s="14" customFormat="1" ht="17.100000000000001" customHeight="1">
      <c r="B238" s="89"/>
      <c r="C238" s="90"/>
      <c r="D238" s="91"/>
      <c r="E238" s="92"/>
      <c r="F238" s="89"/>
      <c r="G238" s="89"/>
      <c r="H238" s="89"/>
      <c r="I238" s="89"/>
      <c r="J238" s="89"/>
      <c r="K238" s="89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</row>
    <row r="239" spans="2:23" s="14" customFormat="1" ht="17.100000000000001" customHeight="1">
      <c r="B239" s="89"/>
      <c r="C239" s="90"/>
      <c r="D239" s="91"/>
      <c r="E239" s="92"/>
      <c r="F239" s="89"/>
      <c r="G239" s="89"/>
      <c r="H239" s="89"/>
      <c r="I239" s="89"/>
      <c r="J239" s="89"/>
      <c r="K239" s="89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</row>
    <row r="240" spans="2:23" s="14" customFormat="1" ht="17.100000000000001" customHeight="1">
      <c r="B240" s="89"/>
      <c r="C240" s="90"/>
      <c r="D240" s="91"/>
      <c r="E240" s="92"/>
      <c r="F240" s="89"/>
      <c r="G240" s="89"/>
      <c r="H240" s="89"/>
      <c r="I240" s="89"/>
      <c r="J240" s="89"/>
      <c r="K240" s="89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</row>
    <row r="241" spans="2:23" s="14" customFormat="1" ht="17.100000000000001" customHeight="1">
      <c r="B241" s="89"/>
      <c r="C241" s="90"/>
      <c r="D241" s="91"/>
      <c r="E241" s="92"/>
      <c r="F241" s="89"/>
      <c r="G241" s="89"/>
      <c r="H241" s="89"/>
      <c r="I241" s="89"/>
      <c r="J241" s="89"/>
      <c r="K241" s="89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</row>
    <row r="242" spans="2:23" s="14" customFormat="1" ht="17.100000000000001" customHeight="1">
      <c r="B242" s="89"/>
      <c r="C242" s="90"/>
      <c r="D242" s="91"/>
      <c r="E242" s="92"/>
      <c r="F242" s="89"/>
      <c r="G242" s="89"/>
      <c r="H242" s="89"/>
      <c r="I242" s="89"/>
      <c r="J242" s="89"/>
      <c r="K242" s="89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</row>
    <row r="243" spans="2:23" s="14" customFormat="1" ht="17.100000000000001" customHeight="1">
      <c r="B243" s="89"/>
      <c r="C243" s="90"/>
      <c r="D243" s="91"/>
      <c r="E243" s="92"/>
      <c r="F243" s="89"/>
      <c r="G243" s="89"/>
      <c r="H243" s="89"/>
      <c r="I243" s="89"/>
      <c r="J243" s="89"/>
      <c r="K243" s="89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</row>
    <row r="244" spans="2:23" s="14" customFormat="1" ht="17.100000000000001" customHeight="1">
      <c r="B244" s="89"/>
      <c r="C244" s="90"/>
      <c r="D244" s="91"/>
      <c r="E244" s="92"/>
      <c r="F244" s="89"/>
      <c r="G244" s="89"/>
      <c r="H244" s="89"/>
      <c r="I244" s="89"/>
      <c r="J244" s="89"/>
      <c r="K244" s="89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</row>
    <row r="245" spans="2:23" s="14" customFormat="1" ht="17.100000000000001" customHeight="1">
      <c r="B245" s="89"/>
      <c r="C245" s="90"/>
      <c r="D245" s="91"/>
      <c r="E245" s="92"/>
      <c r="F245" s="89"/>
      <c r="G245" s="89"/>
      <c r="H245" s="89"/>
      <c r="I245" s="89"/>
      <c r="J245" s="89"/>
      <c r="K245" s="89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</row>
    <row r="246" spans="2:23" s="14" customFormat="1" ht="17.100000000000001" customHeight="1">
      <c r="B246" s="89"/>
      <c r="C246" s="90"/>
      <c r="D246" s="91"/>
      <c r="E246" s="92"/>
      <c r="F246" s="89"/>
      <c r="G246" s="89"/>
      <c r="H246" s="89"/>
      <c r="I246" s="89"/>
      <c r="J246" s="89"/>
      <c r="K246" s="89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</row>
    <row r="247" spans="2:23" s="14" customFormat="1" ht="17.100000000000001" customHeight="1">
      <c r="B247" s="89"/>
      <c r="C247" s="90"/>
      <c r="D247" s="91"/>
      <c r="E247" s="92"/>
      <c r="F247" s="89"/>
      <c r="G247" s="89"/>
      <c r="H247" s="89"/>
      <c r="I247" s="89"/>
      <c r="J247" s="89"/>
      <c r="K247" s="89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</row>
    <row r="248" spans="2:23" s="14" customFormat="1" ht="17.100000000000001" customHeight="1">
      <c r="B248" s="89"/>
      <c r="C248" s="90"/>
      <c r="D248" s="91"/>
      <c r="E248" s="92"/>
      <c r="F248" s="89"/>
      <c r="G248" s="89"/>
      <c r="H248" s="89"/>
      <c r="I248" s="89"/>
      <c r="J248" s="89"/>
      <c r="K248" s="89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</row>
    <row r="249" spans="2:23" s="14" customFormat="1" ht="17.100000000000001" customHeight="1">
      <c r="B249" s="89"/>
      <c r="C249" s="90"/>
      <c r="D249" s="91"/>
      <c r="E249" s="92"/>
      <c r="F249" s="89"/>
      <c r="G249" s="89"/>
      <c r="H249" s="89"/>
      <c r="I249" s="89"/>
      <c r="J249" s="89"/>
      <c r="K249" s="89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</row>
    <row r="250" spans="2:23" s="14" customFormat="1" ht="17.100000000000001" customHeight="1">
      <c r="B250" s="89"/>
      <c r="C250" s="90"/>
      <c r="D250" s="91"/>
      <c r="E250" s="92"/>
      <c r="F250" s="89"/>
      <c r="G250" s="89"/>
      <c r="H250" s="89"/>
      <c r="I250" s="89"/>
      <c r="J250" s="89"/>
      <c r="K250" s="89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</row>
    <row r="251" spans="2:23" s="14" customFormat="1" ht="17.100000000000001" customHeight="1">
      <c r="B251" s="89"/>
      <c r="C251" s="90"/>
      <c r="D251" s="91"/>
      <c r="E251" s="92"/>
      <c r="F251" s="89"/>
      <c r="G251" s="89"/>
      <c r="H251" s="89"/>
      <c r="I251" s="89"/>
      <c r="J251" s="89"/>
      <c r="K251" s="89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</row>
    <row r="252" spans="2:23" s="14" customFormat="1" ht="17.100000000000001" customHeight="1">
      <c r="B252" s="89"/>
      <c r="C252" s="90"/>
      <c r="D252" s="91"/>
      <c r="E252" s="92"/>
      <c r="F252" s="89"/>
      <c r="G252" s="89"/>
      <c r="H252" s="89"/>
      <c r="I252" s="89"/>
      <c r="J252" s="89"/>
      <c r="K252" s="89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</row>
    <row r="253" spans="2:23" s="14" customFormat="1" ht="17.100000000000001" customHeight="1">
      <c r="B253" s="89"/>
      <c r="C253" s="90"/>
      <c r="D253" s="91"/>
      <c r="E253" s="92"/>
      <c r="F253" s="89"/>
      <c r="G253" s="89"/>
      <c r="H253" s="89"/>
      <c r="I253" s="89"/>
      <c r="J253" s="89"/>
      <c r="K253" s="89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</row>
    <row r="254" spans="2:23" s="14" customFormat="1" ht="17.100000000000001" customHeight="1">
      <c r="B254" s="89"/>
      <c r="C254" s="90"/>
      <c r="D254" s="91"/>
      <c r="E254" s="92"/>
      <c r="F254" s="89"/>
      <c r="G254" s="89"/>
      <c r="H254" s="89"/>
      <c r="I254" s="89"/>
      <c r="J254" s="89"/>
      <c r="K254" s="89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</row>
    <row r="255" spans="2:23" s="14" customFormat="1" ht="17.100000000000001" customHeight="1">
      <c r="B255" s="89"/>
      <c r="C255" s="90"/>
      <c r="D255" s="91"/>
      <c r="E255" s="92"/>
      <c r="F255" s="89"/>
      <c r="G255" s="89"/>
      <c r="H255" s="89"/>
      <c r="I255" s="89"/>
      <c r="J255" s="89"/>
      <c r="K255" s="89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</row>
    <row r="256" spans="2:23" s="14" customFormat="1" ht="17.100000000000001" customHeight="1">
      <c r="B256" s="89"/>
      <c r="C256" s="90"/>
      <c r="D256" s="91"/>
      <c r="E256" s="92"/>
      <c r="F256" s="89"/>
      <c r="G256" s="89"/>
      <c r="H256" s="89"/>
      <c r="I256" s="89"/>
      <c r="J256" s="89"/>
      <c r="K256" s="89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</row>
    <row r="257" spans="2:23" s="14" customFormat="1" ht="17.100000000000001" customHeight="1">
      <c r="B257" s="89"/>
      <c r="C257" s="90"/>
      <c r="D257" s="91"/>
      <c r="E257" s="92"/>
      <c r="F257" s="89"/>
      <c r="G257" s="89"/>
      <c r="H257" s="89"/>
      <c r="I257" s="89"/>
      <c r="J257" s="89"/>
      <c r="K257" s="89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</row>
    <row r="258" spans="2:23" s="14" customFormat="1" ht="17.100000000000001" customHeight="1">
      <c r="B258" s="89"/>
      <c r="C258" s="90"/>
      <c r="D258" s="91"/>
      <c r="E258" s="92"/>
      <c r="F258" s="89"/>
      <c r="G258" s="89"/>
      <c r="H258" s="89"/>
      <c r="I258" s="89"/>
      <c r="J258" s="89"/>
      <c r="K258" s="89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</row>
    <row r="259" spans="2:23" s="14" customFormat="1" ht="17.100000000000001" customHeight="1">
      <c r="B259" s="89"/>
      <c r="C259" s="90"/>
      <c r="D259" s="91"/>
      <c r="E259" s="92"/>
      <c r="F259" s="89"/>
      <c r="G259" s="89"/>
      <c r="H259" s="89"/>
      <c r="I259" s="89"/>
      <c r="J259" s="89"/>
      <c r="K259" s="89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</row>
    <row r="260" spans="2:23" s="14" customFormat="1" ht="17.100000000000001" customHeight="1">
      <c r="B260" s="89"/>
      <c r="C260" s="90"/>
      <c r="D260" s="91"/>
      <c r="E260" s="92"/>
      <c r="F260" s="89"/>
      <c r="G260" s="89"/>
      <c r="H260" s="89"/>
      <c r="I260" s="89"/>
      <c r="J260" s="89"/>
      <c r="K260" s="89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</row>
    <row r="261" spans="2:23" s="14" customFormat="1" ht="17.100000000000001" customHeight="1">
      <c r="B261" s="89"/>
      <c r="C261" s="90"/>
      <c r="D261" s="91"/>
      <c r="E261" s="92"/>
      <c r="F261" s="89"/>
      <c r="G261" s="89"/>
      <c r="H261" s="89"/>
      <c r="I261" s="89"/>
      <c r="J261" s="89"/>
      <c r="K261" s="89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</row>
    <row r="262" spans="2:23" s="14" customFormat="1" ht="17.100000000000001" customHeight="1">
      <c r="B262" s="89"/>
      <c r="C262" s="90"/>
      <c r="D262" s="91"/>
      <c r="E262" s="92"/>
      <c r="F262" s="89"/>
      <c r="G262" s="89"/>
      <c r="H262" s="89"/>
      <c r="I262" s="89"/>
      <c r="J262" s="89"/>
      <c r="K262" s="89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</row>
    <row r="263" spans="2:23" s="14" customFormat="1" ht="17.100000000000001" customHeight="1">
      <c r="B263" s="89"/>
      <c r="C263" s="90"/>
      <c r="D263" s="91"/>
      <c r="E263" s="92"/>
      <c r="F263" s="89"/>
      <c r="G263" s="89"/>
      <c r="H263" s="89"/>
      <c r="I263" s="89"/>
      <c r="J263" s="89"/>
      <c r="K263" s="89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</row>
    <row r="264" spans="2:23" s="14" customFormat="1" ht="17.100000000000001" customHeight="1">
      <c r="B264" s="89"/>
      <c r="C264" s="90"/>
      <c r="D264" s="91"/>
      <c r="E264" s="92"/>
      <c r="F264" s="89"/>
      <c r="G264" s="89"/>
      <c r="H264" s="89"/>
      <c r="I264" s="89"/>
      <c r="J264" s="89"/>
      <c r="K264" s="89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</row>
    <row r="265" spans="2:23" s="14" customFormat="1" ht="17.100000000000001" customHeight="1">
      <c r="B265" s="89"/>
      <c r="C265" s="90"/>
      <c r="D265" s="91"/>
      <c r="E265" s="92"/>
      <c r="F265" s="89"/>
      <c r="G265" s="89"/>
      <c r="H265" s="89"/>
      <c r="I265" s="89"/>
      <c r="J265" s="89"/>
      <c r="K265" s="89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</row>
    <row r="266" spans="2:23" s="14" customFormat="1" ht="17.100000000000001" customHeight="1">
      <c r="B266" s="89"/>
      <c r="C266" s="90"/>
      <c r="D266" s="91"/>
      <c r="E266" s="92"/>
      <c r="F266" s="89"/>
      <c r="G266" s="89"/>
      <c r="H266" s="89"/>
      <c r="I266" s="89"/>
      <c r="J266" s="89"/>
      <c r="K266" s="89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</row>
    <row r="267" spans="2:23" s="14" customFormat="1" ht="17.100000000000001" customHeight="1">
      <c r="B267" s="89"/>
      <c r="C267" s="90"/>
      <c r="D267" s="91"/>
      <c r="E267" s="92"/>
      <c r="F267" s="89"/>
      <c r="G267" s="89"/>
      <c r="H267" s="89"/>
      <c r="I267" s="89"/>
      <c r="J267" s="89"/>
      <c r="K267" s="89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</row>
    <row r="268" spans="2:23" s="14" customFormat="1" ht="17.100000000000001" customHeight="1">
      <c r="B268" s="89"/>
      <c r="C268" s="90"/>
      <c r="D268" s="91"/>
      <c r="E268" s="92"/>
      <c r="F268" s="89"/>
      <c r="G268" s="89"/>
      <c r="H268" s="89"/>
      <c r="I268" s="89"/>
      <c r="J268" s="89"/>
      <c r="K268" s="89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</row>
    <row r="269" spans="2:23" s="14" customFormat="1" ht="17.100000000000001" customHeight="1">
      <c r="B269" s="89"/>
      <c r="C269" s="90"/>
      <c r="D269" s="91"/>
      <c r="E269" s="92"/>
      <c r="F269" s="89"/>
      <c r="G269" s="89"/>
      <c r="H269" s="89"/>
      <c r="I269" s="89"/>
      <c r="J269" s="89"/>
      <c r="K269" s="89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</row>
    <row r="270" spans="2:23" s="14" customFormat="1" ht="17.100000000000001" customHeight="1">
      <c r="B270" s="89"/>
      <c r="C270" s="90"/>
      <c r="D270" s="91"/>
      <c r="E270" s="92"/>
      <c r="F270" s="89"/>
      <c r="G270" s="89"/>
      <c r="H270" s="89"/>
      <c r="I270" s="89"/>
      <c r="J270" s="89"/>
      <c r="K270" s="89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</row>
    <row r="271" spans="2:23" s="14" customFormat="1" ht="17.100000000000001" customHeight="1">
      <c r="B271" s="89"/>
      <c r="C271" s="90"/>
      <c r="D271" s="91"/>
      <c r="E271" s="92"/>
      <c r="F271" s="89"/>
      <c r="G271" s="89"/>
      <c r="H271" s="89"/>
      <c r="I271" s="89"/>
      <c r="J271" s="89"/>
      <c r="K271" s="89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</row>
    <row r="272" spans="2:23" s="14" customFormat="1" ht="17.100000000000001" customHeight="1">
      <c r="B272" s="89"/>
      <c r="C272" s="90"/>
      <c r="D272" s="91"/>
      <c r="E272" s="92"/>
      <c r="F272" s="89"/>
      <c r="G272" s="89"/>
      <c r="H272" s="89"/>
      <c r="I272" s="89"/>
      <c r="J272" s="89"/>
      <c r="K272" s="89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</row>
    <row r="273" spans="2:23" s="14" customFormat="1" ht="17.100000000000001" customHeight="1">
      <c r="B273" s="89"/>
      <c r="C273" s="90"/>
      <c r="D273" s="91"/>
      <c r="E273" s="92"/>
      <c r="F273" s="89"/>
      <c r="G273" s="89"/>
      <c r="H273" s="89"/>
      <c r="I273" s="89"/>
      <c r="J273" s="89"/>
      <c r="K273" s="89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</row>
    <row r="274" spans="2:23" s="14" customFormat="1" ht="17.100000000000001" customHeight="1">
      <c r="B274" s="89"/>
      <c r="C274" s="90"/>
      <c r="D274" s="91"/>
      <c r="E274" s="92"/>
      <c r="F274" s="89"/>
      <c r="G274" s="89"/>
      <c r="H274" s="89"/>
      <c r="I274" s="89"/>
      <c r="J274" s="89"/>
      <c r="K274" s="89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</row>
    <row r="275" spans="2:23" s="14" customFormat="1" ht="17.100000000000001" customHeight="1">
      <c r="B275" s="89"/>
      <c r="C275" s="90"/>
      <c r="D275" s="91"/>
      <c r="E275" s="92"/>
      <c r="F275" s="89"/>
      <c r="G275" s="89"/>
      <c r="H275" s="89"/>
      <c r="I275" s="89"/>
      <c r="J275" s="89"/>
      <c r="K275" s="89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</row>
    <row r="276" spans="2:23" s="14" customFormat="1" ht="17.100000000000001" customHeight="1">
      <c r="B276" s="89"/>
      <c r="C276" s="90"/>
      <c r="D276" s="91"/>
      <c r="E276" s="92"/>
      <c r="F276" s="89"/>
      <c r="G276" s="89"/>
      <c r="H276" s="89"/>
      <c r="I276" s="89"/>
      <c r="J276" s="89"/>
      <c r="K276" s="89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</row>
    <row r="277" spans="2:23" s="14" customFormat="1" ht="17.100000000000001" customHeight="1">
      <c r="B277" s="89"/>
      <c r="C277" s="90"/>
      <c r="D277" s="91"/>
      <c r="E277" s="92"/>
      <c r="F277" s="89"/>
      <c r="G277" s="89"/>
      <c r="H277" s="89"/>
      <c r="I277" s="89"/>
      <c r="J277" s="89"/>
      <c r="K277" s="89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</row>
    <row r="278" spans="2:23" s="14" customFormat="1" ht="17.100000000000001" customHeight="1">
      <c r="B278" s="89"/>
      <c r="C278" s="90"/>
      <c r="D278" s="91"/>
      <c r="E278" s="92"/>
      <c r="F278" s="89"/>
      <c r="G278" s="89"/>
      <c r="H278" s="89"/>
      <c r="I278" s="89"/>
      <c r="J278" s="89"/>
      <c r="K278" s="89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</row>
    <row r="279" spans="2:23" s="14" customFormat="1" ht="17.100000000000001" customHeight="1">
      <c r="B279" s="89"/>
      <c r="C279" s="90"/>
      <c r="D279" s="91"/>
      <c r="E279" s="92"/>
      <c r="F279" s="89"/>
      <c r="G279" s="89"/>
      <c r="H279" s="89"/>
      <c r="I279" s="89"/>
      <c r="J279" s="89"/>
      <c r="K279" s="89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</row>
    <row r="280" spans="2:23" s="14" customFormat="1" ht="17.100000000000001" customHeight="1">
      <c r="B280" s="89"/>
      <c r="C280" s="90"/>
      <c r="D280" s="91"/>
      <c r="E280" s="92"/>
      <c r="F280" s="89"/>
      <c r="G280" s="89"/>
      <c r="H280" s="89"/>
      <c r="I280" s="89"/>
      <c r="J280" s="89"/>
      <c r="K280" s="89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</row>
    <row r="281" spans="2:23" s="14" customFormat="1" ht="17.100000000000001" customHeight="1">
      <c r="B281" s="89"/>
      <c r="C281" s="90"/>
      <c r="D281" s="91"/>
      <c r="E281" s="92"/>
      <c r="F281" s="89"/>
      <c r="G281" s="89"/>
      <c r="H281" s="89"/>
      <c r="I281" s="89"/>
      <c r="J281" s="89"/>
      <c r="K281" s="89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</row>
    <row r="282" spans="2:23" s="14" customFormat="1" ht="17.100000000000001" customHeight="1">
      <c r="B282" s="89"/>
      <c r="C282" s="90"/>
      <c r="D282" s="91"/>
      <c r="E282" s="92"/>
      <c r="F282" s="89"/>
      <c r="G282" s="89"/>
      <c r="H282" s="89"/>
      <c r="I282" s="89"/>
      <c r="J282" s="89"/>
      <c r="K282" s="89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</row>
    <row r="283" spans="2:23" s="14" customFormat="1" ht="17.100000000000001" customHeight="1">
      <c r="B283" s="89"/>
      <c r="C283" s="90"/>
      <c r="D283" s="91"/>
      <c r="E283" s="92"/>
      <c r="F283" s="89"/>
      <c r="G283" s="89"/>
      <c r="H283" s="89"/>
      <c r="I283" s="89"/>
      <c r="J283" s="89"/>
      <c r="K283" s="89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</row>
    <row r="284" spans="2:23" s="14" customFormat="1" ht="17.100000000000001" customHeight="1">
      <c r="B284" s="89"/>
      <c r="C284" s="90"/>
      <c r="D284" s="91"/>
      <c r="E284" s="92"/>
      <c r="F284" s="89"/>
      <c r="G284" s="89"/>
      <c r="H284" s="89"/>
      <c r="I284" s="89"/>
      <c r="J284" s="89"/>
      <c r="K284" s="89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</row>
    <row r="285" spans="2:23" s="14" customFormat="1" ht="17.100000000000001" customHeight="1">
      <c r="B285" s="89"/>
      <c r="C285" s="90"/>
      <c r="D285" s="91"/>
      <c r="E285" s="92"/>
      <c r="F285" s="89"/>
      <c r="G285" s="89"/>
      <c r="H285" s="89"/>
      <c r="I285" s="89"/>
      <c r="J285" s="89"/>
      <c r="K285" s="89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</row>
    <row r="286" spans="2:23" s="14" customFormat="1" ht="17.100000000000001" customHeight="1">
      <c r="B286" s="89"/>
      <c r="C286" s="90"/>
      <c r="D286" s="91"/>
      <c r="E286" s="92"/>
      <c r="F286" s="89"/>
      <c r="G286" s="89"/>
      <c r="H286" s="89"/>
      <c r="I286" s="89"/>
      <c r="J286" s="89"/>
      <c r="K286" s="89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</row>
    <row r="287" spans="2:23" s="14" customFormat="1" ht="17.100000000000001" customHeight="1">
      <c r="B287" s="89"/>
      <c r="C287" s="90"/>
      <c r="D287" s="91"/>
      <c r="E287" s="92"/>
      <c r="F287" s="89"/>
      <c r="G287" s="89"/>
      <c r="H287" s="89"/>
      <c r="I287" s="89"/>
      <c r="J287" s="89"/>
      <c r="K287" s="89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</row>
    <row r="288" spans="2:23" s="14" customFormat="1" ht="17.100000000000001" customHeight="1">
      <c r="B288" s="89"/>
      <c r="C288" s="90"/>
      <c r="D288" s="91"/>
      <c r="E288" s="92"/>
      <c r="F288" s="89"/>
      <c r="G288" s="89"/>
      <c r="H288" s="89"/>
      <c r="I288" s="89"/>
      <c r="J288" s="89"/>
      <c r="K288" s="89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</row>
    <row r="289" spans="2:23" s="14" customFormat="1" ht="17.100000000000001" customHeight="1">
      <c r="B289" s="89"/>
      <c r="C289" s="90"/>
      <c r="D289" s="91"/>
      <c r="E289" s="92"/>
      <c r="F289" s="89"/>
      <c r="G289" s="89"/>
      <c r="H289" s="89"/>
      <c r="I289" s="89"/>
      <c r="J289" s="89"/>
      <c r="K289" s="89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</row>
    <row r="290" spans="2:23" s="14" customFormat="1" ht="17.100000000000001" customHeight="1">
      <c r="B290" s="89"/>
      <c r="C290" s="90"/>
      <c r="D290" s="91"/>
      <c r="E290" s="92"/>
      <c r="F290" s="89"/>
      <c r="G290" s="89"/>
      <c r="H290" s="89"/>
      <c r="I290" s="89"/>
      <c r="J290" s="89"/>
      <c r="K290" s="89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</row>
    <row r="291" spans="2:23" s="14" customFormat="1" ht="17.100000000000001" customHeight="1">
      <c r="B291" s="89"/>
      <c r="C291" s="90"/>
      <c r="D291" s="91"/>
      <c r="E291" s="92"/>
      <c r="F291" s="89"/>
      <c r="G291" s="89"/>
      <c r="H291" s="89"/>
      <c r="I291" s="89"/>
      <c r="J291" s="89"/>
      <c r="K291" s="89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</row>
    <row r="292" spans="2:23" s="14" customFormat="1" ht="17.100000000000001" customHeight="1">
      <c r="B292" s="89"/>
      <c r="C292" s="90"/>
      <c r="D292" s="91"/>
      <c r="E292" s="92"/>
      <c r="F292" s="89"/>
      <c r="G292" s="89"/>
      <c r="H292" s="89"/>
      <c r="I292" s="89"/>
      <c r="J292" s="89"/>
      <c r="K292" s="89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</row>
    <row r="293" spans="2:23" s="14" customFormat="1" ht="17.100000000000001" customHeight="1">
      <c r="B293" s="89"/>
      <c r="C293" s="90"/>
      <c r="D293" s="91"/>
      <c r="E293" s="92"/>
      <c r="F293" s="89"/>
      <c r="G293" s="89"/>
      <c r="H293" s="89"/>
      <c r="I293" s="89"/>
      <c r="J293" s="89"/>
      <c r="K293" s="89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</row>
    <row r="294" spans="2:23" s="14" customFormat="1" ht="17.100000000000001" customHeight="1">
      <c r="B294" s="89"/>
      <c r="C294" s="90"/>
      <c r="D294" s="91"/>
      <c r="E294" s="92"/>
      <c r="F294" s="89"/>
      <c r="G294" s="89"/>
      <c r="H294" s="89"/>
      <c r="I294" s="89"/>
      <c r="J294" s="89"/>
      <c r="K294" s="89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</row>
    <row r="295" spans="2:23" s="14" customFormat="1" ht="17.100000000000001" customHeight="1">
      <c r="B295" s="89"/>
      <c r="C295" s="90"/>
      <c r="D295" s="91"/>
      <c r="E295" s="92"/>
      <c r="F295" s="89"/>
      <c r="G295" s="89"/>
      <c r="H295" s="89"/>
      <c r="I295" s="89"/>
      <c r="J295" s="89"/>
      <c r="K295" s="89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</row>
    <row r="296" spans="2:23" s="14" customFormat="1" ht="17.100000000000001" customHeight="1">
      <c r="B296" s="89"/>
      <c r="C296" s="90"/>
      <c r="D296" s="91"/>
      <c r="E296" s="92"/>
      <c r="F296" s="89"/>
      <c r="G296" s="89"/>
      <c r="H296" s="89"/>
      <c r="I296" s="89"/>
      <c r="J296" s="89"/>
      <c r="K296" s="89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</row>
    <row r="297" spans="2:23" s="14" customFormat="1" ht="17.100000000000001" customHeight="1">
      <c r="B297" s="89"/>
      <c r="C297" s="90"/>
      <c r="D297" s="91"/>
      <c r="E297" s="92"/>
      <c r="F297" s="89"/>
      <c r="G297" s="89"/>
      <c r="H297" s="89"/>
      <c r="I297" s="89"/>
      <c r="J297" s="89"/>
      <c r="K297" s="89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</row>
    <row r="298" spans="2:23" s="14" customFormat="1" ht="17.100000000000001" customHeight="1">
      <c r="B298" s="89"/>
      <c r="C298" s="90"/>
      <c r="D298" s="91"/>
      <c r="E298" s="92"/>
      <c r="F298" s="89"/>
      <c r="G298" s="89"/>
      <c r="H298" s="89"/>
      <c r="I298" s="89"/>
      <c r="J298" s="89"/>
      <c r="K298" s="89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</row>
    <row r="299" spans="2:23" s="14" customFormat="1" ht="17.100000000000001" customHeight="1">
      <c r="B299" s="89"/>
      <c r="C299" s="90"/>
      <c r="D299" s="91"/>
      <c r="E299" s="92"/>
      <c r="F299" s="89"/>
      <c r="G299" s="89"/>
      <c r="H299" s="89"/>
      <c r="I299" s="89"/>
      <c r="J299" s="89"/>
      <c r="K299" s="89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</row>
    <row r="300" spans="2:23" s="14" customFormat="1" ht="17.100000000000001" customHeight="1">
      <c r="B300" s="89"/>
      <c r="C300" s="90"/>
      <c r="D300" s="91"/>
      <c r="E300" s="92"/>
      <c r="F300" s="89"/>
      <c r="G300" s="89"/>
      <c r="H300" s="89"/>
      <c r="I300" s="89"/>
      <c r="J300" s="89"/>
      <c r="K300" s="89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</row>
    <row r="301" spans="2:23" s="14" customFormat="1" ht="17.100000000000001" customHeight="1">
      <c r="B301" s="89"/>
      <c r="C301" s="90"/>
      <c r="D301" s="91"/>
      <c r="E301" s="92"/>
      <c r="F301" s="89"/>
      <c r="G301" s="89"/>
      <c r="H301" s="89"/>
      <c r="I301" s="89"/>
      <c r="J301" s="89"/>
      <c r="K301" s="89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</row>
    <row r="302" spans="2:23" s="14" customFormat="1" ht="17.100000000000001" customHeight="1">
      <c r="B302" s="89"/>
      <c r="C302" s="90"/>
      <c r="D302" s="91"/>
      <c r="E302" s="92"/>
      <c r="F302" s="89"/>
      <c r="G302" s="89"/>
      <c r="H302" s="89"/>
      <c r="I302" s="89"/>
      <c r="J302" s="89"/>
      <c r="K302" s="89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</row>
    <row r="303" spans="2:23" s="14" customFormat="1" ht="17.100000000000001" customHeight="1">
      <c r="B303" s="89"/>
      <c r="C303" s="90"/>
      <c r="D303" s="91"/>
      <c r="E303" s="92"/>
      <c r="F303" s="89"/>
      <c r="G303" s="89"/>
      <c r="H303" s="89"/>
      <c r="I303" s="89"/>
      <c r="J303" s="89"/>
      <c r="K303" s="89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</row>
    <row r="304" spans="2:23" s="14" customFormat="1" ht="17.100000000000001" customHeight="1">
      <c r="B304" s="89"/>
      <c r="C304" s="90"/>
      <c r="D304" s="91"/>
      <c r="E304" s="92"/>
      <c r="F304" s="89"/>
      <c r="G304" s="89"/>
      <c r="H304" s="89"/>
      <c r="I304" s="89"/>
      <c r="J304" s="89"/>
      <c r="K304" s="89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</row>
    <row r="305" spans="2:23" s="14" customFormat="1" ht="17.100000000000001" customHeight="1">
      <c r="B305" s="89"/>
      <c r="C305" s="90"/>
      <c r="D305" s="91"/>
      <c r="E305" s="92"/>
      <c r="F305" s="89"/>
      <c r="G305" s="89"/>
      <c r="H305" s="89"/>
      <c r="I305" s="89"/>
      <c r="J305" s="89"/>
      <c r="K305" s="89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</row>
    <row r="306" spans="2:23" s="14" customFormat="1" ht="17.100000000000001" customHeight="1">
      <c r="B306" s="89"/>
      <c r="C306" s="90"/>
      <c r="D306" s="91"/>
      <c r="E306" s="92"/>
      <c r="F306" s="89"/>
      <c r="G306" s="89"/>
      <c r="H306" s="89"/>
      <c r="I306" s="89"/>
      <c r="J306" s="89"/>
      <c r="K306" s="89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</row>
    <row r="307" spans="2:23" s="14" customFormat="1" ht="17.100000000000001" customHeight="1">
      <c r="B307" s="89"/>
      <c r="C307" s="90"/>
      <c r="D307" s="91"/>
      <c r="E307" s="92"/>
      <c r="F307" s="89"/>
      <c r="G307" s="89"/>
      <c r="H307" s="89"/>
      <c r="I307" s="89"/>
      <c r="J307" s="89"/>
      <c r="K307" s="89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</row>
    <row r="308" spans="2:23" s="14" customFormat="1" ht="17.100000000000001" customHeight="1">
      <c r="B308" s="89"/>
      <c r="C308" s="90"/>
      <c r="D308" s="91"/>
      <c r="E308" s="92"/>
      <c r="F308" s="89"/>
      <c r="G308" s="89"/>
      <c r="H308" s="89"/>
      <c r="I308" s="89"/>
      <c r="J308" s="89"/>
      <c r="K308" s="89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</row>
    <row r="309" spans="2:23" s="14" customFormat="1" ht="17.100000000000001" customHeight="1">
      <c r="B309" s="89"/>
      <c r="C309" s="90"/>
      <c r="D309" s="91"/>
      <c r="E309" s="92"/>
      <c r="F309" s="89"/>
      <c r="G309" s="89"/>
      <c r="H309" s="89"/>
      <c r="I309" s="89"/>
      <c r="J309" s="89"/>
      <c r="K309" s="89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</row>
    <row r="310" spans="2:23" s="14" customFormat="1" ht="17.100000000000001" customHeight="1">
      <c r="B310" s="89"/>
      <c r="C310" s="90"/>
      <c r="D310" s="91"/>
      <c r="E310" s="92"/>
      <c r="F310" s="89"/>
      <c r="G310" s="89"/>
      <c r="H310" s="89"/>
      <c r="I310" s="89"/>
      <c r="J310" s="89"/>
      <c r="K310" s="89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</row>
    <row r="311" spans="2:23" s="14" customFormat="1" ht="17.100000000000001" customHeight="1">
      <c r="B311" s="89"/>
      <c r="C311" s="90"/>
      <c r="D311" s="91"/>
      <c r="E311" s="92"/>
      <c r="F311" s="89"/>
      <c r="G311" s="89"/>
      <c r="H311" s="89"/>
      <c r="I311" s="89"/>
      <c r="J311" s="89"/>
      <c r="K311" s="89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</row>
    <row r="312" spans="2:23" s="14" customFormat="1" ht="17.100000000000001" customHeight="1">
      <c r="B312" s="89"/>
      <c r="C312" s="90"/>
      <c r="D312" s="91"/>
      <c r="E312" s="92"/>
      <c r="F312" s="89"/>
      <c r="G312" s="89"/>
      <c r="H312" s="89"/>
      <c r="I312" s="89"/>
      <c r="J312" s="89"/>
      <c r="K312" s="89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</row>
    <row r="313" spans="2:23" s="14" customFormat="1" ht="17.100000000000001" customHeight="1">
      <c r="B313" s="89"/>
      <c r="C313" s="90"/>
      <c r="D313" s="91"/>
      <c r="E313" s="92"/>
      <c r="F313" s="89"/>
      <c r="G313" s="89"/>
      <c r="H313" s="89"/>
      <c r="I313" s="89"/>
      <c r="J313" s="89"/>
      <c r="K313" s="89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</row>
    <row r="314" spans="2:23" s="14" customFormat="1" ht="17.100000000000001" customHeight="1">
      <c r="B314" s="89"/>
      <c r="C314" s="90"/>
      <c r="D314" s="91"/>
      <c r="E314" s="92"/>
      <c r="F314" s="89"/>
      <c r="G314" s="89"/>
      <c r="H314" s="89"/>
      <c r="I314" s="89"/>
      <c r="J314" s="89"/>
      <c r="K314" s="89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</row>
    <row r="315" spans="2:23" s="14" customFormat="1" ht="17.100000000000001" customHeight="1">
      <c r="B315" s="89"/>
      <c r="C315" s="90"/>
      <c r="D315" s="91"/>
      <c r="E315" s="92"/>
      <c r="F315" s="89"/>
      <c r="G315" s="89"/>
      <c r="H315" s="89"/>
      <c r="I315" s="89"/>
      <c r="J315" s="89"/>
      <c r="K315" s="89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</row>
    <row r="316" spans="2:23" s="14" customFormat="1" ht="17.100000000000001" customHeight="1">
      <c r="B316" s="89"/>
      <c r="C316" s="90"/>
      <c r="D316" s="91"/>
      <c r="E316" s="92"/>
      <c r="F316" s="89"/>
      <c r="G316" s="89"/>
      <c r="H316" s="89"/>
      <c r="I316" s="89"/>
      <c r="J316" s="89"/>
      <c r="K316" s="89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</row>
    <row r="317" spans="2:23" s="14" customFormat="1" ht="17.100000000000001" customHeight="1">
      <c r="B317" s="89"/>
      <c r="C317" s="90"/>
      <c r="D317" s="91"/>
      <c r="E317" s="92"/>
      <c r="F317" s="89"/>
      <c r="G317" s="89"/>
      <c r="H317" s="89"/>
      <c r="I317" s="89"/>
      <c r="J317" s="89"/>
      <c r="K317" s="89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</row>
    <row r="318" spans="2:23" s="14" customFormat="1" ht="17.100000000000001" customHeight="1">
      <c r="B318" s="89"/>
      <c r="C318" s="90"/>
      <c r="D318" s="91"/>
      <c r="E318" s="92"/>
      <c r="F318" s="89"/>
      <c r="G318" s="89"/>
      <c r="H318" s="89"/>
      <c r="I318" s="89"/>
      <c r="J318" s="89"/>
      <c r="K318" s="89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</row>
    <row r="319" spans="2:23" s="14" customFormat="1" ht="17.100000000000001" customHeight="1">
      <c r="B319" s="89"/>
      <c r="C319" s="90"/>
      <c r="D319" s="91"/>
      <c r="E319" s="92"/>
      <c r="F319" s="89"/>
      <c r="G319" s="89"/>
      <c r="H319" s="89"/>
      <c r="I319" s="89"/>
      <c r="J319" s="89"/>
      <c r="K319" s="89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</row>
    <row r="320" spans="2:23" s="14" customFormat="1" ht="17.100000000000001" customHeight="1">
      <c r="B320" s="89"/>
      <c r="C320" s="90"/>
      <c r="D320" s="91"/>
      <c r="E320" s="92"/>
      <c r="F320" s="89"/>
      <c r="G320" s="89"/>
      <c r="H320" s="89"/>
      <c r="I320" s="89"/>
      <c r="J320" s="89"/>
      <c r="K320" s="89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</row>
    <row r="321" spans="2:23" s="14" customFormat="1" ht="17.100000000000001" customHeight="1">
      <c r="B321" s="89"/>
      <c r="C321" s="90"/>
      <c r="D321" s="91"/>
      <c r="E321" s="92"/>
      <c r="F321" s="89"/>
      <c r="G321" s="89"/>
      <c r="H321" s="89"/>
      <c r="I321" s="89"/>
      <c r="J321" s="89"/>
      <c r="K321" s="89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</row>
    <row r="322" spans="2:23" s="14" customFormat="1" ht="17.100000000000001" customHeight="1">
      <c r="B322" s="89"/>
      <c r="C322" s="90"/>
      <c r="D322" s="91"/>
      <c r="E322" s="92"/>
      <c r="F322" s="89"/>
      <c r="G322" s="89"/>
      <c r="H322" s="89"/>
      <c r="I322" s="89"/>
      <c r="J322" s="89"/>
      <c r="K322" s="89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</row>
    <row r="323" spans="2:23" s="14" customFormat="1" ht="17.100000000000001" customHeight="1">
      <c r="B323" s="89"/>
      <c r="C323" s="90"/>
      <c r="D323" s="91"/>
      <c r="E323" s="92"/>
      <c r="F323" s="89"/>
      <c r="G323" s="89"/>
      <c r="H323" s="89"/>
      <c r="I323" s="89"/>
      <c r="J323" s="89"/>
      <c r="K323" s="89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</row>
    <row r="324" spans="2:23" s="14" customFormat="1" ht="17.100000000000001" customHeight="1">
      <c r="B324" s="89"/>
      <c r="C324" s="90"/>
      <c r="D324" s="91"/>
      <c r="E324" s="92"/>
      <c r="F324" s="89"/>
      <c r="G324" s="89"/>
      <c r="H324" s="89"/>
      <c r="I324" s="89"/>
      <c r="J324" s="89"/>
      <c r="K324" s="89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</row>
    <row r="325" spans="2:23" s="14" customFormat="1" ht="17.100000000000001" customHeight="1">
      <c r="B325" s="89"/>
      <c r="C325" s="90"/>
      <c r="D325" s="91"/>
      <c r="E325" s="92"/>
      <c r="F325" s="89"/>
      <c r="G325" s="89"/>
      <c r="H325" s="89"/>
      <c r="I325" s="89"/>
      <c r="J325" s="89"/>
      <c r="K325" s="89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</row>
    <row r="326" spans="2:23" s="14" customFormat="1" ht="17.100000000000001" customHeight="1">
      <c r="B326" s="89"/>
      <c r="C326" s="90"/>
      <c r="D326" s="91"/>
      <c r="E326" s="92"/>
      <c r="F326" s="89"/>
      <c r="G326" s="89"/>
      <c r="H326" s="89"/>
      <c r="I326" s="89"/>
      <c r="J326" s="89"/>
      <c r="K326" s="89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</row>
    <row r="327" spans="2:23" s="14" customFormat="1" ht="17.100000000000001" customHeight="1">
      <c r="B327" s="89"/>
      <c r="C327" s="90"/>
      <c r="D327" s="91"/>
      <c r="E327" s="92"/>
      <c r="F327" s="89"/>
      <c r="G327" s="89"/>
      <c r="H327" s="89"/>
      <c r="I327" s="89"/>
      <c r="J327" s="89"/>
      <c r="K327" s="89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</row>
    <row r="328" spans="2:23" s="14" customFormat="1" ht="17.100000000000001" customHeight="1">
      <c r="B328" s="89"/>
      <c r="C328" s="90"/>
      <c r="D328" s="91"/>
      <c r="E328" s="92"/>
      <c r="F328" s="89"/>
      <c r="G328" s="89"/>
      <c r="H328" s="89"/>
      <c r="I328" s="89"/>
      <c r="J328" s="89"/>
      <c r="K328" s="89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</row>
    <row r="329" spans="2:23" s="14" customFormat="1" ht="17.100000000000001" customHeight="1">
      <c r="B329" s="89"/>
      <c r="C329" s="90"/>
      <c r="D329" s="91"/>
      <c r="E329" s="92"/>
      <c r="F329" s="89"/>
      <c r="G329" s="89"/>
      <c r="H329" s="89"/>
      <c r="I329" s="89"/>
      <c r="J329" s="89"/>
      <c r="K329" s="89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</row>
    <row r="330" spans="2:23" s="14" customFormat="1" ht="17.100000000000001" customHeight="1">
      <c r="B330" s="89"/>
      <c r="C330" s="90"/>
      <c r="D330" s="91"/>
      <c r="E330" s="92"/>
      <c r="F330" s="89"/>
      <c r="G330" s="89"/>
      <c r="H330" s="89"/>
      <c r="I330" s="89"/>
      <c r="J330" s="89"/>
      <c r="K330" s="89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</row>
    <row r="331" spans="2:23" s="14" customFormat="1" ht="17.100000000000001" customHeight="1">
      <c r="B331" s="89"/>
      <c r="C331" s="90"/>
      <c r="D331" s="91"/>
      <c r="E331" s="92"/>
      <c r="F331" s="89"/>
      <c r="G331" s="89"/>
      <c r="H331" s="89"/>
      <c r="I331" s="89"/>
      <c r="J331" s="89"/>
      <c r="K331" s="89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</row>
    <row r="332" spans="2:23" s="14" customFormat="1" ht="17.100000000000001" customHeight="1">
      <c r="B332" s="89"/>
      <c r="C332" s="90"/>
      <c r="D332" s="91"/>
      <c r="E332" s="92"/>
      <c r="F332" s="89"/>
      <c r="G332" s="89"/>
      <c r="H332" s="89"/>
      <c r="I332" s="89"/>
      <c r="J332" s="89"/>
      <c r="K332" s="89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</row>
    <row r="333" spans="2:23" s="14" customFormat="1" ht="17.100000000000001" customHeight="1">
      <c r="B333" s="89"/>
      <c r="C333" s="90"/>
      <c r="D333" s="91"/>
      <c r="E333" s="92"/>
      <c r="F333" s="89"/>
      <c r="G333" s="89"/>
      <c r="H333" s="89"/>
      <c r="I333" s="89"/>
      <c r="J333" s="89"/>
      <c r="K333" s="89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</row>
    <row r="334" spans="2:23" s="14" customFormat="1" ht="17.100000000000001" customHeight="1">
      <c r="B334" s="89"/>
      <c r="C334" s="90"/>
      <c r="D334" s="91"/>
      <c r="E334" s="92"/>
      <c r="F334" s="89"/>
      <c r="G334" s="89"/>
      <c r="H334" s="89"/>
      <c r="I334" s="89"/>
      <c r="J334" s="89"/>
      <c r="K334" s="89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</row>
    <row r="335" spans="2:23" s="14" customFormat="1" ht="17.100000000000001" customHeight="1">
      <c r="B335" s="89"/>
      <c r="C335" s="90"/>
      <c r="D335" s="91"/>
      <c r="E335" s="92"/>
      <c r="F335" s="89"/>
      <c r="G335" s="89"/>
      <c r="H335" s="89"/>
      <c r="I335" s="89"/>
      <c r="J335" s="89"/>
      <c r="K335" s="89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</row>
    <row r="336" spans="2:23" s="14" customFormat="1" ht="17.100000000000001" customHeight="1">
      <c r="B336" s="89"/>
      <c r="C336" s="90"/>
      <c r="D336" s="91"/>
      <c r="E336" s="92"/>
      <c r="F336" s="89"/>
      <c r="G336" s="89"/>
      <c r="H336" s="89"/>
      <c r="I336" s="89"/>
      <c r="J336" s="89"/>
      <c r="K336" s="89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</row>
    <row r="337" spans="2:23" s="14" customFormat="1" ht="17.100000000000001" customHeight="1">
      <c r="B337" s="89"/>
      <c r="C337" s="90"/>
      <c r="D337" s="91"/>
      <c r="E337" s="92"/>
      <c r="F337" s="89"/>
      <c r="G337" s="89"/>
      <c r="H337" s="89"/>
      <c r="I337" s="89"/>
      <c r="J337" s="89"/>
      <c r="K337" s="89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</row>
    <row r="338" spans="2:23" s="14" customFormat="1" ht="17.100000000000001" customHeight="1">
      <c r="B338" s="89"/>
      <c r="C338" s="90"/>
      <c r="D338" s="91"/>
      <c r="E338" s="92"/>
      <c r="F338" s="89"/>
      <c r="G338" s="89"/>
      <c r="H338" s="89"/>
      <c r="I338" s="89"/>
      <c r="J338" s="89"/>
      <c r="K338" s="89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</row>
    <row r="339" spans="2:23" s="14" customFormat="1" ht="17.100000000000001" customHeight="1">
      <c r="B339" s="89"/>
      <c r="C339" s="90"/>
      <c r="D339" s="91"/>
      <c r="E339" s="92"/>
      <c r="F339" s="89"/>
      <c r="G339" s="89"/>
      <c r="H339" s="89"/>
      <c r="I339" s="89"/>
      <c r="J339" s="89"/>
      <c r="K339" s="89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</row>
    <row r="340" spans="2:23" s="14" customFormat="1" ht="17.100000000000001" customHeight="1">
      <c r="B340" s="89"/>
      <c r="C340" s="90"/>
      <c r="D340" s="91"/>
      <c r="E340" s="92"/>
      <c r="F340" s="89"/>
      <c r="G340" s="89"/>
      <c r="H340" s="89"/>
      <c r="I340" s="89"/>
      <c r="J340" s="89"/>
      <c r="K340" s="89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</row>
    <row r="341" spans="2:23" s="14" customFormat="1" ht="17.100000000000001" customHeight="1">
      <c r="B341" s="89"/>
      <c r="C341" s="90"/>
      <c r="D341" s="91"/>
      <c r="E341" s="92"/>
      <c r="F341" s="89"/>
      <c r="G341" s="89"/>
      <c r="H341" s="89"/>
      <c r="I341" s="89"/>
      <c r="J341" s="89"/>
      <c r="K341" s="89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</row>
    <row r="342" spans="2:23" s="14" customFormat="1" ht="17.100000000000001" customHeight="1">
      <c r="B342" s="89"/>
      <c r="C342" s="90"/>
      <c r="D342" s="91"/>
      <c r="E342" s="92"/>
      <c r="F342" s="89"/>
      <c r="G342" s="89"/>
      <c r="H342" s="89"/>
      <c r="I342" s="89"/>
      <c r="J342" s="89"/>
      <c r="K342" s="89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</row>
    <row r="343" spans="2:23" s="14" customFormat="1" ht="17.100000000000001" customHeight="1">
      <c r="B343" s="89"/>
      <c r="C343" s="90"/>
      <c r="D343" s="91"/>
      <c r="E343" s="92"/>
      <c r="F343" s="89"/>
      <c r="G343" s="89"/>
      <c r="H343" s="89"/>
      <c r="I343" s="89"/>
      <c r="J343" s="89"/>
      <c r="K343" s="89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</row>
    <row r="344" spans="2:23" s="14" customFormat="1" ht="17.100000000000001" customHeight="1">
      <c r="B344" s="89"/>
      <c r="C344" s="90"/>
      <c r="D344" s="91"/>
      <c r="E344" s="92"/>
      <c r="F344" s="89"/>
      <c r="G344" s="89"/>
      <c r="H344" s="89"/>
      <c r="I344" s="89"/>
      <c r="J344" s="89"/>
      <c r="K344" s="89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</row>
    <row r="345" spans="2:23" s="14" customFormat="1" ht="17.100000000000001" customHeight="1">
      <c r="B345" s="89"/>
      <c r="C345" s="90"/>
      <c r="D345" s="91"/>
      <c r="E345" s="92"/>
      <c r="F345" s="89"/>
      <c r="G345" s="89"/>
      <c r="H345" s="89"/>
      <c r="I345" s="89"/>
      <c r="J345" s="89"/>
      <c r="K345" s="89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</row>
    <row r="346" spans="2:23" s="14" customFormat="1" ht="17.100000000000001" customHeight="1">
      <c r="B346" s="89"/>
      <c r="C346" s="90"/>
      <c r="D346" s="91"/>
      <c r="E346" s="92"/>
      <c r="F346" s="89"/>
      <c r="G346" s="89"/>
      <c r="H346" s="89"/>
      <c r="I346" s="89"/>
      <c r="J346" s="89"/>
      <c r="K346" s="89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</row>
    <row r="347" spans="2:23" s="14" customFormat="1" ht="17.100000000000001" customHeight="1">
      <c r="B347" s="89"/>
      <c r="C347" s="90"/>
      <c r="D347" s="91"/>
      <c r="E347" s="92"/>
      <c r="F347" s="89"/>
      <c r="G347" s="89"/>
      <c r="H347" s="89"/>
      <c r="I347" s="89"/>
      <c r="J347" s="89"/>
      <c r="K347" s="89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</row>
    <row r="348" spans="2:23" s="14" customFormat="1" ht="17.100000000000001" customHeight="1">
      <c r="B348" s="89"/>
      <c r="C348" s="90"/>
      <c r="D348" s="91"/>
      <c r="E348" s="92"/>
      <c r="F348" s="89"/>
      <c r="G348" s="89"/>
      <c r="H348" s="89"/>
      <c r="I348" s="89"/>
      <c r="J348" s="89"/>
      <c r="K348" s="89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</row>
    <row r="349" spans="2:23" s="14" customFormat="1" ht="17.100000000000001" customHeight="1">
      <c r="B349" s="89"/>
      <c r="C349" s="90"/>
      <c r="D349" s="91"/>
      <c r="E349" s="92"/>
      <c r="F349" s="89"/>
      <c r="G349" s="89"/>
      <c r="H349" s="89"/>
      <c r="I349" s="89"/>
      <c r="J349" s="89"/>
      <c r="K349" s="89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</row>
    <row r="350" spans="2:23" s="14" customFormat="1" ht="17.100000000000001" customHeight="1">
      <c r="B350" s="89"/>
      <c r="C350" s="90"/>
      <c r="D350" s="91"/>
      <c r="E350" s="92"/>
      <c r="F350" s="89"/>
      <c r="G350" s="89"/>
      <c r="H350" s="89"/>
      <c r="I350" s="89"/>
      <c r="J350" s="89"/>
      <c r="K350" s="89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</row>
    <row r="351" spans="2:23" s="14" customFormat="1" ht="17.100000000000001" customHeight="1">
      <c r="B351" s="89"/>
      <c r="C351" s="90"/>
      <c r="D351" s="91"/>
      <c r="E351" s="92"/>
      <c r="F351" s="89"/>
      <c r="G351" s="89"/>
      <c r="H351" s="89"/>
      <c r="I351" s="89"/>
      <c r="J351" s="89"/>
      <c r="K351" s="89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</row>
    <row r="352" spans="2:23" s="14" customFormat="1" ht="17.100000000000001" customHeight="1">
      <c r="B352" s="89"/>
      <c r="C352" s="90"/>
      <c r="D352" s="91"/>
      <c r="E352" s="92"/>
      <c r="F352" s="89"/>
      <c r="G352" s="89"/>
      <c r="H352" s="89"/>
      <c r="I352" s="89"/>
      <c r="J352" s="89"/>
      <c r="K352" s="89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</row>
    <row r="353" spans="2:23" s="14" customFormat="1" ht="17.100000000000001" customHeight="1">
      <c r="B353" s="89"/>
      <c r="C353" s="90"/>
      <c r="D353" s="91"/>
      <c r="E353" s="92"/>
      <c r="F353" s="89"/>
      <c r="G353" s="89"/>
      <c r="H353" s="89"/>
      <c r="I353" s="89"/>
      <c r="J353" s="89"/>
      <c r="K353" s="89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</row>
    <row r="354" spans="2:23" s="14" customFormat="1" ht="17.100000000000001" customHeight="1">
      <c r="B354" s="89"/>
      <c r="C354" s="90"/>
      <c r="D354" s="91"/>
      <c r="E354" s="92"/>
      <c r="F354" s="89"/>
      <c r="G354" s="89"/>
      <c r="H354" s="89"/>
      <c r="I354" s="89"/>
      <c r="J354" s="89"/>
      <c r="K354" s="89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</row>
    <row r="355" spans="2:23" s="14" customFormat="1" ht="17.100000000000001" customHeight="1">
      <c r="B355" s="89"/>
      <c r="C355" s="90"/>
      <c r="D355" s="91"/>
      <c r="E355" s="92"/>
      <c r="F355" s="89"/>
      <c r="G355" s="89"/>
      <c r="H355" s="89"/>
      <c r="I355" s="89"/>
      <c r="J355" s="89"/>
      <c r="K355" s="89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</row>
    <row r="356" spans="2:23" s="14" customFormat="1" ht="17.100000000000001" customHeight="1">
      <c r="B356" s="89"/>
      <c r="C356" s="90"/>
      <c r="D356" s="91"/>
      <c r="E356" s="92"/>
      <c r="F356" s="89"/>
      <c r="G356" s="89"/>
      <c r="H356" s="89"/>
      <c r="I356" s="89"/>
      <c r="J356" s="89"/>
      <c r="K356" s="89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</row>
    <row r="357" spans="2:23" s="14" customFormat="1" ht="17.100000000000001" customHeight="1">
      <c r="B357" s="89"/>
      <c r="C357" s="90"/>
      <c r="D357" s="91"/>
      <c r="E357" s="92"/>
      <c r="F357" s="89"/>
      <c r="G357" s="89"/>
      <c r="H357" s="89"/>
      <c r="I357" s="89"/>
      <c r="J357" s="89"/>
      <c r="K357" s="89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</row>
    <row r="358" spans="2:23" s="14" customFormat="1" ht="17.100000000000001" customHeight="1">
      <c r="B358" s="89"/>
      <c r="C358" s="90"/>
      <c r="D358" s="91"/>
      <c r="E358" s="92"/>
      <c r="F358" s="89"/>
      <c r="G358" s="89"/>
      <c r="H358" s="89"/>
      <c r="I358" s="89"/>
      <c r="J358" s="89"/>
      <c r="K358" s="89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</row>
    <row r="359" spans="2:23" s="14" customFormat="1" ht="17.100000000000001" customHeight="1">
      <c r="B359" s="89"/>
      <c r="C359" s="90"/>
      <c r="D359" s="91"/>
      <c r="E359" s="92"/>
      <c r="F359" s="89"/>
      <c r="G359" s="89"/>
      <c r="H359" s="89"/>
      <c r="I359" s="89"/>
      <c r="J359" s="89"/>
      <c r="K359" s="89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</row>
    <row r="360" spans="2:23" s="14" customFormat="1" ht="17.100000000000001" customHeight="1">
      <c r="B360" s="89"/>
      <c r="C360" s="90"/>
      <c r="D360" s="91"/>
      <c r="E360" s="92"/>
      <c r="F360" s="89"/>
      <c r="G360" s="89"/>
      <c r="H360" s="89"/>
      <c r="I360" s="89"/>
      <c r="J360" s="89"/>
      <c r="K360" s="89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</row>
    <row r="361" spans="2:23" s="14" customFormat="1" ht="17.100000000000001" customHeight="1">
      <c r="B361" s="89"/>
      <c r="C361" s="90"/>
      <c r="D361" s="91"/>
      <c r="E361" s="92"/>
      <c r="F361" s="89"/>
      <c r="G361" s="89"/>
      <c r="H361" s="89"/>
      <c r="I361" s="89"/>
      <c r="J361" s="89"/>
      <c r="K361" s="89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</row>
    <row r="362" spans="2:23" s="14" customFormat="1" ht="17.100000000000001" customHeight="1">
      <c r="B362" s="89"/>
      <c r="C362" s="90"/>
      <c r="D362" s="91"/>
      <c r="E362" s="92"/>
      <c r="F362" s="89"/>
      <c r="G362" s="89"/>
      <c r="H362" s="89"/>
      <c r="I362" s="89"/>
      <c r="J362" s="89"/>
      <c r="K362" s="89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</row>
    <row r="363" spans="2:23" s="14" customFormat="1" ht="17.100000000000001" customHeight="1">
      <c r="B363" s="89"/>
      <c r="C363" s="90"/>
      <c r="D363" s="91"/>
      <c r="E363" s="92"/>
      <c r="F363" s="89"/>
      <c r="G363" s="89"/>
      <c r="H363" s="89"/>
      <c r="I363" s="89"/>
      <c r="J363" s="89"/>
      <c r="K363" s="89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</row>
    <row r="364" spans="2:23" s="14" customFormat="1" ht="17.100000000000001" customHeight="1">
      <c r="B364" s="89"/>
      <c r="C364" s="90"/>
      <c r="D364" s="91"/>
      <c r="E364" s="92"/>
      <c r="F364" s="89"/>
      <c r="G364" s="89"/>
      <c r="H364" s="89"/>
      <c r="I364" s="89"/>
      <c r="J364" s="89"/>
      <c r="K364" s="89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</row>
    <row r="365" spans="2:23" s="14" customFormat="1" ht="17.100000000000001" customHeight="1">
      <c r="B365" s="89"/>
      <c r="C365" s="90"/>
      <c r="D365" s="91"/>
      <c r="E365" s="92"/>
      <c r="F365" s="89"/>
      <c r="G365" s="89"/>
      <c r="H365" s="89"/>
      <c r="I365" s="89"/>
      <c r="J365" s="89"/>
      <c r="K365" s="89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</row>
    <row r="366" spans="2:23" s="14" customFormat="1" ht="17.100000000000001" customHeight="1">
      <c r="B366" s="89"/>
      <c r="C366" s="90"/>
      <c r="D366" s="91"/>
      <c r="E366" s="92"/>
      <c r="F366" s="89"/>
      <c r="G366" s="89"/>
      <c r="H366" s="89"/>
      <c r="I366" s="89"/>
      <c r="J366" s="89"/>
      <c r="K366" s="89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</row>
    <row r="367" spans="2:23" s="14" customFormat="1" ht="17.100000000000001" customHeight="1">
      <c r="B367" s="89"/>
      <c r="C367" s="90"/>
      <c r="D367" s="91"/>
      <c r="E367" s="92"/>
      <c r="F367" s="89"/>
      <c r="G367" s="89"/>
      <c r="H367" s="89"/>
      <c r="I367" s="89"/>
      <c r="J367" s="89"/>
      <c r="K367" s="89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</row>
    <row r="368" spans="2:23" s="14" customFormat="1" ht="17.100000000000001" customHeight="1">
      <c r="B368" s="89"/>
      <c r="C368" s="90"/>
      <c r="D368" s="91"/>
      <c r="E368" s="92"/>
      <c r="F368" s="89"/>
      <c r="G368" s="89"/>
      <c r="H368" s="89"/>
      <c r="I368" s="89"/>
      <c r="J368" s="89"/>
      <c r="K368" s="89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</row>
    <row r="369" spans="2:23" s="14" customFormat="1" ht="17.100000000000001" customHeight="1">
      <c r="B369" s="89"/>
      <c r="C369" s="90"/>
      <c r="D369" s="91"/>
      <c r="E369" s="92"/>
      <c r="F369" s="89"/>
      <c r="G369" s="89"/>
      <c r="H369" s="89"/>
      <c r="I369" s="89"/>
      <c r="J369" s="89"/>
      <c r="K369" s="89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</row>
    <row r="370" spans="2:23" s="14" customFormat="1" ht="17.100000000000001" customHeight="1">
      <c r="B370" s="89"/>
      <c r="C370" s="90"/>
      <c r="D370" s="91"/>
      <c r="E370" s="92"/>
      <c r="F370" s="89"/>
      <c r="G370" s="89"/>
      <c r="H370" s="89"/>
      <c r="I370" s="89"/>
      <c r="J370" s="89"/>
      <c r="K370" s="89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</row>
    <row r="371" spans="2:23" s="14" customFormat="1" ht="17.100000000000001" customHeight="1">
      <c r="B371" s="89"/>
      <c r="C371" s="90"/>
      <c r="D371" s="91"/>
      <c r="E371" s="92"/>
      <c r="F371" s="89"/>
      <c r="G371" s="89"/>
      <c r="H371" s="89"/>
      <c r="I371" s="89"/>
      <c r="J371" s="89"/>
      <c r="K371" s="89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</row>
    <row r="372" spans="2:23" s="14" customFormat="1" ht="17.100000000000001" customHeight="1">
      <c r="B372" s="89"/>
      <c r="C372" s="90"/>
      <c r="D372" s="91"/>
      <c r="E372" s="92"/>
      <c r="F372" s="89"/>
      <c r="G372" s="89"/>
      <c r="H372" s="89"/>
      <c r="I372" s="89"/>
      <c r="J372" s="89"/>
      <c r="K372" s="89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</row>
    <row r="373" spans="2:23" s="14" customFormat="1" ht="17.100000000000001" customHeight="1">
      <c r="B373" s="89"/>
      <c r="C373" s="90"/>
      <c r="D373" s="91"/>
      <c r="E373" s="92"/>
      <c r="F373" s="89"/>
      <c r="G373" s="89"/>
      <c r="H373" s="89"/>
      <c r="I373" s="89"/>
      <c r="J373" s="89"/>
      <c r="K373" s="89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</row>
    <row r="374" spans="2:23" s="14" customFormat="1" ht="17.100000000000001" customHeight="1">
      <c r="B374" s="89"/>
      <c r="C374" s="90"/>
      <c r="D374" s="91"/>
      <c r="E374" s="92"/>
      <c r="F374" s="89"/>
      <c r="G374" s="89"/>
      <c r="H374" s="89"/>
      <c r="I374" s="89"/>
      <c r="J374" s="89"/>
      <c r="K374" s="89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</row>
    <row r="375" spans="2:23" s="14" customFormat="1" ht="17.100000000000001" customHeight="1">
      <c r="B375" s="89"/>
      <c r="C375" s="90"/>
      <c r="D375" s="91"/>
      <c r="E375" s="92"/>
      <c r="F375" s="89"/>
      <c r="G375" s="89"/>
      <c r="H375" s="89"/>
      <c r="I375" s="89"/>
      <c r="J375" s="89"/>
      <c r="K375" s="89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</row>
    <row r="376" spans="2:23" s="14" customFormat="1" ht="17.100000000000001" customHeight="1">
      <c r="B376" s="89"/>
      <c r="C376" s="90"/>
      <c r="D376" s="91"/>
      <c r="E376" s="92"/>
      <c r="F376" s="89"/>
      <c r="G376" s="89"/>
      <c r="H376" s="89"/>
      <c r="I376" s="89"/>
      <c r="J376" s="89"/>
      <c r="K376" s="89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</row>
    <row r="377" spans="2:23" s="14" customFormat="1" ht="17.100000000000001" customHeight="1">
      <c r="B377" s="89"/>
      <c r="C377" s="90"/>
      <c r="D377" s="91"/>
      <c r="E377" s="92"/>
      <c r="F377" s="89"/>
      <c r="G377" s="89"/>
      <c r="H377" s="89"/>
      <c r="I377" s="89"/>
      <c r="J377" s="89"/>
      <c r="K377" s="89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</row>
    <row r="378" spans="2:23" s="14" customFormat="1" ht="17.100000000000001" customHeight="1">
      <c r="B378" s="89"/>
      <c r="C378" s="90"/>
      <c r="D378" s="91"/>
      <c r="E378" s="92"/>
      <c r="F378" s="89"/>
      <c r="G378" s="89"/>
      <c r="H378" s="89"/>
      <c r="I378" s="89"/>
      <c r="J378" s="89"/>
      <c r="K378" s="89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</row>
    <row r="379" spans="2:23" s="14" customFormat="1" ht="17.100000000000001" customHeight="1">
      <c r="B379" s="89"/>
      <c r="C379" s="90"/>
      <c r="D379" s="91"/>
      <c r="E379" s="92"/>
      <c r="F379" s="89"/>
      <c r="G379" s="89"/>
      <c r="H379" s="89"/>
      <c r="I379" s="89"/>
      <c r="J379" s="89"/>
      <c r="K379" s="89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</row>
    <row r="380" spans="2:23" s="14" customFormat="1" ht="17.100000000000001" customHeight="1">
      <c r="B380" s="89"/>
      <c r="C380" s="90"/>
      <c r="D380" s="91"/>
      <c r="E380" s="92"/>
      <c r="F380" s="89"/>
      <c r="G380" s="89"/>
      <c r="H380" s="89"/>
      <c r="I380" s="89"/>
      <c r="J380" s="89"/>
      <c r="K380" s="89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</row>
    <row r="381" spans="2:23" s="14" customFormat="1" ht="17.100000000000001" customHeight="1">
      <c r="B381" s="89"/>
      <c r="C381" s="90"/>
      <c r="D381" s="91"/>
      <c r="E381" s="92"/>
      <c r="F381" s="89"/>
      <c r="G381" s="89"/>
      <c r="H381" s="89"/>
      <c r="I381" s="89"/>
      <c r="J381" s="89"/>
      <c r="K381" s="89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</row>
    <row r="382" spans="2:23" s="14" customFormat="1" ht="17.100000000000001" customHeight="1">
      <c r="B382" s="89"/>
      <c r="C382" s="90"/>
      <c r="D382" s="91"/>
      <c r="E382" s="92"/>
      <c r="F382" s="89"/>
      <c r="G382" s="89"/>
      <c r="H382" s="89"/>
      <c r="I382" s="89"/>
      <c r="J382" s="89"/>
      <c r="K382" s="89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</row>
    <row r="383" spans="2:23" s="14" customFormat="1" ht="17.100000000000001" customHeight="1">
      <c r="B383" s="89"/>
      <c r="C383" s="90"/>
      <c r="D383" s="91"/>
      <c r="E383" s="92"/>
      <c r="F383" s="89"/>
      <c r="G383" s="89"/>
      <c r="H383" s="89"/>
      <c r="I383" s="89"/>
      <c r="J383" s="89"/>
      <c r="K383" s="89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</row>
    <row r="384" spans="2:23" s="14" customFormat="1" ht="17.100000000000001" customHeight="1">
      <c r="B384" s="89"/>
      <c r="C384" s="90"/>
      <c r="D384" s="91"/>
      <c r="E384" s="92"/>
      <c r="F384" s="89"/>
      <c r="G384" s="89"/>
      <c r="H384" s="89"/>
      <c r="I384" s="89"/>
      <c r="J384" s="89"/>
      <c r="K384" s="89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</row>
    <row r="385" spans="2:23" s="14" customFormat="1" ht="17.100000000000001" customHeight="1">
      <c r="B385" s="89"/>
      <c r="C385" s="90"/>
      <c r="D385" s="91"/>
      <c r="E385" s="92"/>
      <c r="F385" s="89"/>
      <c r="G385" s="89"/>
      <c r="H385" s="89"/>
      <c r="I385" s="89"/>
      <c r="J385" s="89"/>
      <c r="K385" s="89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</row>
    <row r="386" spans="2:23" s="14" customFormat="1" ht="17.100000000000001" customHeight="1">
      <c r="B386" s="89"/>
      <c r="C386" s="90"/>
      <c r="D386" s="91"/>
      <c r="E386" s="92"/>
      <c r="F386" s="89"/>
      <c r="G386" s="89"/>
      <c r="H386" s="89"/>
      <c r="I386" s="89"/>
      <c r="J386" s="89"/>
      <c r="K386" s="89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</row>
    <row r="387" spans="2:23" s="14" customFormat="1" ht="17.100000000000001" customHeight="1">
      <c r="B387" s="89"/>
      <c r="C387" s="90"/>
      <c r="D387" s="91"/>
      <c r="E387" s="92"/>
      <c r="F387" s="89"/>
      <c r="G387" s="89"/>
      <c r="H387" s="89"/>
      <c r="I387" s="89"/>
      <c r="J387" s="89"/>
      <c r="K387" s="89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</row>
    <row r="388" spans="2:23" s="14" customFormat="1" ht="17.100000000000001" customHeight="1">
      <c r="B388" s="89"/>
      <c r="C388" s="90"/>
      <c r="D388" s="91"/>
      <c r="E388" s="92"/>
      <c r="F388" s="89"/>
      <c r="G388" s="89"/>
      <c r="H388" s="89"/>
      <c r="I388" s="89"/>
      <c r="J388" s="89"/>
      <c r="K388" s="89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</row>
    <row r="389" spans="2:23" s="14" customFormat="1" ht="17.100000000000001" customHeight="1">
      <c r="B389" s="89"/>
      <c r="C389" s="90"/>
      <c r="D389" s="91"/>
      <c r="E389" s="92"/>
      <c r="F389" s="89"/>
      <c r="G389" s="89"/>
      <c r="H389" s="89"/>
      <c r="I389" s="89"/>
      <c r="J389" s="89"/>
      <c r="K389" s="89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</row>
    <row r="390" spans="2:23" s="14" customFormat="1" ht="17.100000000000001" customHeight="1">
      <c r="B390" s="89"/>
      <c r="C390" s="90"/>
      <c r="D390" s="91"/>
      <c r="E390" s="92"/>
      <c r="F390" s="89"/>
      <c r="G390" s="89"/>
      <c r="H390" s="89"/>
      <c r="I390" s="89"/>
      <c r="J390" s="89"/>
      <c r="K390" s="89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</row>
    <row r="391" spans="2:23" s="14" customFormat="1" ht="17.100000000000001" customHeight="1">
      <c r="B391" s="89"/>
      <c r="C391" s="90"/>
      <c r="D391" s="91"/>
      <c r="E391" s="92"/>
      <c r="F391" s="89"/>
      <c r="G391" s="89"/>
      <c r="H391" s="89"/>
      <c r="I391" s="89"/>
      <c r="J391" s="89"/>
      <c r="K391" s="89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</row>
    <row r="392" spans="2:23" s="14" customFormat="1" ht="17.100000000000001" customHeight="1">
      <c r="B392" s="89"/>
      <c r="C392" s="90"/>
      <c r="D392" s="91"/>
      <c r="E392" s="92"/>
      <c r="F392" s="89"/>
      <c r="G392" s="89"/>
      <c r="H392" s="89"/>
      <c r="I392" s="89"/>
      <c r="J392" s="89"/>
      <c r="K392" s="89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</row>
    <row r="393" spans="2:23" s="14" customFormat="1" ht="17.100000000000001" customHeight="1">
      <c r="B393" s="89"/>
      <c r="C393" s="90"/>
      <c r="D393" s="91"/>
      <c r="E393" s="92"/>
      <c r="F393" s="89"/>
      <c r="G393" s="89"/>
      <c r="H393" s="89"/>
      <c r="I393" s="89"/>
      <c r="J393" s="89"/>
      <c r="K393" s="89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</row>
    <row r="394" spans="2:23" s="14" customFormat="1" ht="17.100000000000001" customHeight="1">
      <c r="B394" s="89"/>
      <c r="C394" s="90"/>
      <c r="D394" s="91"/>
      <c r="E394" s="92"/>
      <c r="F394" s="89"/>
      <c r="G394" s="89"/>
      <c r="H394" s="89"/>
      <c r="I394" s="89"/>
      <c r="J394" s="89"/>
      <c r="K394" s="89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</row>
    <row r="395" spans="2:23" s="14" customFormat="1" ht="17.100000000000001" customHeight="1">
      <c r="B395" s="89"/>
      <c r="C395" s="90"/>
      <c r="D395" s="91"/>
      <c r="E395" s="92"/>
      <c r="F395" s="89"/>
      <c r="G395" s="89"/>
      <c r="H395" s="89"/>
      <c r="I395" s="89"/>
      <c r="J395" s="89"/>
      <c r="K395" s="89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</row>
    <row r="396" spans="2:23" s="14" customFormat="1" ht="17.100000000000001" customHeight="1">
      <c r="B396" s="89"/>
      <c r="C396" s="90"/>
      <c r="D396" s="91"/>
      <c r="E396" s="92"/>
      <c r="F396" s="89"/>
      <c r="G396" s="89"/>
      <c r="H396" s="89"/>
      <c r="I396" s="89"/>
      <c r="J396" s="89"/>
      <c r="K396" s="89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</row>
    <row r="397" spans="2:23" s="14" customFormat="1" ht="17.100000000000001" customHeight="1">
      <c r="B397" s="89"/>
      <c r="C397" s="90"/>
      <c r="D397" s="91"/>
      <c r="E397" s="92"/>
      <c r="F397" s="89"/>
      <c r="G397" s="89"/>
      <c r="H397" s="89"/>
      <c r="I397" s="89"/>
      <c r="J397" s="89"/>
      <c r="K397" s="89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</row>
    <row r="398" spans="2:23" s="14" customFormat="1" ht="17.100000000000001" customHeight="1">
      <c r="B398" s="89"/>
      <c r="C398" s="90"/>
      <c r="D398" s="91"/>
      <c r="E398" s="92"/>
      <c r="F398" s="89"/>
      <c r="G398" s="89"/>
      <c r="H398" s="89"/>
      <c r="I398" s="89"/>
      <c r="J398" s="89"/>
      <c r="K398" s="89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</row>
    <row r="399" spans="2:23" s="14" customFormat="1" ht="17.100000000000001" customHeight="1">
      <c r="B399" s="89"/>
      <c r="C399" s="90"/>
      <c r="D399" s="91"/>
      <c r="E399" s="92"/>
      <c r="F399" s="89"/>
      <c r="G399" s="89"/>
      <c r="H399" s="89"/>
      <c r="I399" s="89"/>
      <c r="J399" s="89"/>
      <c r="K399" s="89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</row>
    <row r="400" spans="2:23" s="14" customFormat="1" ht="17.100000000000001" customHeight="1">
      <c r="B400" s="89"/>
      <c r="C400" s="90"/>
      <c r="D400" s="91"/>
      <c r="E400" s="92"/>
      <c r="F400" s="89"/>
      <c r="G400" s="89"/>
      <c r="H400" s="89"/>
      <c r="I400" s="89"/>
      <c r="J400" s="89"/>
      <c r="K400" s="89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</row>
    <row r="401" spans="2:23" s="14" customFormat="1" ht="17.100000000000001" customHeight="1">
      <c r="B401" s="89"/>
      <c r="C401" s="90"/>
      <c r="D401" s="91"/>
      <c r="E401" s="92"/>
      <c r="F401" s="89"/>
      <c r="G401" s="89"/>
      <c r="H401" s="89"/>
      <c r="I401" s="89"/>
      <c r="J401" s="89"/>
      <c r="K401" s="89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</row>
    <row r="402" spans="2:23" s="14" customFormat="1" ht="17.100000000000001" customHeight="1">
      <c r="B402" s="89"/>
      <c r="C402" s="90"/>
      <c r="D402" s="91"/>
      <c r="E402" s="92"/>
      <c r="F402" s="89"/>
      <c r="G402" s="89"/>
      <c r="H402" s="89"/>
      <c r="I402" s="89"/>
      <c r="J402" s="89"/>
      <c r="K402" s="89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</row>
    <row r="403" spans="2:23" s="14" customFormat="1" ht="17.100000000000001" customHeight="1">
      <c r="B403" s="89"/>
      <c r="C403" s="90"/>
      <c r="D403" s="91"/>
      <c r="E403" s="92"/>
      <c r="F403" s="89"/>
      <c r="G403" s="89"/>
      <c r="H403" s="89"/>
      <c r="I403" s="89"/>
      <c r="J403" s="89"/>
      <c r="K403" s="89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</row>
    <row r="404" spans="2:23" s="14" customFormat="1" ht="17.100000000000001" customHeight="1">
      <c r="B404" s="89"/>
      <c r="C404" s="90"/>
      <c r="D404" s="91"/>
      <c r="E404" s="92"/>
      <c r="F404" s="89"/>
      <c r="G404" s="89"/>
      <c r="H404" s="89"/>
      <c r="I404" s="89"/>
      <c r="J404" s="89"/>
      <c r="K404" s="89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</row>
    <row r="405" spans="2:23" s="14" customFormat="1" ht="17.100000000000001" customHeight="1">
      <c r="B405" s="89"/>
      <c r="C405" s="90"/>
      <c r="D405" s="91"/>
      <c r="E405" s="92"/>
      <c r="F405" s="89"/>
      <c r="G405" s="89"/>
      <c r="H405" s="89"/>
      <c r="I405" s="89"/>
      <c r="J405" s="89"/>
      <c r="K405" s="89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</row>
    <row r="406" spans="2:23" s="14" customFormat="1" ht="17.100000000000001" customHeight="1">
      <c r="B406" s="89"/>
      <c r="C406" s="90"/>
      <c r="D406" s="91"/>
      <c r="E406" s="92"/>
      <c r="F406" s="89"/>
      <c r="G406" s="89"/>
      <c r="H406" s="89"/>
      <c r="I406" s="89"/>
      <c r="J406" s="89"/>
      <c r="K406" s="89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</row>
    <row r="407" spans="2:23" s="14" customFormat="1" ht="17.100000000000001" customHeight="1">
      <c r="B407" s="89"/>
      <c r="C407" s="90"/>
      <c r="D407" s="91"/>
      <c r="E407" s="92"/>
      <c r="F407" s="89"/>
      <c r="G407" s="89"/>
      <c r="H407" s="89"/>
      <c r="I407" s="89"/>
      <c r="J407" s="89"/>
      <c r="K407" s="89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</row>
    <row r="408" spans="2:23" s="14" customFormat="1" ht="17.100000000000001" customHeight="1">
      <c r="B408" s="89"/>
      <c r="C408" s="90"/>
      <c r="D408" s="91"/>
      <c r="E408" s="92"/>
      <c r="F408" s="89"/>
      <c r="G408" s="89"/>
      <c r="H408" s="89"/>
      <c r="I408" s="89"/>
      <c r="J408" s="89"/>
      <c r="K408" s="89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</row>
    <row r="409" spans="2:23" s="14" customFormat="1" ht="17.100000000000001" customHeight="1">
      <c r="B409" s="89"/>
      <c r="C409" s="90"/>
      <c r="D409" s="91"/>
      <c r="E409" s="92"/>
      <c r="F409" s="89"/>
      <c r="G409" s="89"/>
      <c r="H409" s="89"/>
      <c r="I409" s="89"/>
      <c r="J409" s="89"/>
      <c r="K409" s="89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</row>
    <row r="410" spans="2:23" s="14" customFormat="1" ht="17.100000000000001" customHeight="1">
      <c r="B410" s="89"/>
      <c r="C410" s="90"/>
      <c r="D410" s="91"/>
      <c r="E410" s="92"/>
      <c r="F410" s="89"/>
      <c r="G410" s="89"/>
      <c r="H410" s="89"/>
      <c r="I410" s="89"/>
      <c r="J410" s="89"/>
      <c r="K410" s="89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</row>
    <row r="411" spans="2:23" s="14" customFormat="1" ht="17.100000000000001" customHeight="1">
      <c r="B411" s="89"/>
      <c r="C411" s="90"/>
      <c r="D411" s="91"/>
      <c r="E411" s="92"/>
      <c r="F411" s="89"/>
      <c r="G411" s="89"/>
      <c r="H411" s="89"/>
      <c r="I411" s="89"/>
      <c r="J411" s="89"/>
      <c r="K411" s="89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</row>
    <row r="412" spans="2:23" s="14" customFormat="1" ht="17.100000000000001" customHeight="1">
      <c r="B412" s="89"/>
      <c r="C412" s="90"/>
      <c r="D412" s="91"/>
      <c r="E412" s="92"/>
      <c r="F412" s="89"/>
      <c r="G412" s="89"/>
      <c r="H412" s="89"/>
      <c r="I412" s="89"/>
      <c r="J412" s="89"/>
      <c r="K412" s="89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</row>
    <row r="413" spans="2:23" s="14" customFormat="1" ht="17.100000000000001" customHeight="1">
      <c r="B413" s="89"/>
      <c r="C413" s="90"/>
      <c r="D413" s="91"/>
      <c r="E413" s="92"/>
      <c r="F413" s="89"/>
      <c r="G413" s="89"/>
      <c r="H413" s="89"/>
      <c r="I413" s="89"/>
      <c r="J413" s="89"/>
      <c r="K413" s="89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</row>
    <row r="414" spans="2:23" s="14" customFormat="1" ht="17.100000000000001" customHeight="1">
      <c r="B414" s="89"/>
      <c r="C414" s="90"/>
      <c r="D414" s="91"/>
      <c r="E414" s="92"/>
      <c r="F414" s="89"/>
      <c r="G414" s="89"/>
      <c r="H414" s="89"/>
      <c r="I414" s="89"/>
      <c r="J414" s="89"/>
      <c r="K414" s="89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</row>
    <row r="415" spans="2:23" s="14" customFormat="1" ht="17.100000000000001" customHeight="1">
      <c r="B415" s="89"/>
      <c r="C415" s="90"/>
      <c r="D415" s="91"/>
      <c r="E415" s="92"/>
      <c r="F415" s="89"/>
      <c r="G415" s="89"/>
      <c r="H415" s="89"/>
      <c r="I415" s="89"/>
      <c r="J415" s="89"/>
      <c r="K415" s="89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</row>
    <row r="416" spans="2:23" s="14" customFormat="1" ht="17.100000000000001" customHeight="1">
      <c r="B416" s="89"/>
      <c r="C416" s="90"/>
      <c r="D416" s="91"/>
      <c r="E416" s="92"/>
      <c r="F416" s="89"/>
      <c r="G416" s="89"/>
      <c r="H416" s="89"/>
      <c r="I416" s="89"/>
      <c r="J416" s="89"/>
      <c r="K416" s="89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</row>
    <row r="417" spans="2:23" s="14" customFormat="1" ht="17.100000000000001" customHeight="1">
      <c r="B417" s="89"/>
      <c r="C417" s="90"/>
      <c r="D417" s="91"/>
      <c r="E417" s="92"/>
      <c r="F417" s="89"/>
      <c r="G417" s="89"/>
      <c r="H417" s="89"/>
      <c r="I417" s="89"/>
      <c r="J417" s="89"/>
      <c r="K417" s="89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</row>
    <row r="418" spans="2:23" s="14" customFormat="1" ht="17.100000000000001" customHeight="1">
      <c r="B418" s="89"/>
      <c r="C418" s="90"/>
      <c r="D418" s="91"/>
      <c r="E418" s="92"/>
      <c r="F418" s="89"/>
      <c r="G418" s="89"/>
      <c r="H418" s="89"/>
      <c r="I418" s="89"/>
      <c r="J418" s="89"/>
      <c r="K418" s="89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</row>
    <row r="419" spans="2:23" s="14" customFormat="1" ht="17.100000000000001" customHeight="1">
      <c r="B419" s="89"/>
      <c r="C419" s="90"/>
      <c r="D419" s="91"/>
      <c r="E419" s="92"/>
      <c r="F419" s="89"/>
      <c r="G419" s="89"/>
      <c r="H419" s="89"/>
      <c r="I419" s="89"/>
      <c r="J419" s="89"/>
      <c r="K419" s="89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</row>
    <row r="420" spans="2:23" s="14" customFormat="1" ht="17.100000000000001" customHeight="1">
      <c r="B420" s="89"/>
      <c r="C420" s="90"/>
      <c r="D420" s="91"/>
      <c r="E420" s="92"/>
      <c r="F420" s="89"/>
      <c r="G420" s="89"/>
      <c r="H420" s="89"/>
      <c r="I420" s="89"/>
      <c r="J420" s="89"/>
      <c r="K420" s="89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</row>
    <row r="421" spans="2:23" s="14" customFormat="1" ht="17.100000000000001" customHeight="1">
      <c r="B421" s="89"/>
      <c r="C421" s="90"/>
      <c r="D421" s="91"/>
      <c r="E421" s="92"/>
      <c r="F421" s="89"/>
      <c r="G421" s="89"/>
      <c r="H421" s="89"/>
      <c r="I421" s="89"/>
      <c r="J421" s="89"/>
      <c r="K421" s="89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</row>
    <row r="422" spans="2:23" s="14" customFormat="1" ht="17.100000000000001" customHeight="1">
      <c r="B422" s="89"/>
      <c r="C422" s="90"/>
      <c r="D422" s="91"/>
      <c r="E422" s="92"/>
      <c r="F422" s="89"/>
      <c r="G422" s="89"/>
      <c r="H422" s="89"/>
      <c r="I422" s="89"/>
      <c r="J422" s="89"/>
      <c r="K422" s="89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</row>
    <row r="423" spans="2:23" s="14" customFormat="1" ht="17.100000000000001" customHeight="1">
      <c r="B423" s="89"/>
      <c r="C423" s="90"/>
      <c r="D423" s="91"/>
      <c r="E423" s="92"/>
      <c r="F423" s="89"/>
      <c r="G423" s="89"/>
      <c r="H423" s="89"/>
      <c r="I423" s="89"/>
      <c r="J423" s="89"/>
      <c r="K423" s="89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</row>
    <row r="424" spans="2:23" s="14" customFormat="1" ht="17.100000000000001" customHeight="1">
      <c r="B424" s="89"/>
      <c r="C424" s="90"/>
      <c r="D424" s="91"/>
      <c r="E424" s="92"/>
      <c r="F424" s="89"/>
      <c r="G424" s="89"/>
      <c r="H424" s="89"/>
      <c r="I424" s="89"/>
      <c r="J424" s="89"/>
      <c r="K424" s="89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</row>
    <row r="425" spans="2:23" s="14" customFormat="1" ht="17.100000000000001" customHeight="1">
      <c r="B425" s="89"/>
      <c r="C425" s="90"/>
      <c r="D425" s="91"/>
      <c r="E425" s="92"/>
      <c r="F425" s="89"/>
      <c r="G425" s="89"/>
      <c r="H425" s="89"/>
      <c r="I425" s="89"/>
      <c r="J425" s="89"/>
      <c r="K425" s="89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</row>
    <row r="426" spans="2:23" s="14" customFormat="1" ht="17.100000000000001" customHeight="1">
      <c r="B426" s="89"/>
      <c r="C426" s="90"/>
      <c r="D426" s="91"/>
      <c r="E426" s="92"/>
      <c r="F426" s="89"/>
      <c r="G426" s="89"/>
      <c r="H426" s="89"/>
      <c r="I426" s="89"/>
      <c r="J426" s="89"/>
      <c r="K426" s="89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</row>
    <row r="427" spans="2:23" s="14" customFormat="1" ht="17.100000000000001" customHeight="1">
      <c r="B427" s="89"/>
      <c r="C427" s="90"/>
      <c r="D427" s="91"/>
      <c r="E427" s="92"/>
      <c r="F427" s="89"/>
      <c r="G427" s="89"/>
      <c r="H427" s="89"/>
      <c r="I427" s="89"/>
      <c r="J427" s="89"/>
      <c r="K427" s="89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</row>
    <row r="428" spans="2:23" s="14" customFormat="1" ht="17.100000000000001" customHeight="1">
      <c r="B428" s="89"/>
      <c r="C428" s="90"/>
      <c r="D428" s="91"/>
      <c r="E428" s="92"/>
      <c r="F428" s="89"/>
      <c r="G428" s="89"/>
      <c r="H428" s="89"/>
      <c r="I428" s="89"/>
      <c r="J428" s="89"/>
      <c r="K428" s="89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</row>
    <row r="429" spans="2:23" s="14" customFormat="1" ht="17.100000000000001" customHeight="1">
      <c r="B429" s="89"/>
      <c r="C429" s="90"/>
      <c r="D429" s="91"/>
      <c r="E429" s="92"/>
      <c r="F429" s="89"/>
      <c r="G429" s="89"/>
      <c r="H429" s="89"/>
      <c r="I429" s="89"/>
      <c r="J429" s="89"/>
      <c r="K429" s="89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</row>
    <row r="430" spans="2:23" s="14" customFormat="1" ht="17.100000000000001" customHeight="1">
      <c r="B430" s="89"/>
      <c r="C430" s="90"/>
      <c r="D430" s="91"/>
      <c r="E430" s="92"/>
      <c r="F430" s="89"/>
      <c r="G430" s="89"/>
      <c r="H430" s="89"/>
      <c r="I430" s="89"/>
      <c r="J430" s="89"/>
      <c r="K430" s="89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</row>
    <row r="431" spans="2:23" s="14" customFormat="1" ht="17.100000000000001" customHeight="1">
      <c r="B431" s="89"/>
      <c r="C431" s="90"/>
      <c r="D431" s="91"/>
      <c r="E431" s="92"/>
      <c r="F431" s="89"/>
      <c r="G431" s="89"/>
      <c r="H431" s="89"/>
      <c r="I431" s="89"/>
      <c r="J431" s="89"/>
      <c r="K431" s="89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</row>
    <row r="432" spans="2:23" s="14" customFormat="1" ht="17.100000000000001" customHeight="1">
      <c r="B432" s="89"/>
      <c r="C432" s="90"/>
      <c r="D432" s="91"/>
      <c r="E432" s="92"/>
      <c r="F432" s="89"/>
      <c r="G432" s="89"/>
      <c r="H432" s="89"/>
      <c r="I432" s="89"/>
      <c r="J432" s="89"/>
      <c r="K432" s="89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</row>
    <row r="433" spans="2:23" s="14" customFormat="1" ht="17.100000000000001" customHeight="1">
      <c r="B433" s="89"/>
      <c r="C433" s="90"/>
      <c r="D433" s="91"/>
      <c r="E433" s="92"/>
      <c r="F433" s="89"/>
      <c r="G433" s="89"/>
      <c r="H433" s="89"/>
      <c r="I433" s="89"/>
      <c r="J433" s="89"/>
      <c r="K433" s="89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</row>
    <row r="434" spans="2:23" s="14" customFormat="1" ht="17.100000000000001" customHeight="1">
      <c r="B434" s="89"/>
      <c r="C434" s="90"/>
      <c r="D434" s="91"/>
      <c r="E434" s="92"/>
      <c r="F434" s="89"/>
      <c r="G434" s="89"/>
      <c r="H434" s="89"/>
      <c r="I434" s="89"/>
      <c r="J434" s="89"/>
      <c r="K434" s="89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</row>
    <row r="435" spans="2:23" s="14" customFormat="1" ht="17.100000000000001" customHeight="1">
      <c r="B435" s="89"/>
      <c r="C435" s="90"/>
      <c r="D435" s="91"/>
      <c r="E435" s="92"/>
      <c r="F435" s="89"/>
      <c r="G435" s="89"/>
      <c r="H435" s="89"/>
      <c r="I435" s="89"/>
      <c r="J435" s="89"/>
      <c r="K435" s="89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</row>
    <row r="436" spans="2:23" s="14" customFormat="1" ht="17.100000000000001" customHeight="1">
      <c r="B436" s="89"/>
      <c r="C436" s="90"/>
      <c r="D436" s="91"/>
      <c r="E436" s="92"/>
      <c r="F436" s="89"/>
      <c r="G436" s="89"/>
      <c r="H436" s="89"/>
      <c r="I436" s="89"/>
      <c r="J436" s="89"/>
      <c r="K436" s="89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</row>
    <row r="437" spans="2:23" s="14" customFormat="1" ht="17.100000000000001" customHeight="1">
      <c r="B437" s="89"/>
      <c r="C437" s="90"/>
      <c r="D437" s="91"/>
      <c r="E437" s="92"/>
      <c r="F437" s="89"/>
      <c r="G437" s="89"/>
      <c r="H437" s="89"/>
      <c r="I437" s="89"/>
      <c r="J437" s="89"/>
      <c r="K437" s="89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</row>
    <row r="438" spans="2:23" s="14" customFormat="1" ht="17.100000000000001" customHeight="1">
      <c r="B438" s="89"/>
      <c r="C438" s="90"/>
      <c r="D438" s="91"/>
      <c r="E438" s="92"/>
      <c r="F438" s="89"/>
      <c r="G438" s="89"/>
      <c r="H438" s="89"/>
      <c r="I438" s="89"/>
      <c r="J438" s="89"/>
      <c r="K438" s="89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</row>
    <row r="439" spans="2:23" s="14" customFormat="1" ht="17.100000000000001" customHeight="1">
      <c r="B439" s="89"/>
      <c r="C439" s="90"/>
      <c r="D439" s="91"/>
      <c r="E439" s="92"/>
      <c r="F439" s="89"/>
      <c r="G439" s="89"/>
      <c r="H439" s="89"/>
      <c r="I439" s="89"/>
      <c r="J439" s="89"/>
      <c r="K439" s="89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</row>
    <row r="440" spans="2:23" s="14" customFormat="1" ht="17.100000000000001" customHeight="1">
      <c r="B440" s="89"/>
      <c r="C440" s="90"/>
      <c r="D440" s="91"/>
      <c r="E440" s="92"/>
      <c r="F440" s="89"/>
      <c r="G440" s="89"/>
      <c r="H440" s="89"/>
      <c r="I440" s="89"/>
      <c r="J440" s="89"/>
      <c r="K440" s="89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</row>
    <row r="441" spans="2:23" s="14" customFormat="1" ht="17.100000000000001" customHeight="1">
      <c r="B441" s="89"/>
      <c r="C441" s="90"/>
      <c r="D441" s="91"/>
      <c r="E441" s="92"/>
      <c r="F441" s="89"/>
      <c r="G441" s="89"/>
      <c r="H441" s="89"/>
      <c r="I441" s="89"/>
      <c r="J441" s="89"/>
      <c r="K441" s="89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</row>
    <row r="442" spans="2:23" s="14" customFormat="1" ht="17.100000000000001" customHeight="1">
      <c r="B442" s="89"/>
      <c r="C442" s="90"/>
      <c r="D442" s="91"/>
      <c r="E442" s="92"/>
      <c r="F442" s="89"/>
      <c r="G442" s="89"/>
      <c r="H442" s="89"/>
      <c r="I442" s="89"/>
      <c r="J442" s="89"/>
      <c r="K442" s="89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</row>
    <row r="443" spans="2:23" s="14" customFormat="1" ht="17.100000000000001" customHeight="1">
      <c r="B443" s="89"/>
      <c r="C443" s="90"/>
      <c r="D443" s="91"/>
      <c r="E443" s="92"/>
      <c r="F443" s="89"/>
      <c r="G443" s="89"/>
      <c r="H443" s="89"/>
      <c r="I443" s="89"/>
      <c r="J443" s="89"/>
      <c r="K443" s="89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</row>
    <row r="444" spans="2:23" s="14" customFormat="1" ht="17.100000000000001" customHeight="1">
      <c r="B444" s="89"/>
      <c r="C444" s="90"/>
      <c r="D444" s="91"/>
      <c r="E444" s="92"/>
      <c r="F444" s="89"/>
      <c r="G444" s="89"/>
      <c r="H444" s="89"/>
      <c r="I444" s="89"/>
      <c r="J444" s="89"/>
      <c r="K444" s="89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</row>
    <row r="445" spans="2:23" s="14" customFormat="1" ht="17.100000000000001" customHeight="1">
      <c r="B445" s="89"/>
      <c r="C445" s="90"/>
      <c r="D445" s="91"/>
      <c r="E445" s="92"/>
      <c r="F445" s="89"/>
      <c r="G445" s="89"/>
      <c r="H445" s="89"/>
      <c r="I445" s="89"/>
      <c r="J445" s="89"/>
      <c r="K445" s="89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</row>
    <row r="446" spans="2:23" s="14" customFormat="1" ht="17.100000000000001" customHeight="1">
      <c r="B446" s="89"/>
      <c r="C446" s="90"/>
      <c r="D446" s="91"/>
      <c r="E446" s="92"/>
      <c r="F446" s="89"/>
      <c r="G446" s="89"/>
      <c r="H446" s="89"/>
      <c r="I446" s="89"/>
      <c r="J446" s="89"/>
      <c r="K446" s="89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</row>
    <row r="447" spans="2:23" s="14" customFormat="1" ht="17.100000000000001" customHeight="1">
      <c r="B447" s="89"/>
      <c r="C447" s="90"/>
      <c r="D447" s="91"/>
      <c r="E447" s="92"/>
      <c r="F447" s="89"/>
      <c r="G447" s="89"/>
      <c r="H447" s="89"/>
      <c r="I447" s="89"/>
      <c r="J447" s="89"/>
      <c r="K447" s="89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</row>
    <row r="448" spans="2:23" s="14" customFormat="1" ht="17.100000000000001" customHeight="1">
      <c r="B448" s="89"/>
      <c r="C448" s="90"/>
      <c r="D448" s="91"/>
      <c r="E448" s="92"/>
      <c r="F448" s="89"/>
      <c r="G448" s="89"/>
      <c r="H448" s="89"/>
      <c r="I448" s="89"/>
      <c r="J448" s="89"/>
      <c r="K448" s="89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</row>
    <row r="449" spans="2:23" s="14" customFormat="1" ht="17.100000000000001" customHeight="1">
      <c r="B449" s="89"/>
      <c r="C449" s="90"/>
      <c r="D449" s="91"/>
      <c r="E449" s="92"/>
      <c r="F449" s="89"/>
      <c r="G449" s="89"/>
      <c r="H449" s="89"/>
      <c r="I449" s="89"/>
      <c r="J449" s="89"/>
      <c r="K449" s="89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</row>
    <row r="450" spans="2:23" s="14" customFormat="1" ht="17.100000000000001" customHeight="1">
      <c r="B450" s="89"/>
      <c r="C450" s="90"/>
      <c r="D450" s="91"/>
      <c r="E450" s="92"/>
      <c r="F450" s="89"/>
      <c r="G450" s="89"/>
      <c r="H450" s="89"/>
      <c r="I450" s="89"/>
      <c r="J450" s="89"/>
      <c r="K450" s="89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</row>
    <row r="451" spans="2:23" s="14" customFormat="1" ht="17.100000000000001" customHeight="1">
      <c r="B451" s="89"/>
      <c r="C451" s="90"/>
      <c r="D451" s="91"/>
      <c r="E451" s="92"/>
      <c r="F451" s="89"/>
      <c r="G451" s="89"/>
      <c r="H451" s="89"/>
      <c r="I451" s="89"/>
      <c r="J451" s="89"/>
      <c r="K451" s="89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</row>
    <row r="452" spans="2:23" s="14" customFormat="1" ht="17.100000000000001" customHeight="1">
      <c r="B452" s="89"/>
      <c r="C452" s="90"/>
      <c r="D452" s="91"/>
      <c r="E452" s="92"/>
      <c r="F452" s="89"/>
      <c r="G452" s="89"/>
      <c r="H452" s="89"/>
      <c r="I452" s="89"/>
      <c r="J452" s="89"/>
      <c r="K452" s="89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</row>
    <row r="453" spans="2:23" s="14" customFormat="1" ht="17.100000000000001" customHeight="1">
      <c r="B453" s="89"/>
      <c r="C453" s="90"/>
      <c r="D453" s="91"/>
      <c r="E453" s="92"/>
      <c r="F453" s="89"/>
      <c r="G453" s="89"/>
      <c r="H453" s="89"/>
      <c r="I453" s="89"/>
      <c r="J453" s="89"/>
      <c r="K453" s="89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</row>
    <row r="454" spans="2:23" s="14" customFormat="1" ht="17.100000000000001" customHeight="1">
      <c r="B454" s="89"/>
      <c r="C454" s="90"/>
      <c r="D454" s="91"/>
      <c r="E454" s="92"/>
      <c r="F454" s="89"/>
      <c r="G454" s="89"/>
      <c r="H454" s="89"/>
      <c r="I454" s="89"/>
      <c r="J454" s="89"/>
      <c r="K454" s="89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</row>
    <row r="455" spans="2:23" s="14" customFormat="1" ht="17.100000000000001" customHeight="1">
      <c r="B455" s="89"/>
      <c r="C455" s="90"/>
      <c r="D455" s="91"/>
      <c r="E455" s="92"/>
      <c r="F455" s="89"/>
      <c r="G455" s="89"/>
      <c r="H455" s="89"/>
      <c r="I455" s="89"/>
      <c r="J455" s="89"/>
      <c r="K455" s="89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</row>
    <row r="456" spans="2:23" s="14" customFormat="1" ht="17.100000000000001" customHeight="1">
      <c r="B456" s="89"/>
      <c r="C456" s="90"/>
      <c r="D456" s="91"/>
      <c r="E456" s="92"/>
      <c r="F456" s="89"/>
      <c r="G456" s="89"/>
      <c r="H456" s="89"/>
      <c r="I456" s="89"/>
      <c r="J456" s="89"/>
      <c r="K456" s="89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</row>
    <row r="457" spans="2:23" s="14" customFormat="1" ht="17.100000000000001" customHeight="1">
      <c r="B457" s="89"/>
      <c r="C457" s="90"/>
      <c r="D457" s="91"/>
      <c r="E457" s="92"/>
      <c r="F457" s="89"/>
      <c r="G457" s="89"/>
      <c r="H457" s="89"/>
      <c r="I457" s="89"/>
      <c r="J457" s="89"/>
      <c r="K457" s="89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</row>
    <row r="458" spans="2:23" s="14" customFormat="1" ht="17.100000000000001" customHeight="1">
      <c r="B458" s="89"/>
      <c r="C458" s="90"/>
      <c r="D458" s="91"/>
      <c r="E458" s="92"/>
      <c r="F458" s="89"/>
      <c r="G458" s="89"/>
      <c r="H458" s="89"/>
      <c r="I458" s="89"/>
      <c r="J458" s="89"/>
      <c r="K458" s="89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</row>
    <row r="459" spans="2:23" s="14" customFormat="1" ht="17.100000000000001" customHeight="1">
      <c r="B459" s="89"/>
      <c r="C459" s="90"/>
      <c r="D459" s="91"/>
      <c r="E459" s="92"/>
      <c r="F459" s="89"/>
      <c r="G459" s="89"/>
      <c r="H459" s="89"/>
      <c r="I459" s="89"/>
      <c r="J459" s="89"/>
      <c r="K459" s="89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</row>
    <row r="460" spans="2:23" s="14" customFormat="1" ht="17.100000000000001" customHeight="1">
      <c r="B460" s="89"/>
      <c r="C460" s="90"/>
      <c r="D460" s="91"/>
      <c r="E460" s="92"/>
      <c r="F460" s="89"/>
      <c r="G460" s="89"/>
      <c r="H460" s="89"/>
      <c r="I460" s="89"/>
      <c r="J460" s="89"/>
      <c r="K460" s="89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</row>
    <row r="461" spans="2:23" s="14" customFormat="1" ht="17.100000000000001" customHeight="1">
      <c r="B461" s="89"/>
      <c r="C461" s="90"/>
      <c r="D461" s="91"/>
      <c r="E461" s="92"/>
      <c r="F461" s="89"/>
      <c r="G461" s="89"/>
      <c r="H461" s="89"/>
      <c r="I461" s="89"/>
      <c r="J461" s="89"/>
      <c r="K461" s="89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</row>
    <row r="462" spans="2:23" s="14" customFormat="1" ht="17.100000000000001" customHeight="1">
      <c r="B462" s="89"/>
      <c r="C462" s="90"/>
      <c r="D462" s="91"/>
      <c r="E462" s="92"/>
      <c r="F462" s="89"/>
      <c r="G462" s="89"/>
      <c r="H462" s="89"/>
      <c r="I462" s="89"/>
      <c r="J462" s="89"/>
      <c r="K462" s="89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</row>
    <row r="463" spans="2:23" s="14" customFormat="1" ht="17.100000000000001" customHeight="1">
      <c r="B463" s="89"/>
      <c r="C463" s="90"/>
      <c r="D463" s="91"/>
      <c r="E463" s="92"/>
      <c r="F463" s="89"/>
      <c r="G463" s="89"/>
      <c r="H463" s="89"/>
      <c r="I463" s="89"/>
      <c r="J463" s="89"/>
      <c r="K463" s="89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</row>
    <row r="464" spans="2:23" s="14" customFormat="1" ht="17.100000000000001" customHeight="1">
      <c r="B464" s="89"/>
      <c r="C464" s="90"/>
      <c r="D464" s="91"/>
      <c r="E464" s="92"/>
      <c r="F464" s="89"/>
      <c r="G464" s="89"/>
      <c r="H464" s="89"/>
      <c r="I464" s="89"/>
      <c r="J464" s="89"/>
      <c r="K464" s="89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</row>
    <row r="465" spans="2:23" s="14" customFormat="1" ht="17.100000000000001" customHeight="1">
      <c r="B465" s="89"/>
      <c r="C465" s="90"/>
      <c r="D465" s="91"/>
      <c r="E465" s="92"/>
      <c r="F465" s="89"/>
      <c r="G465" s="89"/>
      <c r="H465" s="89"/>
      <c r="I465" s="89"/>
      <c r="J465" s="89"/>
      <c r="K465" s="89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</row>
    <row r="466" spans="2:23" s="14" customFormat="1" ht="17.100000000000001" customHeight="1">
      <c r="B466" s="89"/>
      <c r="C466" s="90"/>
      <c r="D466" s="91"/>
      <c r="E466" s="92"/>
      <c r="F466" s="89"/>
      <c r="G466" s="89"/>
      <c r="H466" s="89"/>
      <c r="I466" s="89"/>
      <c r="J466" s="89"/>
      <c r="K466" s="89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</row>
    <row r="467" spans="2:23" s="14" customFormat="1" ht="17.100000000000001" customHeight="1">
      <c r="B467" s="89"/>
      <c r="C467" s="90"/>
      <c r="D467" s="91"/>
      <c r="E467" s="92"/>
      <c r="F467" s="89"/>
      <c r="G467" s="89"/>
      <c r="H467" s="89"/>
      <c r="I467" s="89"/>
      <c r="J467" s="89"/>
      <c r="K467" s="89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</row>
    <row r="468" spans="2:23" s="14" customFormat="1" ht="17.100000000000001" customHeight="1">
      <c r="B468" s="89"/>
      <c r="C468" s="90"/>
      <c r="D468" s="91"/>
      <c r="E468" s="92"/>
      <c r="F468" s="89"/>
      <c r="G468" s="89"/>
      <c r="H468" s="89"/>
      <c r="I468" s="89"/>
      <c r="J468" s="89"/>
      <c r="K468" s="89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</row>
    <row r="469" spans="2:23" s="14" customFormat="1" ht="17.100000000000001" customHeight="1">
      <c r="B469" s="89"/>
      <c r="C469" s="90"/>
      <c r="D469" s="91"/>
      <c r="E469" s="92"/>
      <c r="F469" s="89"/>
      <c r="G469" s="89"/>
      <c r="H469" s="89"/>
      <c r="I469" s="89"/>
      <c r="J469" s="89"/>
      <c r="K469" s="89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</row>
    <row r="470" spans="2:23" s="14" customFormat="1" ht="17.100000000000001" customHeight="1">
      <c r="B470" s="89"/>
      <c r="C470" s="90"/>
      <c r="D470" s="91"/>
      <c r="E470" s="92"/>
      <c r="F470" s="89"/>
      <c r="G470" s="89"/>
      <c r="H470" s="89"/>
      <c r="I470" s="89"/>
      <c r="J470" s="89"/>
      <c r="K470" s="89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</row>
    <row r="471" spans="2:23" s="14" customFormat="1" ht="17.100000000000001" customHeight="1">
      <c r="B471" s="89"/>
      <c r="C471" s="90"/>
      <c r="D471" s="91"/>
      <c r="E471" s="92"/>
      <c r="F471" s="89"/>
      <c r="G471" s="89"/>
      <c r="H471" s="89"/>
      <c r="I471" s="89"/>
      <c r="J471" s="89"/>
      <c r="K471" s="89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</row>
    <row r="472" spans="2:23" s="14" customFormat="1" ht="17.100000000000001" customHeight="1">
      <c r="B472" s="89"/>
      <c r="C472" s="90"/>
      <c r="D472" s="91"/>
      <c r="E472" s="92"/>
      <c r="F472" s="89"/>
      <c r="G472" s="89"/>
      <c r="H472" s="89"/>
      <c r="I472" s="89"/>
      <c r="J472" s="89"/>
      <c r="K472" s="89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</row>
    <row r="473" spans="2:23" s="14" customFormat="1" ht="17.100000000000001" customHeight="1">
      <c r="B473" s="89"/>
      <c r="C473" s="90"/>
      <c r="D473" s="91"/>
      <c r="E473" s="92"/>
      <c r="F473" s="89"/>
      <c r="G473" s="89"/>
      <c r="H473" s="89"/>
      <c r="I473" s="89"/>
      <c r="J473" s="89"/>
      <c r="K473" s="89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</row>
    <row r="474" spans="2:23" s="14" customFormat="1" ht="17.100000000000001" customHeight="1">
      <c r="B474" s="89"/>
      <c r="C474" s="90"/>
      <c r="D474" s="91"/>
      <c r="E474" s="92"/>
      <c r="F474" s="89"/>
      <c r="G474" s="89"/>
      <c r="H474" s="89"/>
      <c r="I474" s="89"/>
      <c r="J474" s="89"/>
      <c r="K474" s="89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</row>
    <row r="475" spans="2:23" s="14" customFormat="1" ht="17.100000000000001" customHeight="1">
      <c r="B475" s="89"/>
      <c r="C475" s="90"/>
      <c r="D475" s="91"/>
      <c r="E475" s="92"/>
      <c r="F475" s="89"/>
      <c r="G475" s="89"/>
      <c r="H475" s="89"/>
      <c r="I475" s="89"/>
      <c r="J475" s="89"/>
      <c r="K475" s="89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</row>
    <row r="476" spans="2:23" s="14" customFormat="1" ht="17.100000000000001" customHeight="1">
      <c r="B476" s="89"/>
      <c r="C476" s="90"/>
      <c r="D476" s="91"/>
      <c r="E476" s="92"/>
      <c r="F476" s="89"/>
      <c r="G476" s="89"/>
      <c r="H476" s="89"/>
      <c r="I476" s="89"/>
      <c r="J476" s="89"/>
      <c r="K476" s="89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</row>
    <row r="477" spans="2:23" s="14" customFormat="1" ht="17.100000000000001" customHeight="1">
      <c r="B477" s="89"/>
      <c r="C477" s="90"/>
      <c r="D477" s="91"/>
      <c r="E477" s="92"/>
      <c r="F477" s="89"/>
      <c r="G477" s="89"/>
      <c r="H477" s="89"/>
      <c r="I477" s="89"/>
      <c r="J477" s="89"/>
      <c r="K477" s="89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</row>
    <row r="478" spans="2:23" s="14" customFormat="1" ht="17.100000000000001" customHeight="1">
      <c r="B478" s="89"/>
      <c r="C478" s="90"/>
      <c r="D478" s="91"/>
      <c r="E478" s="92"/>
      <c r="F478" s="89"/>
      <c r="G478" s="89"/>
      <c r="H478" s="89"/>
      <c r="I478" s="89"/>
      <c r="J478" s="89"/>
      <c r="K478" s="89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</row>
    <row r="479" spans="2:23" s="14" customFormat="1" ht="17.100000000000001" customHeight="1">
      <c r="B479" s="89"/>
      <c r="C479" s="90"/>
      <c r="D479" s="91"/>
      <c r="E479" s="92"/>
      <c r="F479" s="89"/>
      <c r="G479" s="89"/>
      <c r="H479" s="89"/>
      <c r="I479" s="89"/>
      <c r="J479" s="89"/>
      <c r="K479" s="89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</row>
    <row r="480" spans="2:23" s="14" customFormat="1" ht="17.100000000000001" customHeight="1">
      <c r="B480" s="89"/>
      <c r="C480" s="90"/>
      <c r="D480" s="91"/>
      <c r="E480" s="92"/>
      <c r="F480" s="89"/>
      <c r="G480" s="89"/>
      <c r="H480" s="89"/>
      <c r="I480" s="89"/>
      <c r="J480" s="89"/>
      <c r="K480" s="89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</row>
    <row r="481" spans="2:23" s="14" customFormat="1" ht="17.100000000000001" customHeight="1">
      <c r="B481" s="89"/>
      <c r="C481" s="90"/>
      <c r="D481" s="91"/>
      <c r="E481" s="92"/>
      <c r="F481" s="89"/>
      <c r="G481" s="89"/>
      <c r="H481" s="89"/>
      <c r="I481" s="89"/>
      <c r="J481" s="89"/>
      <c r="K481" s="89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</row>
    <row r="482" spans="2:23" s="14" customFormat="1" ht="17.100000000000001" customHeight="1">
      <c r="B482" s="89"/>
      <c r="C482" s="90"/>
      <c r="D482" s="91"/>
      <c r="E482" s="92"/>
      <c r="F482" s="89"/>
      <c r="G482" s="89"/>
      <c r="H482" s="89"/>
      <c r="I482" s="89"/>
      <c r="J482" s="89"/>
      <c r="K482" s="89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</row>
    <row r="483" spans="2:23" s="14" customFormat="1" ht="17.100000000000001" customHeight="1">
      <c r="B483" s="89"/>
      <c r="C483" s="90"/>
      <c r="D483" s="91"/>
      <c r="E483" s="92"/>
      <c r="F483" s="89"/>
      <c r="G483" s="89"/>
      <c r="H483" s="89"/>
      <c r="I483" s="89"/>
      <c r="J483" s="89"/>
      <c r="K483" s="89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</row>
    <row r="484" spans="2:23" s="14" customFormat="1" ht="17.100000000000001" customHeight="1">
      <c r="B484" s="89"/>
      <c r="C484" s="90"/>
      <c r="D484" s="91"/>
      <c r="E484" s="92"/>
      <c r="F484" s="89"/>
      <c r="G484" s="89"/>
      <c r="H484" s="89"/>
      <c r="I484" s="89"/>
      <c r="J484" s="89"/>
      <c r="K484" s="89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</row>
    <row r="485" spans="2:23" s="14" customFormat="1" ht="17.100000000000001" customHeight="1">
      <c r="B485" s="89"/>
      <c r="C485" s="90"/>
      <c r="D485" s="91"/>
      <c r="E485" s="92"/>
      <c r="F485" s="89"/>
      <c r="G485" s="89"/>
      <c r="H485" s="89"/>
      <c r="I485" s="89"/>
      <c r="J485" s="89"/>
      <c r="K485" s="89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</row>
    <row r="486" spans="2:23" s="14" customFormat="1" ht="17.100000000000001" customHeight="1">
      <c r="B486" s="89"/>
      <c r="C486" s="90"/>
      <c r="D486" s="91"/>
      <c r="E486" s="92"/>
      <c r="F486" s="89"/>
      <c r="G486" s="89"/>
      <c r="H486" s="89"/>
      <c r="I486" s="89"/>
      <c r="J486" s="89"/>
      <c r="K486" s="89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</row>
    <row r="487" spans="2:23" s="14" customFormat="1" ht="17.100000000000001" customHeight="1">
      <c r="B487" s="89"/>
      <c r="C487" s="90"/>
      <c r="D487" s="91"/>
      <c r="E487" s="92"/>
      <c r="F487" s="89"/>
      <c r="G487" s="89"/>
      <c r="H487" s="89"/>
      <c r="I487" s="89"/>
      <c r="J487" s="89"/>
      <c r="K487" s="89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</row>
    <row r="488" spans="2:23" s="14" customFormat="1" ht="17.100000000000001" customHeight="1">
      <c r="B488" s="89"/>
      <c r="C488" s="90"/>
      <c r="D488" s="91"/>
      <c r="E488" s="92"/>
      <c r="F488" s="89"/>
      <c r="G488" s="89"/>
      <c r="H488" s="89"/>
      <c r="I488" s="89"/>
      <c r="J488" s="89"/>
      <c r="K488" s="89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</row>
    <row r="489" spans="2:23" s="14" customFormat="1" ht="17.100000000000001" customHeight="1">
      <c r="B489" s="89"/>
      <c r="C489" s="90"/>
      <c r="D489" s="91"/>
      <c r="E489" s="92"/>
      <c r="F489" s="89"/>
      <c r="G489" s="89"/>
      <c r="H489" s="89"/>
      <c r="I489" s="89"/>
      <c r="J489" s="89"/>
      <c r="K489" s="89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</row>
    <row r="490" spans="2:23" s="14" customFormat="1" ht="17.100000000000001" customHeight="1">
      <c r="B490" s="89"/>
      <c r="C490" s="90"/>
      <c r="D490" s="91"/>
      <c r="E490" s="92"/>
      <c r="F490" s="89"/>
      <c r="G490" s="89"/>
      <c r="H490" s="89"/>
      <c r="I490" s="89"/>
      <c r="J490" s="89"/>
      <c r="K490" s="89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</row>
    <row r="491" spans="2:23" s="14" customFormat="1" ht="17.100000000000001" customHeight="1">
      <c r="B491" s="89"/>
      <c r="C491" s="90"/>
      <c r="D491" s="91"/>
      <c r="E491" s="92"/>
      <c r="F491" s="89"/>
      <c r="G491" s="89"/>
      <c r="H491" s="89"/>
      <c r="I491" s="89"/>
      <c r="J491" s="89"/>
      <c r="K491" s="89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</row>
    <row r="492" spans="2:23" s="14" customFormat="1" ht="17.100000000000001" customHeight="1">
      <c r="B492" s="89"/>
      <c r="C492" s="90"/>
      <c r="D492" s="91"/>
      <c r="E492" s="92"/>
      <c r="F492" s="89"/>
      <c r="G492" s="89"/>
      <c r="H492" s="89"/>
      <c r="I492" s="89"/>
      <c r="J492" s="89"/>
      <c r="K492" s="89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</row>
    <row r="493" spans="2:23" s="14" customFormat="1" ht="17.100000000000001" customHeight="1">
      <c r="B493" s="89"/>
      <c r="C493" s="90"/>
      <c r="D493" s="91"/>
      <c r="E493" s="92"/>
      <c r="F493" s="89"/>
      <c r="G493" s="89"/>
      <c r="H493" s="89"/>
      <c r="I493" s="89"/>
      <c r="J493" s="89"/>
      <c r="K493" s="89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</row>
    <row r="494" spans="2:23" s="14" customFormat="1" ht="17.100000000000001" customHeight="1">
      <c r="B494" s="89"/>
      <c r="C494" s="90"/>
      <c r="D494" s="91"/>
      <c r="E494" s="92"/>
      <c r="F494" s="89"/>
      <c r="G494" s="89"/>
      <c r="H494" s="89"/>
      <c r="I494" s="89"/>
      <c r="J494" s="89"/>
      <c r="K494" s="89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</row>
    <row r="495" spans="2:23" s="14" customFormat="1" ht="17.100000000000001" customHeight="1">
      <c r="B495" s="89"/>
      <c r="C495" s="90"/>
      <c r="D495" s="91"/>
      <c r="E495" s="92"/>
      <c r="F495" s="89"/>
      <c r="G495" s="89"/>
      <c r="H495" s="89"/>
      <c r="I495" s="89"/>
      <c r="J495" s="89"/>
      <c r="K495" s="89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</row>
    <row r="496" spans="2:23" s="14" customFormat="1" ht="17.100000000000001" customHeight="1">
      <c r="B496" s="89"/>
      <c r="C496" s="90"/>
      <c r="D496" s="91"/>
      <c r="E496" s="92"/>
      <c r="F496" s="89"/>
      <c r="G496" s="89"/>
      <c r="H496" s="89"/>
      <c r="I496" s="89"/>
      <c r="J496" s="89"/>
      <c r="K496" s="89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</row>
    <row r="497" spans="2:23" s="14" customFormat="1" ht="17.100000000000001" customHeight="1">
      <c r="B497" s="89"/>
      <c r="C497" s="90"/>
      <c r="D497" s="91"/>
      <c r="E497" s="92"/>
      <c r="F497" s="89"/>
      <c r="G497" s="89"/>
      <c r="H497" s="89"/>
      <c r="I497" s="89"/>
      <c r="J497" s="89"/>
      <c r="K497" s="89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</row>
    <row r="498" spans="2:23" s="14" customFormat="1" ht="17.100000000000001" customHeight="1">
      <c r="B498" s="89"/>
      <c r="C498" s="90"/>
      <c r="D498" s="91"/>
      <c r="E498" s="92"/>
      <c r="F498" s="89"/>
      <c r="G498" s="89"/>
      <c r="H498" s="89"/>
      <c r="I498" s="89"/>
      <c r="J498" s="89"/>
      <c r="K498" s="89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</row>
    <row r="499" spans="2:23" s="14" customFormat="1" ht="17.100000000000001" customHeight="1">
      <c r="B499" s="89"/>
      <c r="C499" s="90"/>
      <c r="D499" s="91"/>
      <c r="E499" s="92"/>
      <c r="F499" s="89"/>
      <c r="G499" s="89"/>
      <c r="H499" s="89"/>
      <c r="I499" s="89"/>
      <c r="J499" s="89"/>
      <c r="K499" s="89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</row>
    <row r="500" spans="2:23" s="14" customFormat="1" ht="17.100000000000001" customHeight="1">
      <c r="B500" s="89"/>
      <c r="C500" s="90"/>
      <c r="D500" s="91"/>
      <c r="E500" s="92"/>
      <c r="F500" s="89"/>
      <c r="G500" s="89"/>
      <c r="H500" s="89"/>
      <c r="I500" s="89"/>
      <c r="J500" s="89"/>
      <c r="K500" s="89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</row>
    <row r="501" spans="2:23" s="14" customFormat="1" ht="17.100000000000001" customHeight="1">
      <c r="B501" s="89"/>
      <c r="C501" s="90"/>
      <c r="D501" s="91"/>
      <c r="E501" s="92"/>
      <c r="F501" s="89"/>
      <c r="G501" s="89"/>
      <c r="H501" s="89"/>
      <c r="I501" s="89"/>
      <c r="J501" s="89"/>
      <c r="K501" s="89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</row>
    <row r="502" spans="2:23" s="14" customFormat="1" ht="17.100000000000001" customHeight="1">
      <c r="B502" s="89"/>
      <c r="C502" s="90"/>
      <c r="D502" s="91"/>
      <c r="E502" s="92"/>
      <c r="F502" s="89"/>
      <c r="G502" s="89"/>
      <c r="H502" s="89"/>
      <c r="I502" s="89"/>
      <c r="J502" s="89"/>
      <c r="K502" s="89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</row>
    <row r="503" spans="2:23" s="14" customFormat="1" ht="17.100000000000001" customHeight="1">
      <c r="B503" s="89"/>
      <c r="C503" s="90"/>
      <c r="D503" s="91"/>
      <c r="E503" s="92"/>
      <c r="F503" s="89"/>
      <c r="G503" s="89"/>
      <c r="H503" s="89"/>
      <c r="I503" s="89"/>
      <c r="J503" s="89"/>
      <c r="K503" s="89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</row>
    <row r="504" spans="2:23" s="14" customFormat="1" ht="17.100000000000001" customHeight="1">
      <c r="B504" s="89"/>
      <c r="C504" s="90"/>
      <c r="D504" s="91"/>
      <c r="E504" s="92"/>
      <c r="F504" s="89"/>
      <c r="G504" s="89"/>
      <c r="H504" s="89"/>
      <c r="I504" s="89"/>
      <c r="J504" s="89"/>
      <c r="K504" s="89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</row>
    <row r="505" spans="2:23" s="14" customFormat="1" ht="17.100000000000001" customHeight="1">
      <c r="B505" s="89"/>
      <c r="C505" s="90"/>
      <c r="D505" s="91"/>
      <c r="E505" s="92"/>
      <c r="F505" s="89"/>
      <c r="G505" s="89"/>
      <c r="H505" s="89"/>
      <c r="I505" s="89"/>
      <c r="J505" s="89"/>
      <c r="K505" s="89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</row>
    <row r="506" spans="2:23" s="14" customFormat="1" ht="17.100000000000001" customHeight="1">
      <c r="B506" s="89"/>
      <c r="C506" s="90"/>
      <c r="D506" s="91"/>
      <c r="E506" s="92"/>
      <c r="F506" s="89"/>
      <c r="G506" s="89"/>
      <c r="H506" s="89"/>
      <c r="I506" s="89"/>
      <c r="J506" s="89"/>
      <c r="K506" s="89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</row>
    <row r="507" spans="2:23" s="14" customFormat="1" ht="17.100000000000001" customHeight="1">
      <c r="B507" s="89"/>
      <c r="C507" s="90"/>
      <c r="D507" s="91"/>
      <c r="E507" s="92"/>
      <c r="F507" s="89"/>
      <c r="G507" s="89"/>
      <c r="H507" s="89"/>
      <c r="I507" s="89"/>
      <c r="J507" s="89"/>
      <c r="K507" s="89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</row>
    <row r="508" spans="2:23" s="14" customFormat="1" ht="17.100000000000001" customHeight="1">
      <c r="B508" s="89"/>
      <c r="C508" s="90"/>
      <c r="D508" s="91"/>
      <c r="E508" s="92"/>
      <c r="F508" s="89"/>
      <c r="G508" s="89"/>
      <c r="H508" s="89"/>
      <c r="I508" s="89"/>
      <c r="J508" s="89"/>
      <c r="K508" s="89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</row>
    <row r="509" spans="2:23" s="14" customFormat="1" ht="17.100000000000001" customHeight="1">
      <c r="B509" s="89"/>
      <c r="C509" s="90"/>
      <c r="D509" s="91"/>
      <c r="E509" s="92"/>
      <c r="F509" s="89"/>
      <c r="G509" s="89"/>
      <c r="H509" s="89"/>
      <c r="I509" s="89"/>
      <c r="J509" s="89"/>
      <c r="K509" s="89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</row>
    <row r="510" spans="2:23" s="14" customFormat="1" ht="17.100000000000001" customHeight="1">
      <c r="B510" s="89"/>
      <c r="C510" s="90"/>
      <c r="D510" s="91"/>
      <c r="E510" s="92"/>
      <c r="F510" s="89"/>
      <c r="G510" s="89"/>
      <c r="H510" s="89"/>
      <c r="I510" s="89"/>
      <c r="J510" s="89"/>
      <c r="K510" s="89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</row>
    <row r="511" spans="2:23" s="14" customFormat="1" ht="17.100000000000001" customHeight="1">
      <c r="B511" s="89"/>
      <c r="C511" s="90"/>
      <c r="D511" s="91"/>
      <c r="E511" s="92"/>
      <c r="F511" s="89"/>
      <c r="G511" s="89"/>
      <c r="H511" s="89"/>
      <c r="I511" s="89"/>
      <c r="J511" s="89"/>
      <c r="K511" s="89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</row>
    <row r="512" spans="2:23" s="14" customFormat="1" ht="17.100000000000001" customHeight="1">
      <c r="B512" s="89"/>
      <c r="C512" s="90"/>
      <c r="D512" s="91"/>
      <c r="E512" s="92"/>
      <c r="F512" s="89"/>
      <c r="G512" s="89"/>
      <c r="H512" s="89"/>
      <c r="I512" s="89"/>
      <c r="J512" s="89"/>
      <c r="K512" s="89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</row>
    <row r="513" spans="2:23" s="14" customFormat="1" ht="17.100000000000001" customHeight="1">
      <c r="B513" s="89"/>
      <c r="C513" s="90"/>
      <c r="D513" s="91"/>
      <c r="E513" s="92"/>
      <c r="F513" s="89"/>
      <c r="G513" s="89"/>
      <c r="H513" s="89"/>
      <c r="I513" s="89"/>
      <c r="J513" s="89"/>
      <c r="K513" s="89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</row>
    <row r="514" spans="2:23" s="14" customFormat="1" ht="17.100000000000001" customHeight="1">
      <c r="B514" s="89"/>
      <c r="C514" s="90"/>
      <c r="D514" s="91"/>
      <c r="E514" s="92"/>
      <c r="F514" s="89"/>
      <c r="G514" s="89"/>
      <c r="H514" s="89"/>
      <c r="I514" s="89"/>
      <c r="J514" s="89"/>
      <c r="K514" s="89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</row>
    <row r="515" spans="2:23" s="14" customFormat="1" ht="17.100000000000001" customHeight="1">
      <c r="B515" s="89"/>
      <c r="C515" s="90"/>
      <c r="D515" s="91"/>
      <c r="E515" s="92"/>
      <c r="F515" s="89"/>
      <c r="G515" s="89"/>
      <c r="H515" s="89"/>
      <c r="I515" s="89"/>
      <c r="J515" s="89"/>
      <c r="K515" s="89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</row>
    <row r="516" spans="2:23" s="14" customFormat="1" ht="17.100000000000001" customHeight="1">
      <c r="B516" s="89"/>
      <c r="C516" s="90"/>
      <c r="D516" s="91"/>
      <c r="E516" s="92"/>
      <c r="F516" s="89"/>
      <c r="G516" s="89"/>
      <c r="H516" s="89"/>
      <c r="I516" s="89"/>
      <c r="J516" s="89"/>
      <c r="K516" s="89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</row>
    <row r="517" spans="2:23" s="14" customFormat="1" ht="17.100000000000001" customHeight="1">
      <c r="B517" s="89"/>
      <c r="C517" s="90"/>
      <c r="D517" s="91"/>
      <c r="E517" s="92"/>
      <c r="F517" s="89"/>
      <c r="G517" s="89"/>
      <c r="H517" s="89"/>
      <c r="I517" s="89"/>
      <c r="J517" s="89"/>
      <c r="K517" s="89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</row>
    <row r="518" spans="2:23" s="14" customFormat="1" ht="17.100000000000001" customHeight="1">
      <c r="B518" s="89"/>
      <c r="C518" s="90"/>
      <c r="D518" s="91"/>
      <c r="E518" s="92"/>
      <c r="F518" s="89"/>
      <c r="G518" s="89"/>
      <c r="H518" s="89"/>
      <c r="I518" s="89"/>
      <c r="J518" s="89"/>
      <c r="K518" s="89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</row>
    <row r="519" spans="2:23" s="14" customFormat="1" ht="17.100000000000001" customHeight="1">
      <c r="B519" s="89"/>
      <c r="C519" s="90"/>
      <c r="D519" s="91"/>
      <c r="E519" s="92"/>
      <c r="F519" s="89"/>
      <c r="G519" s="89"/>
      <c r="H519" s="89"/>
      <c r="I519" s="89"/>
      <c r="J519" s="89"/>
      <c r="K519" s="89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</row>
    <row r="520" spans="2:23" s="14" customFormat="1" ht="17.100000000000001" customHeight="1">
      <c r="B520" s="89"/>
      <c r="C520" s="90"/>
      <c r="D520" s="91"/>
      <c r="E520" s="92"/>
      <c r="F520" s="89"/>
      <c r="G520" s="89"/>
      <c r="H520" s="89"/>
      <c r="I520" s="89"/>
      <c r="J520" s="89"/>
      <c r="K520" s="89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</row>
    <row r="521" spans="2:23" s="14" customFormat="1" ht="17.100000000000001" customHeight="1">
      <c r="B521" s="89"/>
      <c r="C521" s="90"/>
      <c r="D521" s="91"/>
      <c r="E521" s="92"/>
      <c r="F521" s="89"/>
      <c r="G521" s="89"/>
      <c r="H521" s="89"/>
      <c r="I521" s="89"/>
      <c r="J521" s="89"/>
      <c r="K521" s="89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</row>
    <row r="522" spans="2:23" s="14" customFormat="1" ht="17.100000000000001" customHeight="1">
      <c r="B522" s="89"/>
      <c r="C522" s="90"/>
      <c r="D522" s="91"/>
      <c r="E522" s="92"/>
      <c r="F522" s="89"/>
      <c r="G522" s="89"/>
      <c r="H522" s="89"/>
      <c r="I522" s="89"/>
      <c r="J522" s="89"/>
      <c r="K522" s="89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</row>
    <row r="523" spans="2:23" s="14" customFormat="1" ht="17.100000000000001" customHeight="1">
      <c r="B523" s="89"/>
      <c r="C523" s="90"/>
      <c r="D523" s="91"/>
      <c r="E523" s="92"/>
      <c r="F523" s="89"/>
      <c r="G523" s="89"/>
      <c r="H523" s="89"/>
      <c r="I523" s="89"/>
      <c r="J523" s="89"/>
      <c r="K523" s="89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</row>
    <row r="524" spans="2:23" s="14" customFormat="1" ht="17.100000000000001" customHeight="1">
      <c r="B524" s="89"/>
      <c r="C524" s="90"/>
      <c r="D524" s="91"/>
      <c r="E524" s="92"/>
      <c r="F524" s="89"/>
      <c r="G524" s="89"/>
      <c r="H524" s="89"/>
      <c r="I524" s="89"/>
      <c r="J524" s="89"/>
      <c r="K524" s="89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</row>
    <row r="525" spans="2:23" s="14" customFormat="1" ht="17.100000000000001" customHeight="1">
      <c r="B525" s="89"/>
      <c r="C525" s="90"/>
      <c r="D525" s="91"/>
      <c r="E525" s="92"/>
      <c r="F525" s="89"/>
      <c r="G525" s="89"/>
      <c r="H525" s="89"/>
      <c r="I525" s="89"/>
      <c r="J525" s="89"/>
      <c r="K525" s="89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</row>
    <row r="526" spans="2:23" s="14" customFormat="1" ht="17.100000000000001" customHeight="1">
      <c r="B526" s="89"/>
      <c r="C526" s="90"/>
      <c r="D526" s="91"/>
      <c r="E526" s="92"/>
      <c r="F526" s="89"/>
      <c r="G526" s="89"/>
      <c r="H526" s="89"/>
      <c r="I526" s="89"/>
      <c r="J526" s="89"/>
      <c r="K526" s="89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</row>
    <row r="527" spans="2:23" s="14" customFormat="1" ht="17.100000000000001" customHeight="1">
      <c r="B527" s="89"/>
      <c r="C527" s="90"/>
      <c r="D527" s="91"/>
      <c r="E527" s="92"/>
      <c r="F527" s="89"/>
      <c r="G527" s="89"/>
      <c r="H527" s="89"/>
      <c r="I527" s="89"/>
      <c r="J527" s="89"/>
      <c r="K527" s="89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</row>
    <row r="528" spans="2:23" s="14" customFormat="1" ht="17.100000000000001" customHeight="1">
      <c r="B528" s="89"/>
      <c r="C528" s="90"/>
      <c r="D528" s="91"/>
      <c r="E528" s="92"/>
      <c r="F528" s="89"/>
      <c r="G528" s="89"/>
      <c r="H528" s="89"/>
      <c r="I528" s="89"/>
      <c r="J528" s="89"/>
      <c r="K528" s="89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</row>
    <row r="529" spans="2:23" s="14" customFormat="1" ht="17.100000000000001" customHeight="1">
      <c r="B529" s="89"/>
      <c r="C529" s="90"/>
      <c r="D529" s="91"/>
      <c r="E529" s="92"/>
      <c r="F529" s="89"/>
      <c r="G529" s="89"/>
      <c r="H529" s="89"/>
      <c r="I529" s="89"/>
      <c r="J529" s="89"/>
      <c r="K529" s="89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</row>
    <row r="530" spans="2:23" s="14" customFormat="1" ht="17.100000000000001" customHeight="1">
      <c r="B530" s="89"/>
      <c r="C530" s="90"/>
      <c r="D530" s="91"/>
      <c r="E530" s="92"/>
      <c r="F530" s="89"/>
      <c r="G530" s="89"/>
      <c r="H530" s="89"/>
      <c r="I530" s="89"/>
      <c r="J530" s="89"/>
      <c r="K530" s="89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</row>
    <row r="531" spans="2:23" s="14" customFormat="1" ht="17.100000000000001" customHeight="1">
      <c r="B531" s="89"/>
      <c r="C531" s="90"/>
      <c r="D531" s="91"/>
      <c r="E531" s="92"/>
      <c r="F531" s="89"/>
      <c r="G531" s="89"/>
      <c r="H531" s="89"/>
      <c r="I531" s="89"/>
      <c r="J531" s="89"/>
      <c r="K531" s="89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</row>
    <row r="532" spans="2:23" s="14" customFormat="1" ht="17.100000000000001" customHeight="1">
      <c r="B532" s="89"/>
      <c r="C532" s="90"/>
      <c r="D532" s="91"/>
      <c r="E532" s="92"/>
      <c r="F532" s="89"/>
      <c r="G532" s="89"/>
      <c r="H532" s="89"/>
      <c r="I532" s="89"/>
      <c r="J532" s="89"/>
      <c r="K532" s="89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</row>
    <row r="533" spans="2:23" s="14" customFormat="1" ht="17.100000000000001" customHeight="1">
      <c r="B533" s="89"/>
      <c r="C533" s="90"/>
      <c r="D533" s="91"/>
      <c r="E533" s="92"/>
      <c r="F533" s="89"/>
      <c r="G533" s="89"/>
      <c r="H533" s="89"/>
      <c r="I533" s="89"/>
      <c r="J533" s="89"/>
      <c r="K533" s="89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</row>
    <row r="534" spans="2:23" s="14" customFormat="1" ht="17.100000000000001" customHeight="1">
      <c r="B534" s="89"/>
      <c r="C534" s="90"/>
      <c r="D534" s="91"/>
      <c r="E534" s="92"/>
      <c r="F534" s="89"/>
      <c r="G534" s="89"/>
      <c r="H534" s="89"/>
      <c r="I534" s="89"/>
      <c r="J534" s="89"/>
      <c r="K534" s="89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</row>
    <row r="535" spans="2:23" s="14" customFormat="1" ht="17.100000000000001" customHeight="1">
      <c r="B535" s="89"/>
      <c r="C535" s="90"/>
      <c r="D535" s="91"/>
      <c r="E535" s="92"/>
      <c r="F535" s="89"/>
      <c r="G535" s="89"/>
      <c r="H535" s="89"/>
      <c r="I535" s="89"/>
      <c r="J535" s="89"/>
      <c r="K535" s="89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</row>
    <row r="536" spans="2:23" s="14" customFormat="1" ht="17.100000000000001" customHeight="1">
      <c r="B536" s="89"/>
      <c r="C536" s="90"/>
      <c r="D536" s="91"/>
      <c r="E536" s="92"/>
      <c r="F536" s="89"/>
      <c r="G536" s="89"/>
      <c r="H536" s="89"/>
      <c r="I536" s="89"/>
      <c r="J536" s="89"/>
      <c r="K536" s="89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</row>
    <row r="537" spans="2:23" s="14" customFormat="1" ht="17.100000000000001" customHeight="1">
      <c r="B537" s="89"/>
      <c r="C537" s="90"/>
      <c r="D537" s="91"/>
      <c r="E537" s="92"/>
      <c r="F537" s="89"/>
      <c r="G537" s="89"/>
      <c r="H537" s="89"/>
      <c r="I537" s="89"/>
      <c r="J537" s="89"/>
      <c r="K537" s="89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</row>
    <row r="538" spans="2:23" s="14" customFormat="1" ht="17.100000000000001" customHeight="1">
      <c r="B538" s="89"/>
      <c r="C538" s="90"/>
      <c r="D538" s="91"/>
      <c r="E538" s="92"/>
      <c r="F538" s="89"/>
      <c r="G538" s="89"/>
      <c r="H538" s="89"/>
      <c r="I538" s="89"/>
      <c r="J538" s="89"/>
      <c r="K538" s="89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</row>
    <row r="539" spans="2:23" s="14" customFormat="1" ht="17.100000000000001" customHeight="1">
      <c r="B539" s="89"/>
      <c r="C539" s="90"/>
      <c r="D539" s="91"/>
      <c r="E539" s="92"/>
      <c r="F539" s="89"/>
      <c r="G539" s="89"/>
      <c r="H539" s="89"/>
      <c r="I539" s="89"/>
      <c r="J539" s="89"/>
      <c r="K539" s="89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</row>
    <row r="540" spans="2:23" s="14" customFormat="1" ht="17.100000000000001" customHeight="1">
      <c r="B540" s="89"/>
      <c r="C540" s="90"/>
      <c r="D540" s="91"/>
      <c r="E540" s="92"/>
      <c r="F540" s="89"/>
      <c r="G540" s="89"/>
      <c r="H540" s="89"/>
      <c r="I540" s="89"/>
      <c r="J540" s="89"/>
      <c r="K540" s="89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</row>
    <row r="541" spans="2:23" s="14" customFormat="1" ht="17.100000000000001" customHeight="1">
      <c r="B541" s="89"/>
      <c r="C541" s="90"/>
      <c r="D541" s="91"/>
      <c r="E541" s="92"/>
      <c r="F541" s="89"/>
      <c r="G541" s="89"/>
      <c r="H541" s="89"/>
      <c r="I541" s="89"/>
      <c r="J541" s="89"/>
      <c r="K541" s="89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</row>
    <row r="542" spans="2:23" s="14" customFormat="1" ht="17.100000000000001" customHeight="1">
      <c r="B542" s="89"/>
      <c r="C542" s="90"/>
      <c r="D542" s="91"/>
      <c r="E542" s="92"/>
      <c r="F542" s="89"/>
      <c r="G542" s="89"/>
      <c r="H542" s="89"/>
      <c r="I542" s="89"/>
      <c r="J542" s="89"/>
      <c r="K542" s="89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</row>
    <row r="543" spans="2:23" s="14" customFormat="1" ht="17.100000000000001" customHeight="1">
      <c r="B543" s="89"/>
      <c r="C543" s="90"/>
      <c r="D543" s="91"/>
      <c r="E543" s="92"/>
      <c r="F543" s="89"/>
      <c r="G543" s="89"/>
      <c r="H543" s="89"/>
      <c r="I543" s="89"/>
      <c r="J543" s="89"/>
      <c r="K543" s="89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</row>
    <row r="544" spans="2:23" s="14" customFormat="1" ht="17.100000000000001" customHeight="1">
      <c r="B544" s="89"/>
      <c r="C544" s="90"/>
      <c r="D544" s="91"/>
      <c r="E544" s="92"/>
      <c r="F544" s="89"/>
      <c r="G544" s="89"/>
      <c r="H544" s="89"/>
      <c r="I544" s="89"/>
      <c r="J544" s="89"/>
      <c r="K544" s="89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</row>
    <row r="545" spans="2:23" s="14" customFormat="1" ht="17.100000000000001" customHeight="1">
      <c r="B545" s="89"/>
      <c r="C545" s="90"/>
      <c r="D545" s="91"/>
      <c r="E545" s="92"/>
      <c r="F545" s="89"/>
      <c r="G545" s="89"/>
      <c r="H545" s="89"/>
      <c r="I545" s="89"/>
      <c r="J545" s="89"/>
      <c r="K545" s="89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</row>
    <row r="546" spans="2:23" s="14" customFormat="1" ht="17.100000000000001" customHeight="1">
      <c r="B546" s="89"/>
      <c r="C546" s="90"/>
      <c r="D546" s="91"/>
      <c r="E546" s="92"/>
      <c r="F546" s="89"/>
      <c r="G546" s="89"/>
      <c r="H546" s="89"/>
      <c r="I546" s="89"/>
      <c r="J546" s="89"/>
      <c r="K546" s="89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</row>
    <row r="547" spans="2:23" s="14" customFormat="1" ht="17.100000000000001" customHeight="1">
      <c r="B547" s="89"/>
      <c r="C547" s="90"/>
      <c r="D547" s="91"/>
      <c r="E547" s="92"/>
      <c r="F547" s="89"/>
      <c r="G547" s="89"/>
      <c r="H547" s="89"/>
      <c r="I547" s="89"/>
      <c r="J547" s="89"/>
      <c r="K547" s="89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</row>
    <row r="548" spans="2:23" s="14" customFormat="1" ht="17.100000000000001" customHeight="1">
      <c r="B548" s="89"/>
      <c r="C548" s="90"/>
      <c r="D548" s="91"/>
      <c r="E548" s="92"/>
      <c r="F548" s="89"/>
      <c r="G548" s="89"/>
      <c r="H548" s="89"/>
      <c r="I548" s="89"/>
      <c r="J548" s="89"/>
      <c r="K548" s="89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</row>
    <row r="549" spans="2:23" s="14" customFormat="1" ht="17.100000000000001" customHeight="1">
      <c r="B549" s="89"/>
      <c r="C549" s="90"/>
      <c r="D549" s="91"/>
      <c r="E549" s="92"/>
      <c r="F549" s="89"/>
      <c r="G549" s="89"/>
      <c r="H549" s="89"/>
      <c r="I549" s="89"/>
      <c r="J549" s="89"/>
      <c r="K549" s="89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</row>
    <row r="550" spans="2:23" s="14" customFormat="1" ht="17.100000000000001" customHeight="1">
      <c r="B550" s="89"/>
      <c r="C550" s="90"/>
      <c r="D550" s="91"/>
      <c r="E550" s="92"/>
      <c r="F550" s="89"/>
      <c r="G550" s="89"/>
      <c r="H550" s="89"/>
      <c r="I550" s="89"/>
      <c r="J550" s="89"/>
      <c r="K550" s="89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</row>
    <row r="551" spans="2:23" s="14" customFormat="1" ht="17.100000000000001" customHeight="1">
      <c r="B551" s="89"/>
      <c r="C551" s="90"/>
      <c r="D551" s="91"/>
      <c r="E551" s="92"/>
      <c r="F551" s="89"/>
      <c r="G551" s="89"/>
      <c r="H551" s="89"/>
      <c r="I551" s="89"/>
      <c r="J551" s="89"/>
      <c r="K551" s="89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</row>
    <row r="552" spans="2:23" s="14" customFormat="1" ht="17.100000000000001" customHeight="1">
      <c r="B552" s="89"/>
      <c r="C552" s="90"/>
      <c r="D552" s="91"/>
      <c r="E552" s="92"/>
      <c r="F552" s="89"/>
      <c r="G552" s="89"/>
      <c r="H552" s="89"/>
      <c r="I552" s="89"/>
      <c r="J552" s="89"/>
      <c r="K552" s="89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</row>
    <row r="553" spans="2:23" s="14" customFormat="1" ht="17.100000000000001" customHeight="1">
      <c r="B553" s="89"/>
      <c r="C553" s="90"/>
      <c r="D553" s="91"/>
      <c r="E553" s="92"/>
      <c r="F553" s="89"/>
      <c r="G553" s="89"/>
      <c r="H553" s="89"/>
      <c r="I553" s="89"/>
      <c r="J553" s="89"/>
      <c r="K553" s="89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</row>
    <row r="554" spans="2:23" s="14" customFormat="1" ht="17.100000000000001" customHeight="1">
      <c r="B554" s="89"/>
      <c r="C554" s="90"/>
      <c r="D554" s="91"/>
      <c r="E554" s="92"/>
      <c r="F554" s="89"/>
      <c r="G554" s="89"/>
      <c r="H554" s="89"/>
      <c r="I554" s="89"/>
      <c r="J554" s="89"/>
      <c r="K554" s="89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</row>
    <row r="555" spans="2:23" s="14" customFormat="1" ht="17.100000000000001" customHeight="1">
      <c r="B555" s="89"/>
      <c r="C555" s="90"/>
      <c r="D555" s="91"/>
      <c r="E555" s="92"/>
      <c r="F555" s="89"/>
      <c r="G555" s="89"/>
      <c r="H555" s="89"/>
      <c r="I555" s="89"/>
      <c r="J555" s="89"/>
      <c r="K555" s="89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</row>
    <row r="556" spans="2:23" s="14" customFormat="1" ht="17.100000000000001" customHeight="1">
      <c r="B556" s="89"/>
      <c r="C556" s="90"/>
      <c r="D556" s="91"/>
      <c r="E556" s="92"/>
      <c r="F556" s="89"/>
      <c r="G556" s="89"/>
      <c r="H556" s="89"/>
      <c r="I556" s="89"/>
      <c r="J556" s="89"/>
      <c r="K556" s="89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</row>
    <row r="557" spans="2:23" s="14" customFormat="1" ht="17.100000000000001" customHeight="1">
      <c r="B557" s="89"/>
      <c r="C557" s="90"/>
      <c r="D557" s="91"/>
      <c r="E557" s="92"/>
      <c r="F557" s="89"/>
      <c r="G557" s="89"/>
      <c r="H557" s="89"/>
      <c r="I557" s="89"/>
      <c r="J557" s="89"/>
      <c r="K557" s="89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</row>
    <row r="558" spans="2:23" s="14" customFormat="1" ht="17.100000000000001" customHeight="1">
      <c r="B558" s="89"/>
      <c r="C558" s="90"/>
      <c r="D558" s="91"/>
      <c r="E558" s="92"/>
      <c r="F558" s="89"/>
      <c r="G558" s="89"/>
      <c r="H558" s="89"/>
      <c r="I558" s="89"/>
      <c r="J558" s="89"/>
      <c r="K558" s="89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</row>
    <row r="559" spans="2:23" s="14" customFormat="1" ht="17.100000000000001" customHeight="1">
      <c r="B559" s="89"/>
      <c r="C559" s="90"/>
      <c r="D559" s="91"/>
      <c r="E559" s="92"/>
      <c r="F559" s="89"/>
      <c r="G559" s="89"/>
      <c r="H559" s="89"/>
      <c r="I559" s="89"/>
      <c r="J559" s="89"/>
      <c r="K559" s="89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</row>
    <row r="560" spans="2:23" s="14" customFormat="1" ht="17.100000000000001" customHeight="1">
      <c r="B560" s="89"/>
      <c r="C560" s="90"/>
      <c r="D560" s="91"/>
      <c r="E560" s="92"/>
      <c r="F560" s="89"/>
      <c r="G560" s="89"/>
      <c r="H560" s="89"/>
      <c r="I560" s="89"/>
      <c r="J560" s="89"/>
      <c r="K560" s="89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</row>
    <row r="561" spans="2:23" s="14" customFormat="1" ht="17.100000000000001" customHeight="1">
      <c r="B561" s="89"/>
      <c r="C561" s="90"/>
      <c r="D561" s="91"/>
      <c r="E561" s="92"/>
      <c r="F561" s="89"/>
      <c r="G561" s="89"/>
      <c r="H561" s="89"/>
      <c r="I561" s="89"/>
      <c r="J561" s="89"/>
      <c r="K561" s="89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</row>
    <row r="562" spans="2:23" s="14" customFormat="1" ht="17.100000000000001" customHeight="1">
      <c r="B562" s="89"/>
      <c r="C562" s="90"/>
      <c r="D562" s="91"/>
      <c r="E562" s="92"/>
      <c r="F562" s="89"/>
      <c r="G562" s="89"/>
      <c r="H562" s="89"/>
      <c r="I562" s="89"/>
      <c r="J562" s="89"/>
      <c r="K562" s="89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</row>
    <row r="563" spans="2:23" s="14" customFormat="1" ht="17.100000000000001" customHeight="1">
      <c r="B563" s="89"/>
      <c r="C563" s="90"/>
      <c r="D563" s="91"/>
      <c r="E563" s="92"/>
      <c r="F563" s="89"/>
      <c r="G563" s="89"/>
      <c r="H563" s="89"/>
      <c r="I563" s="89"/>
      <c r="J563" s="89"/>
      <c r="K563" s="89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</row>
    <row r="564" spans="2:23" s="14" customFormat="1" ht="17.100000000000001" customHeight="1">
      <c r="B564" s="89"/>
      <c r="C564" s="90"/>
      <c r="D564" s="91"/>
      <c r="E564" s="92"/>
      <c r="F564" s="89"/>
      <c r="G564" s="89"/>
      <c r="H564" s="89"/>
      <c r="I564" s="89"/>
      <c r="J564" s="89"/>
      <c r="K564" s="89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</row>
    <row r="565" spans="2:23" s="14" customFormat="1" ht="17.100000000000001" customHeight="1">
      <c r="B565" s="89"/>
      <c r="C565" s="90"/>
      <c r="D565" s="91"/>
      <c r="E565" s="92"/>
      <c r="F565" s="89"/>
      <c r="G565" s="89"/>
      <c r="H565" s="89"/>
      <c r="I565" s="89"/>
      <c r="J565" s="89"/>
      <c r="K565" s="89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</row>
    <row r="566" spans="2:23" s="14" customFormat="1" ht="17.100000000000001" customHeight="1">
      <c r="B566" s="89"/>
      <c r="C566" s="90"/>
      <c r="D566" s="91"/>
      <c r="E566" s="92"/>
      <c r="F566" s="89"/>
      <c r="G566" s="89"/>
      <c r="H566" s="89"/>
      <c r="I566" s="89"/>
      <c r="J566" s="89"/>
      <c r="K566" s="89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</row>
    <row r="567" spans="2:23" s="14" customFormat="1" ht="17.100000000000001" customHeight="1">
      <c r="B567" s="89"/>
      <c r="C567" s="90"/>
      <c r="D567" s="91"/>
      <c r="E567" s="92"/>
      <c r="F567" s="89"/>
      <c r="G567" s="89"/>
      <c r="H567" s="89"/>
      <c r="I567" s="89"/>
      <c r="J567" s="89"/>
      <c r="K567" s="89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</row>
    <row r="568" spans="2:23" s="14" customFormat="1" ht="17.100000000000001" customHeight="1">
      <c r="B568" s="89"/>
      <c r="C568" s="90"/>
      <c r="D568" s="91"/>
      <c r="E568" s="92"/>
      <c r="F568" s="89"/>
      <c r="G568" s="89"/>
      <c r="H568" s="89"/>
      <c r="I568" s="89"/>
      <c r="J568" s="89"/>
      <c r="K568" s="89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</row>
    <row r="569" spans="2:23" s="14" customFormat="1" ht="17.100000000000001" customHeight="1">
      <c r="B569" s="89"/>
      <c r="C569" s="90"/>
      <c r="D569" s="91"/>
      <c r="E569" s="92"/>
      <c r="F569" s="89"/>
      <c r="G569" s="89"/>
      <c r="H569" s="89"/>
      <c r="I569" s="89"/>
      <c r="J569" s="89"/>
      <c r="K569" s="89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</row>
    <row r="570" spans="2:23" s="14" customFormat="1" ht="17.100000000000001" customHeight="1">
      <c r="B570" s="89"/>
      <c r="C570" s="90"/>
      <c r="D570" s="91"/>
      <c r="E570" s="92"/>
      <c r="F570" s="89"/>
      <c r="G570" s="89"/>
      <c r="H570" s="89"/>
      <c r="I570" s="89"/>
      <c r="J570" s="89"/>
      <c r="K570" s="89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</row>
    <row r="571" spans="2:23" s="14" customFormat="1" ht="17.100000000000001" customHeight="1">
      <c r="B571" s="89"/>
      <c r="C571" s="90"/>
      <c r="D571" s="91"/>
      <c r="E571" s="92"/>
      <c r="F571" s="89"/>
      <c r="G571" s="89"/>
      <c r="H571" s="89"/>
      <c r="I571" s="89"/>
      <c r="J571" s="89"/>
      <c r="K571" s="89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</row>
    <row r="572" spans="2:23" s="14" customFormat="1" ht="17.100000000000001" customHeight="1">
      <c r="B572" s="89"/>
      <c r="C572" s="90"/>
      <c r="D572" s="91"/>
      <c r="E572" s="92"/>
      <c r="F572" s="89"/>
      <c r="G572" s="89"/>
      <c r="H572" s="89"/>
      <c r="I572" s="89"/>
      <c r="J572" s="89"/>
      <c r="K572" s="89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</row>
    <row r="573" spans="2:23" s="14" customFormat="1" ht="17.100000000000001" customHeight="1">
      <c r="B573" s="89"/>
      <c r="C573" s="90"/>
      <c r="D573" s="91"/>
      <c r="E573" s="92"/>
      <c r="F573" s="89"/>
      <c r="G573" s="89"/>
      <c r="H573" s="89"/>
      <c r="I573" s="89"/>
      <c r="J573" s="89"/>
      <c r="K573" s="89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</row>
    <row r="574" spans="2:23" s="14" customFormat="1" ht="17.100000000000001" customHeight="1">
      <c r="B574" s="89"/>
      <c r="C574" s="90"/>
      <c r="D574" s="91"/>
      <c r="E574" s="92"/>
      <c r="F574" s="89"/>
      <c r="G574" s="89"/>
      <c r="H574" s="89"/>
      <c r="I574" s="89"/>
      <c r="J574" s="89"/>
      <c r="K574" s="89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</row>
    <row r="575" spans="2:23" s="14" customFormat="1" ht="17.100000000000001" customHeight="1">
      <c r="B575" s="89"/>
      <c r="C575" s="90"/>
      <c r="D575" s="91"/>
      <c r="E575" s="92"/>
      <c r="F575" s="89"/>
      <c r="G575" s="89"/>
      <c r="H575" s="89"/>
      <c r="I575" s="89"/>
      <c r="J575" s="89"/>
      <c r="K575" s="89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</row>
    <row r="576" spans="2:23" s="14" customFormat="1" ht="17.100000000000001" customHeight="1">
      <c r="B576" s="89"/>
      <c r="C576" s="90"/>
      <c r="D576" s="91"/>
      <c r="E576" s="92"/>
      <c r="F576" s="89"/>
      <c r="G576" s="89"/>
      <c r="H576" s="89"/>
      <c r="I576" s="89"/>
      <c r="J576" s="89"/>
      <c r="K576" s="89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</row>
    <row r="577" spans="2:23" s="14" customFormat="1" ht="17.100000000000001" customHeight="1">
      <c r="B577" s="89"/>
      <c r="C577" s="90"/>
      <c r="D577" s="91"/>
      <c r="E577" s="92"/>
      <c r="F577" s="89"/>
      <c r="G577" s="89"/>
      <c r="H577" s="89"/>
      <c r="I577" s="89"/>
      <c r="J577" s="89"/>
      <c r="K577" s="89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</row>
    <row r="578" spans="2:23" s="14" customFormat="1" ht="17.100000000000001" customHeight="1">
      <c r="B578" s="89"/>
      <c r="C578" s="90"/>
      <c r="D578" s="91"/>
      <c r="E578" s="92"/>
      <c r="F578" s="89"/>
      <c r="G578" s="89"/>
      <c r="H578" s="89"/>
      <c r="I578" s="89"/>
      <c r="J578" s="89"/>
      <c r="K578" s="89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</row>
    <row r="579" spans="2:23" s="14" customFormat="1" ht="17.100000000000001" customHeight="1">
      <c r="B579" s="89"/>
      <c r="C579" s="90"/>
      <c r="D579" s="91"/>
      <c r="E579" s="92"/>
      <c r="F579" s="89"/>
      <c r="G579" s="89"/>
      <c r="H579" s="89"/>
      <c r="I579" s="89"/>
      <c r="J579" s="89"/>
      <c r="K579" s="89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</row>
    <row r="580" spans="2:23" s="14" customFormat="1" ht="17.100000000000001" customHeight="1">
      <c r="B580" s="89"/>
      <c r="C580" s="90"/>
      <c r="D580" s="91"/>
      <c r="E580" s="92"/>
      <c r="F580" s="89"/>
      <c r="G580" s="89"/>
      <c r="H580" s="89"/>
      <c r="I580" s="89"/>
      <c r="J580" s="89"/>
      <c r="K580" s="89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</row>
    <row r="581" spans="2:23" s="14" customFormat="1" ht="17.100000000000001" customHeight="1">
      <c r="B581" s="89"/>
      <c r="C581" s="90"/>
      <c r="D581" s="91"/>
      <c r="E581" s="92"/>
      <c r="F581" s="89"/>
      <c r="G581" s="89"/>
      <c r="H581" s="89"/>
      <c r="I581" s="89"/>
      <c r="J581" s="89"/>
      <c r="K581" s="89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</row>
    <row r="582" spans="2:23" s="14" customFormat="1" ht="17.100000000000001" customHeight="1">
      <c r="B582" s="89"/>
      <c r="C582" s="90"/>
      <c r="D582" s="91"/>
      <c r="E582" s="92"/>
      <c r="F582" s="89"/>
      <c r="G582" s="89"/>
      <c r="H582" s="89"/>
      <c r="I582" s="89"/>
      <c r="J582" s="89"/>
      <c r="K582" s="89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</row>
    <row r="583" spans="2:23" s="14" customFormat="1" ht="17.100000000000001" customHeight="1">
      <c r="B583" s="89"/>
      <c r="C583" s="90"/>
      <c r="D583" s="91"/>
      <c r="E583" s="92"/>
      <c r="F583" s="89"/>
      <c r="G583" s="89"/>
      <c r="H583" s="89"/>
      <c r="I583" s="89"/>
      <c r="J583" s="89"/>
      <c r="K583" s="89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</row>
    <row r="584" spans="2:23" s="14" customFormat="1" ht="17.100000000000001" customHeight="1">
      <c r="B584" s="89"/>
      <c r="C584" s="90"/>
      <c r="D584" s="91"/>
      <c r="E584" s="92"/>
      <c r="F584" s="89"/>
      <c r="G584" s="89"/>
      <c r="H584" s="89"/>
      <c r="I584" s="89"/>
      <c r="J584" s="89"/>
      <c r="K584" s="89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</row>
    <row r="585" spans="2:23" s="14" customFormat="1" ht="17.100000000000001" customHeight="1">
      <c r="B585" s="89"/>
      <c r="C585" s="90"/>
      <c r="D585" s="91"/>
      <c r="E585" s="92"/>
      <c r="F585" s="89"/>
      <c r="G585" s="89"/>
      <c r="H585" s="89"/>
      <c r="I585" s="89"/>
      <c r="J585" s="89"/>
      <c r="K585" s="89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</row>
    <row r="586" spans="2:23" s="14" customFormat="1" ht="17.100000000000001" customHeight="1">
      <c r="B586" s="89"/>
      <c r="C586" s="90"/>
      <c r="D586" s="91"/>
      <c r="E586" s="92"/>
      <c r="F586" s="89"/>
      <c r="G586" s="89"/>
      <c r="H586" s="89"/>
      <c r="I586" s="89"/>
      <c r="J586" s="89"/>
      <c r="K586" s="89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</row>
    <row r="587" spans="2:23" s="14" customFormat="1" ht="17.100000000000001" customHeight="1">
      <c r="B587" s="89"/>
      <c r="C587" s="90"/>
      <c r="D587" s="91"/>
      <c r="E587" s="92"/>
      <c r="F587" s="89"/>
      <c r="G587" s="89"/>
      <c r="H587" s="89"/>
      <c r="I587" s="89"/>
      <c r="J587" s="89"/>
      <c r="K587" s="89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</row>
    <row r="588" spans="2:23" s="14" customFormat="1" ht="17.100000000000001" customHeight="1">
      <c r="B588" s="89"/>
      <c r="C588" s="90"/>
      <c r="D588" s="91"/>
      <c r="E588" s="92"/>
      <c r="F588" s="89"/>
      <c r="G588" s="89"/>
      <c r="H588" s="89"/>
      <c r="I588" s="89"/>
      <c r="J588" s="89"/>
      <c r="K588" s="89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</row>
    <row r="589" spans="2:23" s="14" customFormat="1" ht="17.100000000000001" customHeight="1">
      <c r="B589" s="89"/>
      <c r="C589" s="90"/>
      <c r="D589" s="91"/>
      <c r="E589" s="92"/>
      <c r="F589" s="89"/>
      <c r="G589" s="89"/>
      <c r="H589" s="89"/>
      <c r="I589" s="89"/>
      <c r="J589" s="89"/>
      <c r="K589" s="89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</row>
    <row r="590" spans="2:23" s="14" customFormat="1" ht="17.100000000000001" customHeight="1">
      <c r="B590" s="89"/>
      <c r="C590" s="90"/>
      <c r="D590" s="91"/>
      <c r="E590" s="92"/>
      <c r="F590" s="89"/>
      <c r="G590" s="89"/>
      <c r="H590" s="89"/>
      <c r="I590" s="89"/>
      <c r="J590" s="89"/>
      <c r="K590" s="89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</row>
    <row r="591" spans="2:23" s="14" customFormat="1" ht="17.100000000000001" customHeight="1">
      <c r="B591" s="89"/>
      <c r="C591" s="90"/>
      <c r="D591" s="91"/>
      <c r="E591" s="92"/>
      <c r="F591" s="89"/>
      <c r="G591" s="89"/>
      <c r="H591" s="89"/>
      <c r="I591" s="89"/>
      <c r="J591" s="89"/>
      <c r="K591" s="89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</row>
    <row r="592" spans="2:23" s="14" customFormat="1" ht="17.100000000000001" customHeight="1">
      <c r="B592" s="89"/>
      <c r="C592" s="90"/>
      <c r="D592" s="91"/>
      <c r="E592" s="92"/>
      <c r="F592" s="89"/>
      <c r="G592" s="89"/>
      <c r="H592" s="89"/>
      <c r="I592" s="89"/>
      <c r="J592" s="89"/>
      <c r="K592" s="89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</row>
    <row r="593" spans="2:23" s="14" customFormat="1" ht="17.100000000000001" customHeight="1">
      <c r="B593" s="89"/>
      <c r="C593" s="90"/>
      <c r="D593" s="91"/>
      <c r="E593" s="92"/>
      <c r="F593" s="89"/>
      <c r="G593" s="89"/>
      <c r="H593" s="89"/>
      <c r="I593" s="89"/>
      <c r="J593" s="89"/>
      <c r="K593" s="89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</row>
    <row r="594" spans="2:23" s="14" customFormat="1" ht="17.100000000000001" customHeight="1">
      <c r="B594" s="89"/>
      <c r="C594" s="90"/>
      <c r="D594" s="91"/>
      <c r="E594" s="92"/>
      <c r="F594" s="89"/>
      <c r="G594" s="89"/>
      <c r="H594" s="89"/>
      <c r="I594" s="89"/>
      <c r="J594" s="89"/>
      <c r="K594" s="89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</row>
    <row r="595" spans="2:23" s="14" customFormat="1" ht="17.100000000000001" customHeight="1">
      <c r="B595" s="89"/>
      <c r="C595" s="90"/>
      <c r="D595" s="91"/>
      <c r="E595" s="92"/>
      <c r="F595" s="89"/>
      <c r="G595" s="89"/>
      <c r="H595" s="89"/>
      <c r="I595" s="89"/>
      <c r="J595" s="89"/>
      <c r="K595" s="89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</row>
    <row r="596" spans="2:23" s="14" customFormat="1" ht="17.100000000000001" customHeight="1">
      <c r="B596" s="89"/>
      <c r="C596" s="90"/>
      <c r="D596" s="91"/>
      <c r="E596" s="92"/>
      <c r="F596" s="89"/>
      <c r="G596" s="89"/>
      <c r="H596" s="89"/>
      <c r="I596" s="89"/>
      <c r="J596" s="89"/>
      <c r="K596" s="89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</row>
    <row r="597" spans="2:23" s="14" customFormat="1" ht="17.100000000000001" customHeight="1">
      <c r="B597" s="89"/>
      <c r="C597" s="90"/>
      <c r="D597" s="91"/>
      <c r="E597" s="92"/>
      <c r="F597" s="89"/>
      <c r="G597" s="89"/>
      <c r="H597" s="89"/>
      <c r="I597" s="89"/>
      <c r="J597" s="89"/>
      <c r="K597" s="89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</row>
    <row r="598" spans="2:23" s="14" customFormat="1" ht="17.100000000000001" customHeight="1">
      <c r="B598" s="89"/>
      <c r="C598" s="90"/>
      <c r="D598" s="91"/>
      <c r="E598" s="92"/>
      <c r="F598" s="89"/>
      <c r="G598" s="89"/>
      <c r="H598" s="89"/>
      <c r="I598" s="89"/>
      <c r="J598" s="89"/>
      <c r="K598" s="89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</row>
    <row r="599" spans="2:23" s="14" customFormat="1" ht="17.100000000000001" customHeight="1">
      <c r="B599" s="89"/>
      <c r="C599" s="90"/>
      <c r="D599" s="91"/>
      <c r="E599" s="92"/>
      <c r="F599" s="89"/>
      <c r="G599" s="89"/>
      <c r="H599" s="89"/>
      <c r="I599" s="89"/>
      <c r="J599" s="89"/>
      <c r="K599" s="89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</row>
    <row r="600" spans="2:23" s="14" customFormat="1" ht="17.100000000000001" customHeight="1">
      <c r="B600" s="89"/>
      <c r="C600" s="90"/>
      <c r="D600" s="91"/>
      <c r="E600" s="92"/>
      <c r="F600" s="89"/>
      <c r="G600" s="89"/>
      <c r="H600" s="89"/>
      <c r="I600" s="89"/>
      <c r="J600" s="89"/>
      <c r="K600" s="89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</row>
    <row r="601" spans="2:23" s="14" customFormat="1" ht="17.100000000000001" customHeight="1">
      <c r="B601" s="89"/>
      <c r="C601" s="90"/>
      <c r="D601" s="91"/>
      <c r="E601" s="92"/>
      <c r="F601" s="89"/>
      <c r="G601" s="89"/>
      <c r="H601" s="89"/>
      <c r="I601" s="89"/>
      <c r="J601" s="89"/>
      <c r="K601" s="89"/>
      <c r="L601" s="93"/>
      <c r="M601" s="93"/>
      <c r="N601" s="93"/>
      <c r="O601" s="93"/>
      <c r="P601" s="93"/>
      <c r="Q601" s="93"/>
      <c r="R601" s="93"/>
      <c r="S601" s="93"/>
      <c r="T601" s="93"/>
      <c r="U601" s="93"/>
      <c r="V601" s="93"/>
      <c r="W601" s="93"/>
    </row>
    <row r="602" spans="2:23" s="14" customFormat="1" ht="17.100000000000001" customHeight="1">
      <c r="B602" s="89"/>
      <c r="C602" s="90"/>
      <c r="D602" s="91"/>
      <c r="E602" s="92"/>
      <c r="F602" s="89"/>
      <c r="G602" s="89"/>
      <c r="H602" s="89"/>
      <c r="I602" s="89"/>
      <c r="J602" s="89"/>
      <c r="K602" s="89"/>
      <c r="L602" s="93"/>
      <c r="M602" s="93"/>
      <c r="N602" s="93"/>
      <c r="O602" s="93"/>
      <c r="P602" s="93"/>
      <c r="Q602" s="93"/>
      <c r="R602" s="93"/>
      <c r="S602" s="93"/>
      <c r="T602" s="93"/>
      <c r="U602" s="93"/>
      <c r="V602" s="93"/>
      <c r="W602" s="93"/>
    </row>
    <row r="603" spans="2:23" s="14" customFormat="1" ht="17.100000000000001" customHeight="1">
      <c r="B603" s="89"/>
      <c r="C603" s="90"/>
      <c r="D603" s="91"/>
      <c r="E603" s="92"/>
      <c r="F603" s="89"/>
      <c r="G603" s="89"/>
      <c r="H603" s="89"/>
      <c r="I603" s="89"/>
      <c r="J603" s="89"/>
      <c r="K603" s="89"/>
      <c r="L603" s="93"/>
      <c r="M603" s="93"/>
      <c r="N603" s="93"/>
      <c r="O603" s="93"/>
      <c r="P603" s="93"/>
      <c r="Q603" s="93"/>
      <c r="R603" s="93"/>
      <c r="S603" s="93"/>
      <c r="T603" s="93"/>
      <c r="U603" s="93"/>
      <c r="V603" s="93"/>
      <c r="W603" s="93"/>
    </row>
    <row r="604" spans="2:23" s="14" customFormat="1" ht="17.100000000000001" customHeight="1">
      <c r="B604" s="89"/>
      <c r="C604" s="90"/>
      <c r="D604" s="91"/>
      <c r="E604" s="92"/>
      <c r="F604" s="89"/>
      <c r="G604" s="89"/>
      <c r="H604" s="89"/>
      <c r="I604" s="89"/>
      <c r="J604" s="89"/>
      <c r="K604" s="89"/>
      <c r="L604" s="93"/>
      <c r="M604" s="93"/>
      <c r="N604" s="93"/>
      <c r="O604" s="93"/>
      <c r="P604" s="93"/>
      <c r="Q604" s="93"/>
      <c r="R604" s="93"/>
      <c r="S604" s="93"/>
      <c r="T604" s="93"/>
      <c r="U604" s="93"/>
      <c r="V604" s="93"/>
      <c r="W604" s="93"/>
    </row>
    <row r="605" spans="2:23" s="14" customFormat="1" ht="17.100000000000001" customHeight="1">
      <c r="B605" s="89"/>
      <c r="C605" s="90"/>
      <c r="D605" s="91"/>
      <c r="E605" s="92"/>
      <c r="F605" s="89"/>
      <c r="G605" s="89"/>
      <c r="H605" s="89"/>
      <c r="I605" s="89"/>
      <c r="J605" s="89"/>
      <c r="K605" s="89"/>
      <c r="L605" s="93"/>
      <c r="M605" s="93"/>
      <c r="N605" s="93"/>
      <c r="O605" s="93"/>
      <c r="P605" s="93"/>
      <c r="Q605" s="93"/>
      <c r="R605" s="93"/>
      <c r="S605" s="93"/>
      <c r="T605" s="93"/>
      <c r="U605" s="93"/>
      <c r="V605" s="93"/>
      <c r="W605" s="93"/>
    </row>
    <row r="606" spans="2:23" s="14" customFormat="1" ht="17.100000000000001" customHeight="1">
      <c r="B606" s="89"/>
      <c r="C606" s="90"/>
      <c r="D606" s="91"/>
      <c r="E606" s="92"/>
      <c r="F606" s="89"/>
      <c r="G606" s="89"/>
      <c r="H606" s="89"/>
      <c r="I606" s="89"/>
      <c r="J606" s="89"/>
      <c r="K606" s="89"/>
      <c r="L606" s="93"/>
      <c r="M606" s="93"/>
      <c r="N606" s="93"/>
      <c r="O606" s="93"/>
      <c r="P606" s="93"/>
      <c r="Q606" s="93"/>
      <c r="R606" s="93"/>
      <c r="S606" s="93"/>
      <c r="T606" s="93"/>
      <c r="U606" s="93"/>
      <c r="V606" s="93"/>
      <c r="W606" s="93"/>
    </row>
    <row r="607" spans="2:23" s="14" customFormat="1" ht="17.100000000000001" customHeight="1">
      <c r="B607" s="89"/>
      <c r="C607" s="90"/>
      <c r="D607" s="91"/>
      <c r="E607" s="92"/>
      <c r="F607" s="89"/>
      <c r="G607" s="89"/>
      <c r="H607" s="89"/>
      <c r="I607" s="89"/>
      <c r="J607" s="89"/>
      <c r="K607" s="89"/>
      <c r="L607" s="93"/>
      <c r="M607" s="93"/>
      <c r="N607" s="93"/>
      <c r="O607" s="93"/>
      <c r="P607" s="93"/>
      <c r="Q607" s="93"/>
      <c r="R607" s="93"/>
      <c r="S607" s="93"/>
      <c r="T607" s="93"/>
      <c r="U607" s="93"/>
      <c r="V607" s="93"/>
      <c r="W607" s="93"/>
    </row>
    <row r="608" spans="2:23" s="14" customFormat="1" ht="17.100000000000001" customHeight="1">
      <c r="B608" s="89"/>
      <c r="C608" s="90"/>
      <c r="D608" s="91"/>
      <c r="E608" s="92"/>
      <c r="F608" s="89"/>
      <c r="G608" s="89"/>
      <c r="H608" s="89"/>
      <c r="I608" s="89"/>
      <c r="J608" s="89"/>
      <c r="K608" s="89"/>
      <c r="L608" s="93"/>
      <c r="M608" s="93"/>
      <c r="N608" s="93"/>
      <c r="O608" s="93"/>
      <c r="P608" s="93"/>
      <c r="Q608" s="93"/>
      <c r="R608" s="93"/>
      <c r="S608" s="93"/>
      <c r="T608" s="93"/>
      <c r="U608" s="93"/>
      <c r="V608" s="93"/>
      <c r="W608" s="93"/>
    </row>
    <row r="609" spans="2:23" s="14" customFormat="1" ht="17.100000000000001" customHeight="1">
      <c r="B609" s="89"/>
      <c r="C609" s="90"/>
      <c r="D609" s="91"/>
      <c r="E609" s="92"/>
      <c r="F609" s="89"/>
      <c r="G609" s="89"/>
      <c r="H609" s="89"/>
      <c r="I609" s="89"/>
      <c r="J609" s="89"/>
      <c r="K609" s="89"/>
      <c r="L609" s="93"/>
      <c r="M609" s="93"/>
      <c r="N609" s="93"/>
      <c r="O609" s="93"/>
      <c r="P609" s="93"/>
      <c r="Q609" s="93"/>
      <c r="R609" s="93"/>
      <c r="S609" s="93"/>
      <c r="T609" s="93"/>
      <c r="U609" s="93"/>
      <c r="V609" s="93"/>
      <c r="W609" s="93"/>
    </row>
    <row r="610" spans="2:23" s="14" customFormat="1" ht="17.100000000000001" customHeight="1">
      <c r="B610" s="89"/>
      <c r="C610" s="90"/>
      <c r="D610" s="91"/>
      <c r="E610" s="92"/>
      <c r="F610" s="89"/>
      <c r="G610" s="89"/>
      <c r="H610" s="89"/>
      <c r="I610" s="89"/>
      <c r="J610" s="89"/>
      <c r="K610" s="89"/>
      <c r="L610" s="93"/>
      <c r="M610" s="93"/>
      <c r="N610" s="93"/>
      <c r="O610" s="93"/>
      <c r="P610" s="93"/>
      <c r="Q610" s="93"/>
      <c r="R610" s="93"/>
      <c r="S610" s="93"/>
      <c r="T610" s="93"/>
      <c r="U610" s="93"/>
      <c r="V610" s="93"/>
      <c r="W610" s="93"/>
    </row>
    <row r="611" spans="2:23" s="14" customFormat="1" ht="17.100000000000001" customHeight="1">
      <c r="B611" s="89"/>
      <c r="C611" s="90"/>
      <c r="D611" s="91"/>
      <c r="E611" s="92"/>
      <c r="F611" s="89"/>
      <c r="G611" s="89"/>
      <c r="H611" s="89"/>
      <c r="I611" s="89"/>
      <c r="J611" s="89"/>
      <c r="K611" s="89"/>
      <c r="L611" s="93"/>
      <c r="M611" s="93"/>
      <c r="N611" s="93"/>
      <c r="O611" s="93"/>
      <c r="P611" s="93"/>
      <c r="Q611" s="93"/>
      <c r="R611" s="93"/>
      <c r="S611" s="93"/>
      <c r="T611" s="93"/>
      <c r="U611" s="93"/>
      <c r="V611" s="93"/>
      <c r="W611" s="93"/>
    </row>
    <row r="612" spans="2:23" s="14" customFormat="1" ht="17.100000000000001" customHeight="1">
      <c r="B612" s="89"/>
      <c r="C612" s="90"/>
      <c r="D612" s="91"/>
      <c r="E612" s="92"/>
      <c r="F612" s="89"/>
      <c r="G612" s="89"/>
      <c r="H612" s="89"/>
      <c r="I612" s="89"/>
      <c r="J612" s="89"/>
      <c r="K612" s="89"/>
      <c r="L612" s="93"/>
      <c r="M612" s="93"/>
      <c r="N612" s="93"/>
      <c r="O612" s="93"/>
      <c r="P612" s="93"/>
      <c r="Q612" s="93"/>
      <c r="R612" s="93"/>
      <c r="S612" s="93"/>
      <c r="T612" s="93"/>
      <c r="U612" s="93"/>
      <c r="V612" s="93"/>
      <c r="W612" s="93"/>
    </row>
    <row r="613" spans="2:23" s="14" customFormat="1" ht="17.100000000000001" customHeight="1">
      <c r="B613" s="89"/>
      <c r="C613" s="90"/>
      <c r="D613" s="91"/>
      <c r="E613" s="92"/>
      <c r="F613" s="89"/>
      <c r="G613" s="89"/>
      <c r="H613" s="89"/>
      <c r="I613" s="89"/>
      <c r="J613" s="89"/>
      <c r="K613" s="89"/>
      <c r="L613" s="93"/>
      <c r="M613" s="93"/>
      <c r="N613" s="93"/>
      <c r="O613" s="93"/>
      <c r="P613" s="93"/>
      <c r="Q613" s="93"/>
      <c r="R613" s="93"/>
      <c r="S613" s="93"/>
      <c r="T613" s="93"/>
      <c r="U613" s="93"/>
      <c r="V613" s="93"/>
      <c r="W613" s="93"/>
    </row>
    <row r="614" spans="2:23" s="14" customFormat="1" ht="17.100000000000001" customHeight="1">
      <c r="B614" s="89"/>
      <c r="C614" s="90"/>
      <c r="D614" s="91"/>
      <c r="E614" s="92"/>
      <c r="F614" s="89"/>
      <c r="G614" s="89"/>
      <c r="H614" s="89"/>
      <c r="I614" s="89"/>
      <c r="J614" s="89"/>
      <c r="K614" s="89"/>
      <c r="L614" s="93"/>
      <c r="M614" s="93"/>
      <c r="N614" s="93"/>
      <c r="O614" s="93"/>
      <c r="P614" s="93"/>
      <c r="Q614" s="93"/>
      <c r="R614" s="93"/>
      <c r="S614" s="93"/>
      <c r="T614" s="93"/>
      <c r="U614" s="93"/>
      <c r="V614" s="93"/>
      <c r="W614" s="93"/>
    </row>
    <row r="615" spans="2:23" s="14" customFormat="1" ht="17.100000000000001" customHeight="1">
      <c r="B615" s="89"/>
      <c r="C615" s="90"/>
      <c r="D615" s="91"/>
      <c r="E615" s="92"/>
      <c r="F615" s="89"/>
      <c r="G615" s="89"/>
      <c r="H615" s="89"/>
      <c r="I615" s="89"/>
      <c r="J615" s="89"/>
      <c r="K615" s="89"/>
      <c r="L615" s="93"/>
      <c r="M615" s="93"/>
      <c r="N615" s="93"/>
      <c r="O615" s="93"/>
      <c r="P615" s="93"/>
      <c r="Q615" s="93"/>
      <c r="R615" s="93"/>
      <c r="S615" s="93"/>
      <c r="T615" s="93"/>
      <c r="U615" s="93"/>
      <c r="V615" s="93"/>
      <c r="W615" s="93"/>
    </row>
    <row r="616" spans="2:23" s="14" customFormat="1" ht="17.100000000000001" customHeight="1">
      <c r="B616" s="89"/>
      <c r="C616" s="90"/>
      <c r="D616" s="91"/>
      <c r="E616" s="92"/>
      <c r="F616" s="89"/>
      <c r="G616" s="89"/>
      <c r="H616" s="89"/>
      <c r="I616" s="89"/>
      <c r="J616" s="89"/>
      <c r="K616" s="89"/>
      <c r="L616" s="93"/>
      <c r="M616" s="93"/>
      <c r="N616" s="93"/>
      <c r="O616" s="93"/>
      <c r="P616" s="93"/>
      <c r="Q616" s="93"/>
      <c r="R616" s="93"/>
      <c r="S616" s="93"/>
      <c r="T616" s="93"/>
      <c r="U616" s="93"/>
      <c r="V616" s="93"/>
      <c r="W616" s="93"/>
    </row>
    <row r="617" spans="2:23" s="14" customFormat="1" ht="17.100000000000001" customHeight="1">
      <c r="B617" s="89"/>
      <c r="C617" s="90"/>
      <c r="D617" s="91"/>
      <c r="E617" s="92"/>
      <c r="F617" s="89"/>
      <c r="G617" s="89"/>
      <c r="H617" s="89"/>
      <c r="I617" s="89"/>
      <c r="J617" s="89"/>
      <c r="K617" s="89"/>
      <c r="L617" s="93"/>
      <c r="M617" s="93"/>
      <c r="N617" s="93"/>
      <c r="O617" s="93"/>
      <c r="P617" s="93"/>
      <c r="Q617" s="93"/>
      <c r="R617" s="93"/>
      <c r="S617" s="93"/>
      <c r="T617" s="93"/>
      <c r="U617" s="93"/>
      <c r="V617" s="93"/>
      <c r="W617" s="93"/>
    </row>
    <row r="618" spans="2:23" s="14" customFormat="1" ht="17.100000000000001" customHeight="1">
      <c r="B618" s="89"/>
      <c r="C618" s="90"/>
      <c r="D618" s="91"/>
      <c r="E618" s="92"/>
      <c r="F618" s="89"/>
      <c r="G618" s="89"/>
      <c r="H618" s="89"/>
      <c r="I618" s="89"/>
      <c r="J618" s="89"/>
      <c r="K618" s="89"/>
      <c r="L618" s="93"/>
      <c r="M618" s="93"/>
      <c r="N618" s="93"/>
      <c r="O618" s="93"/>
      <c r="P618" s="93"/>
      <c r="Q618" s="93"/>
      <c r="R618" s="93"/>
      <c r="S618" s="93"/>
      <c r="T618" s="93"/>
      <c r="U618" s="93"/>
      <c r="V618" s="93"/>
      <c r="W618" s="93"/>
    </row>
    <row r="619" spans="2:23" s="14" customFormat="1" ht="17.100000000000001" customHeight="1">
      <c r="B619" s="89"/>
      <c r="C619" s="90"/>
      <c r="D619" s="91"/>
      <c r="E619" s="92"/>
      <c r="F619" s="89"/>
      <c r="G619" s="89"/>
      <c r="H619" s="89"/>
      <c r="I619" s="89"/>
      <c r="J619" s="89"/>
      <c r="K619" s="89"/>
      <c r="L619" s="93"/>
      <c r="M619" s="93"/>
      <c r="N619" s="93"/>
      <c r="O619" s="93"/>
      <c r="P619" s="93"/>
      <c r="Q619" s="93"/>
      <c r="R619" s="93"/>
      <c r="S619" s="93"/>
      <c r="T619" s="93"/>
      <c r="U619" s="93"/>
      <c r="V619" s="93"/>
      <c r="W619" s="93"/>
    </row>
    <row r="620" spans="2:23" s="14" customFormat="1" ht="17.100000000000001" customHeight="1">
      <c r="B620" s="89"/>
      <c r="C620" s="90"/>
      <c r="D620" s="91"/>
      <c r="E620" s="92"/>
      <c r="F620" s="89"/>
      <c r="G620" s="89"/>
      <c r="H620" s="89"/>
      <c r="I620" s="89"/>
      <c r="J620" s="89"/>
      <c r="K620" s="89"/>
      <c r="L620" s="93"/>
      <c r="M620" s="93"/>
      <c r="N620" s="93"/>
      <c r="O620" s="93"/>
      <c r="P620" s="93"/>
      <c r="Q620" s="93"/>
      <c r="R620" s="93"/>
      <c r="S620" s="93"/>
      <c r="T620" s="93"/>
      <c r="U620" s="93"/>
      <c r="V620" s="93"/>
      <c r="W620" s="93"/>
    </row>
    <row r="621" spans="2:23" s="14" customFormat="1" ht="17.100000000000001" customHeight="1">
      <c r="B621" s="89"/>
      <c r="C621" s="90"/>
      <c r="D621" s="91"/>
      <c r="E621" s="92"/>
      <c r="F621" s="89"/>
      <c r="G621" s="89"/>
      <c r="H621" s="89"/>
      <c r="I621" s="89"/>
      <c r="J621" s="89"/>
      <c r="K621" s="89"/>
      <c r="L621" s="93"/>
      <c r="M621" s="93"/>
      <c r="N621" s="93"/>
      <c r="O621" s="93"/>
      <c r="P621" s="93"/>
      <c r="Q621" s="93"/>
      <c r="R621" s="93"/>
      <c r="S621" s="93"/>
      <c r="T621" s="93"/>
      <c r="U621" s="93"/>
      <c r="V621" s="93"/>
      <c r="W621" s="93"/>
    </row>
    <row r="622" spans="2:23" s="14" customFormat="1" ht="17.100000000000001" customHeight="1">
      <c r="B622" s="89"/>
      <c r="C622" s="90"/>
      <c r="D622" s="91"/>
      <c r="E622" s="92"/>
      <c r="F622" s="89"/>
      <c r="G622" s="89"/>
      <c r="H622" s="89"/>
      <c r="I622" s="89"/>
      <c r="J622" s="89"/>
      <c r="K622" s="89"/>
      <c r="L622" s="93"/>
      <c r="M622" s="93"/>
      <c r="N622" s="93"/>
      <c r="O622" s="93"/>
      <c r="P622" s="93"/>
      <c r="Q622" s="93"/>
      <c r="R622" s="93"/>
      <c r="S622" s="93"/>
      <c r="T622" s="93"/>
      <c r="U622" s="93"/>
      <c r="V622" s="93"/>
      <c r="W622" s="93"/>
    </row>
    <row r="623" spans="2:23" s="14" customFormat="1" ht="17.100000000000001" customHeight="1">
      <c r="B623" s="89"/>
      <c r="C623" s="90"/>
      <c r="D623" s="91"/>
      <c r="E623" s="92"/>
      <c r="F623" s="89"/>
      <c r="G623" s="89"/>
      <c r="H623" s="89"/>
      <c r="I623" s="89"/>
      <c r="J623" s="89"/>
      <c r="K623" s="89"/>
      <c r="L623" s="93"/>
      <c r="M623" s="93"/>
      <c r="N623" s="93"/>
      <c r="O623" s="93"/>
      <c r="P623" s="93"/>
      <c r="Q623" s="93"/>
      <c r="R623" s="93"/>
      <c r="S623" s="93"/>
      <c r="T623" s="93"/>
      <c r="U623" s="93"/>
      <c r="V623" s="93"/>
      <c r="W623" s="93"/>
    </row>
    <row r="624" spans="2:23" s="14" customFormat="1" ht="17.100000000000001" customHeight="1">
      <c r="B624" s="89"/>
      <c r="C624" s="90"/>
      <c r="D624" s="91"/>
      <c r="E624" s="92"/>
      <c r="F624" s="89"/>
      <c r="G624" s="89"/>
      <c r="H624" s="89"/>
      <c r="I624" s="89"/>
      <c r="J624" s="89"/>
      <c r="K624" s="89"/>
      <c r="L624" s="93"/>
      <c r="M624" s="93"/>
      <c r="N624" s="93"/>
      <c r="O624" s="93"/>
      <c r="P624" s="93"/>
      <c r="Q624" s="93"/>
      <c r="R624" s="93"/>
      <c r="S624" s="93"/>
      <c r="T624" s="93"/>
      <c r="U624" s="93"/>
      <c r="V624" s="93"/>
      <c r="W624" s="93"/>
    </row>
    <row r="625" spans="2:23" s="14" customFormat="1" ht="17.100000000000001" customHeight="1">
      <c r="B625" s="89"/>
      <c r="C625" s="90"/>
      <c r="D625" s="91"/>
      <c r="E625" s="92"/>
      <c r="F625" s="89"/>
      <c r="G625" s="89"/>
      <c r="H625" s="89"/>
      <c r="I625" s="89"/>
      <c r="J625" s="89"/>
      <c r="K625" s="89"/>
      <c r="L625" s="93"/>
      <c r="M625" s="93"/>
      <c r="N625" s="93"/>
      <c r="O625" s="93"/>
      <c r="P625" s="93"/>
      <c r="Q625" s="93"/>
      <c r="R625" s="93"/>
      <c r="S625" s="93"/>
      <c r="T625" s="93"/>
      <c r="U625" s="93"/>
      <c r="V625" s="93"/>
      <c r="W625" s="93"/>
    </row>
    <row r="626" spans="2:23" s="14" customFormat="1" ht="17.100000000000001" customHeight="1">
      <c r="B626" s="89"/>
      <c r="C626" s="90"/>
      <c r="D626" s="91"/>
      <c r="E626" s="92"/>
      <c r="F626" s="89"/>
      <c r="G626" s="89"/>
      <c r="H626" s="89"/>
      <c r="I626" s="89"/>
      <c r="J626" s="89"/>
      <c r="K626" s="89"/>
      <c r="L626" s="93"/>
      <c r="M626" s="93"/>
      <c r="N626" s="93"/>
      <c r="O626" s="93"/>
      <c r="P626" s="93"/>
      <c r="Q626" s="93"/>
      <c r="R626" s="93"/>
      <c r="S626" s="93"/>
      <c r="T626" s="93"/>
      <c r="U626" s="93"/>
      <c r="V626" s="93"/>
      <c r="W626" s="93"/>
    </row>
    <row r="627" spans="2:23" s="14" customFormat="1" ht="17.100000000000001" customHeight="1">
      <c r="B627" s="89"/>
      <c r="C627" s="90"/>
      <c r="D627" s="91"/>
      <c r="E627" s="92"/>
      <c r="F627" s="89"/>
      <c r="G627" s="89"/>
      <c r="H627" s="89"/>
      <c r="I627" s="89"/>
      <c r="J627" s="89"/>
      <c r="K627" s="89"/>
      <c r="L627" s="93"/>
      <c r="M627" s="93"/>
      <c r="N627" s="93"/>
      <c r="O627" s="93"/>
      <c r="P627" s="93"/>
      <c r="Q627" s="93"/>
      <c r="R627" s="93"/>
      <c r="S627" s="93"/>
      <c r="T627" s="93"/>
      <c r="U627" s="93"/>
      <c r="V627" s="93"/>
      <c r="W627" s="93"/>
    </row>
    <row r="628" spans="2:23" s="14" customFormat="1" ht="17.100000000000001" customHeight="1">
      <c r="B628" s="89"/>
      <c r="C628" s="90"/>
      <c r="D628" s="91"/>
      <c r="E628" s="92"/>
      <c r="F628" s="89"/>
      <c r="G628" s="89"/>
      <c r="H628" s="89"/>
      <c r="I628" s="89"/>
      <c r="J628" s="89"/>
      <c r="K628" s="89"/>
      <c r="L628" s="93"/>
      <c r="M628" s="93"/>
      <c r="N628" s="93"/>
      <c r="O628" s="93"/>
      <c r="P628" s="93"/>
      <c r="Q628" s="93"/>
      <c r="R628" s="93"/>
      <c r="S628" s="93"/>
      <c r="T628" s="93"/>
      <c r="U628" s="93"/>
      <c r="V628" s="93"/>
      <c r="W628" s="93"/>
    </row>
    <row r="629" spans="2:23" s="14" customFormat="1" ht="17.100000000000001" customHeight="1">
      <c r="B629" s="89"/>
      <c r="C629" s="90"/>
      <c r="D629" s="91"/>
      <c r="E629" s="92"/>
      <c r="F629" s="89"/>
      <c r="G629" s="89"/>
      <c r="H629" s="89"/>
      <c r="I629" s="89"/>
      <c r="J629" s="89"/>
      <c r="K629" s="89"/>
      <c r="L629" s="93"/>
      <c r="M629" s="93"/>
      <c r="N629" s="93"/>
      <c r="O629" s="93"/>
      <c r="P629" s="93"/>
      <c r="Q629" s="93"/>
      <c r="R629" s="93"/>
      <c r="S629" s="93"/>
      <c r="T629" s="93"/>
      <c r="U629" s="93"/>
      <c r="V629" s="93"/>
      <c r="W629" s="93"/>
    </row>
    <row r="630" spans="2:23" s="14" customFormat="1" ht="17.100000000000001" customHeight="1">
      <c r="B630" s="89"/>
      <c r="C630" s="90"/>
      <c r="D630" s="91"/>
      <c r="E630" s="92"/>
      <c r="F630" s="89"/>
      <c r="G630" s="89"/>
      <c r="H630" s="89"/>
      <c r="I630" s="89"/>
      <c r="J630" s="89"/>
      <c r="K630" s="89"/>
      <c r="L630" s="93"/>
      <c r="M630" s="93"/>
      <c r="N630" s="93"/>
      <c r="O630" s="93"/>
      <c r="P630" s="93"/>
      <c r="Q630" s="93"/>
      <c r="R630" s="93"/>
      <c r="S630" s="93"/>
      <c r="T630" s="93"/>
      <c r="U630" s="93"/>
      <c r="V630" s="93"/>
      <c r="W630" s="93"/>
    </row>
    <row r="631" spans="2:23" s="14" customFormat="1" ht="17.100000000000001" customHeight="1">
      <c r="B631" s="89"/>
      <c r="C631" s="90"/>
      <c r="D631" s="91"/>
      <c r="E631" s="92"/>
      <c r="F631" s="89"/>
      <c r="G631" s="89"/>
      <c r="H631" s="89"/>
      <c r="I631" s="89"/>
      <c r="J631" s="89"/>
      <c r="K631" s="89"/>
      <c r="L631" s="93"/>
      <c r="M631" s="93"/>
      <c r="N631" s="93"/>
      <c r="O631" s="93"/>
      <c r="P631" s="93"/>
      <c r="Q631" s="93"/>
      <c r="R631" s="93"/>
      <c r="S631" s="93"/>
      <c r="T631" s="93"/>
      <c r="U631" s="93"/>
      <c r="V631" s="93"/>
      <c r="W631" s="93"/>
    </row>
    <row r="632" spans="2:23" s="14" customFormat="1" ht="17.100000000000001" customHeight="1">
      <c r="B632" s="89"/>
      <c r="C632" s="90"/>
      <c r="D632" s="91"/>
      <c r="E632" s="92"/>
      <c r="F632" s="89"/>
      <c r="G632" s="89"/>
      <c r="H632" s="89"/>
      <c r="I632" s="89"/>
      <c r="J632" s="89"/>
      <c r="K632" s="89"/>
      <c r="L632" s="93"/>
      <c r="M632" s="93"/>
      <c r="N632" s="93"/>
      <c r="O632" s="93"/>
      <c r="P632" s="93"/>
      <c r="Q632" s="93"/>
      <c r="R632" s="93"/>
      <c r="S632" s="93"/>
      <c r="T632" s="93"/>
      <c r="U632" s="93"/>
      <c r="V632" s="93"/>
      <c r="W632" s="93"/>
    </row>
    <row r="633" spans="2:23" s="14" customFormat="1" ht="17.100000000000001" customHeight="1">
      <c r="B633" s="89"/>
      <c r="C633" s="90"/>
      <c r="D633" s="91"/>
      <c r="E633" s="92"/>
      <c r="F633" s="89"/>
      <c r="G633" s="89"/>
      <c r="H633" s="89"/>
      <c r="I633" s="89"/>
      <c r="J633" s="89"/>
      <c r="K633" s="89"/>
      <c r="L633" s="93"/>
      <c r="M633" s="93"/>
      <c r="N633" s="93"/>
      <c r="O633" s="93"/>
      <c r="P633" s="93"/>
      <c r="Q633" s="93"/>
      <c r="R633" s="93"/>
      <c r="S633" s="93"/>
      <c r="T633" s="93"/>
      <c r="U633" s="93"/>
      <c r="V633" s="93"/>
      <c r="W633" s="93"/>
    </row>
    <row r="634" spans="2:23" s="14" customFormat="1" ht="17.100000000000001" customHeight="1">
      <c r="B634" s="89"/>
      <c r="C634" s="90"/>
      <c r="D634" s="91"/>
      <c r="E634" s="92"/>
      <c r="F634" s="89"/>
      <c r="G634" s="89"/>
      <c r="H634" s="89"/>
      <c r="I634" s="89"/>
      <c r="J634" s="89"/>
      <c r="K634" s="89"/>
      <c r="L634" s="93"/>
      <c r="M634" s="93"/>
      <c r="N634" s="93"/>
      <c r="O634" s="93"/>
      <c r="P634" s="93"/>
      <c r="Q634" s="93"/>
      <c r="R634" s="93"/>
      <c r="S634" s="93"/>
      <c r="T634" s="93"/>
      <c r="U634" s="93"/>
      <c r="V634" s="93"/>
      <c r="W634" s="93"/>
    </row>
    <row r="635" spans="2:23" s="14" customFormat="1" ht="17.100000000000001" customHeight="1">
      <c r="B635" s="89"/>
      <c r="C635" s="90"/>
      <c r="D635" s="91"/>
      <c r="E635" s="92"/>
      <c r="F635" s="89"/>
      <c r="G635" s="89"/>
      <c r="H635" s="89"/>
      <c r="I635" s="89"/>
      <c r="J635" s="89"/>
      <c r="K635" s="89"/>
      <c r="L635" s="93"/>
      <c r="M635" s="93"/>
      <c r="N635" s="93"/>
      <c r="O635" s="93"/>
      <c r="P635" s="93"/>
      <c r="Q635" s="93"/>
      <c r="R635" s="93"/>
      <c r="S635" s="93"/>
      <c r="T635" s="93"/>
      <c r="U635" s="93"/>
      <c r="V635" s="93"/>
      <c r="W635" s="93"/>
    </row>
    <row r="636" spans="2:23" s="14" customFormat="1" ht="17.100000000000001" customHeight="1">
      <c r="B636" s="89"/>
      <c r="C636" s="90"/>
      <c r="D636" s="91"/>
      <c r="E636" s="92"/>
      <c r="F636" s="89"/>
      <c r="G636" s="89"/>
      <c r="H636" s="89"/>
      <c r="I636" s="89"/>
      <c r="J636" s="89"/>
      <c r="K636" s="89"/>
      <c r="L636" s="93"/>
      <c r="M636" s="93"/>
      <c r="N636" s="93"/>
      <c r="O636" s="93"/>
      <c r="P636" s="93"/>
      <c r="Q636" s="93"/>
      <c r="R636" s="93"/>
      <c r="S636" s="93"/>
      <c r="T636" s="93"/>
      <c r="U636" s="93"/>
      <c r="V636" s="93"/>
      <c r="W636" s="93"/>
    </row>
    <row r="637" spans="2:23" s="14" customFormat="1" ht="17.100000000000001" customHeight="1">
      <c r="B637" s="89"/>
      <c r="C637" s="90"/>
      <c r="D637" s="91"/>
      <c r="E637" s="92"/>
      <c r="F637" s="89"/>
      <c r="G637" s="89"/>
      <c r="H637" s="89"/>
      <c r="I637" s="89"/>
      <c r="J637" s="89"/>
      <c r="K637" s="89"/>
      <c r="L637" s="93"/>
      <c r="M637" s="93"/>
      <c r="N637" s="93"/>
      <c r="O637" s="93"/>
      <c r="P637" s="93"/>
      <c r="Q637" s="93"/>
      <c r="R637" s="93"/>
      <c r="S637" s="93"/>
      <c r="T637" s="93"/>
      <c r="U637" s="93"/>
      <c r="V637" s="93"/>
      <c r="W637" s="93"/>
    </row>
    <row r="638" spans="2:23" s="14" customFormat="1" ht="17.100000000000001" customHeight="1">
      <c r="B638" s="89"/>
      <c r="C638" s="90"/>
      <c r="D638" s="91"/>
      <c r="E638" s="92"/>
      <c r="F638" s="89"/>
      <c r="G638" s="89"/>
      <c r="H638" s="89"/>
      <c r="I638" s="89"/>
      <c r="J638" s="89"/>
      <c r="K638" s="89"/>
      <c r="L638" s="93"/>
      <c r="M638" s="93"/>
      <c r="N638" s="93"/>
      <c r="O638" s="93"/>
      <c r="P638" s="93"/>
      <c r="Q638" s="93"/>
      <c r="R638" s="93"/>
      <c r="S638" s="93"/>
      <c r="T638" s="93"/>
      <c r="U638" s="93"/>
      <c r="V638" s="93"/>
      <c r="W638" s="93"/>
    </row>
    <row r="639" spans="2:23" s="14" customFormat="1" ht="17.100000000000001" customHeight="1">
      <c r="B639" s="89"/>
      <c r="C639" s="90"/>
      <c r="D639" s="91"/>
      <c r="E639" s="92"/>
      <c r="F639" s="89"/>
      <c r="G639" s="89"/>
      <c r="H639" s="89"/>
      <c r="I639" s="89"/>
      <c r="J639" s="89"/>
      <c r="K639" s="89"/>
      <c r="L639" s="93"/>
      <c r="M639" s="93"/>
      <c r="N639" s="93"/>
      <c r="O639" s="93"/>
      <c r="P639" s="93"/>
      <c r="Q639" s="93"/>
      <c r="R639" s="93"/>
      <c r="S639" s="93"/>
      <c r="T639" s="93"/>
      <c r="U639" s="93"/>
      <c r="V639" s="93"/>
      <c r="W639" s="93"/>
    </row>
    <row r="640" spans="2:23" s="14" customFormat="1" ht="17.100000000000001" customHeight="1">
      <c r="B640" s="89"/>
      <c r="C640" s="90"/>
      <c r="D640" s="91"/>
      <c r="E640" s="92"/>
      <c r="F640" s="89"/>
      <c r="G640" s="89"/>
      <c r="H640" s="89"/>
      <c r="I640" s="89"/>
      <c r="J640" s="89"/>
      <c r="K640" s="89"/>
      <c r="L640" s="93"/>
      <c r="M640" s="93"/>
      <c r="N640" s="93"/>
      <c r="O640" s="93"/>
      <c r="P640" s="93"/>
      <c r="Q640" s="93"/>
      <c r="R640" s="93"/>
      <c r="S640" s="93"/>
      <c r="T640" s="93"/>
      <c r="U640" s="93"/>
      <c r="V640" s="93"/>
      <c r="W640" s="93"/>
    </row>
    <row r="641" spans="2:23" s="14" customFormat="1" ht="17.100000000000001" customHeight="1">
      <c r="B641" s="89"/>
      <c r="C641" s="90"/>
      <c r="D641" s="91"/>
      <c r="E641" s="92"/>
      <c r="F641" s="89"/>
      <c r="G641" s="89"/>
      <c r="H641" s="89"/>
      <c r="I641" s="89"/>
      <c r="J641" s="89"/>
      <c r="K641" s="89"/>
      <c r="L641" s="93"/>
      <c r="M641" s="93"/>
      <c r="N641" s="93"/>
      <c r="O641" s="93"/>
      <c r="P641" s="93"/>
      <c r="Q641" s="93"/>
      <c r="R641" s="93"/>
      <c r="S641" s="93"/>
      <c r="T641" s="93"/>
      <c r="U641" s="93"/>
      <c r="V641" s="93"/>
      <c r="W641" s="93"/>
    </row>
    <row r="642" spans="2:23" s="14" customFormat="1" ht="17.100000000000001" customHeight="1">
      <c r="B642" s="89"/>
      <c r="C642" s="90"/>
      <c r="D642" s="91"/>
      <c r="E642" s="92"/>
      <c r="F642" s="89"/>
      <c r="G642" s="89"/>
      <c r="H642" s="89"/>
      <c r="I642" s="89"/>
      <c r="J642" s="89"/>
      <c r="K642" s="89"/>
      <c r="L642" s="93"/>
      <c r="M642" s="93"/>
      <c r="N642" s="93"/>
      <c r="O642" s="93"/>
      <c r="P642" s="93"/>
      <c r="Q642" s="93"/>
      <c r="R642" s="93"/>
      <c r="S642" s="93"/>
      <c r="T642" s="93"/>
      <c r="U642" s="93"/>
      <c r="V642" s="93"/>
      <c r="W642" s="93"/>
    </row>
    <row r="643" spans="2:23" s="14" customFormat="1" ht="17.100000000000001" customHeight="1">
      <c r="B643" s="89"/>
      <c r="C643" s="90"/>
      <c r="D643" s="91"/>
      <c r="E643" s="92"/>
      <c r="F643" s="89"/>
      <c r="G643" s="89"/>
      <c r="H643" s="89"/>
      <c r="I643" s="89"/>
      <c r="J643" s="89"/>
      <c r="K643" s="89"/>
      <c r="L643" s="93"/>
      <c r="M643" s="93"/>
      <c r="N643" s="93"/>
      <c r="O643" s="93"/>
      <c r="P643" s="93"/>
      <c r="Q643" s="93"/>
      <c r="R643" s="93"/>
      <c r="S643" s="93"/>
      <c r="T643" s="93"/>
      <c r="U643" s="93"/>
      <c r="V643" s="93"/>
      <c r="W643" s="93"/>
    </row>
    <row r="644" spans="2:23" s="14" customFormat="1" ht="17.100000000000001" customHeight="1">
      <c r="B644" s="89"/>
      <c r="C644" s="90"/>
      <c r="D644" s="91"/>
      <c r="E644" s="92"/>
      <c r="F644" s="89"/>
      <c r="G644" s="89"/>
      <c r="H644" s="89"/>
      <c r="I644" s="89"/>
      <c r="J644" s="89"/>
      <c r="K644" s="89"/>
      <c r="L644" s="93"/>
      <c r="M644" s="93"/>
      <c r="N644" s="93"/>
      <c r="O644" s="93"/>
      <c r="P644" s="93"/>
      <c r="Q644" s="93"/>
      <c r="R644" s="93"/>
      <c r="S644" s="93"/>
      <c r="T644" s="93"/>
      <c r="U644" s="93"/>
      <c r="V644" s="93"/>
      <c r="W644" s="93"/>
    </row>
    <row r="645" spans="2:23" s="14" customFormat="1" ht="17.100000000000001" customHeight="1">
      <c r="B645" s="89"/>
      <c r="C645" s="90"/>
      <c r="D645" s="91"/>
      <c r="E645" s="92"/>
      <c r="F645" s="89"/>
      <c r="G645" s="89"/>
      <c r="H645" s="89"/>
      <c r="I645" s="89"/>
      <c r="J645" s="89"/>
      <c r="K645" s="89"/>
      <c r="L645" s="93"/>
      <c r="M645" s="93"/>
      <c r="N645" s="93"/>
      <c r="O645" s="93"/>
      <c r="P645" s="93"/>
      <c r="Q645" s="93"/>
      <c r="R645" s="93"/>
      <c r="S645" s="93"/>
      <c r="T645" s="93"/>
      <c r="U645" s="93"/>
      <c r="V645" s="93"/>
      <c r="W645" s="93"/>
    </row>
    <row r="646" spans="2:23" s="14" customFormat="1" ht="17.100000000000001" customHeight="1">
      <c r="B646" s="89"/>
      <c r="C646" s="90"/>
      <c r="D646" s="91"/>
      <c r="E646" s="92"/>
      <c r="F646" s="89"/>
      <c r="G646" s="89"/>
      <c r="H646" s="89"/>
      <c r="I646" s="89"/>
      <c r="J646" s="89"/>
      <c r="K646" s="89"/>
      <c r="L646" s="93"/>
      <c r="M646" s="93"/>
      <c r="N646" s="93"/>
      <c r="O646" s="93"/>
      <c r="P646" s="93"/>
      <c r="Q646" s="93"/>
      <c r="R646" s="93"/>
      <c r="S646" s="93"/>
      <c r="T646" s="93"/>
      <c r="U646" s="93"/>
      <c r="V646" s="93"/>
      <c r="W646" s="93"/>
    </row>
    <row r="647" spans="2:23" s="14" customFormat="1" ht="17.100000000000001" customHeight="1">
      <c r="B647" s="89"/>
      <c r="C647" s="90"/>
      <c r="D647" s="91"/>
      <c r="E647" s="92"/>
      <c r="F647" s="89"/>
      <c r="G647" s="89"/>
      <c r="H647" s="89"/>
      <c r="I647" s="89"/>
      <c r="J647" s="89"/>
      <c r="K647" s="89"/>
      <c r="L647" s="93"/>
      <c r="M647" s="93"/>
      <c r="N647" s="93"/>
      <c r="O647" s="93"/>
      <c r="P647" s="93"/>
      <c r="Q647" s="93"/>
      <c r="R647" s="93"/>
      <c r="S647" s="93"/>
      <c r="T647" s="93"/>
      <c r="U647" s="93"/>
      <c r="V647" s="93"/>
      <c r="W647" s="93"/>
    </row>
    <row r="648" spans="2:23" s="14" customFormat="1" ht="17.100000000000001" customHeight="1">
      <c r="B648" s="89"/>
      <c r="C648" s="90"/>
      <c r="D648" s="91"/>
      <c r="E648" s="92"/>
      <c r="F648" s="89"/>
      <c r="G648" s="89"/>
      <c r="H648" s="89"/>
      <c r="I648" s="89"/>
      <c r="J648" s="89"/>
      <c r="K648" s="89"/>
      <c r="L648" s="93"/>
      <c r="M648" s="93"/>
      <c r="N648" s="93"/>
      <c r="O648" s="93"/>
      <c r="P648" s="93"/>
      <c r="Q648" s="93"/>
      <c r="R648" s="93"/>
      <c r="S648" s="93"/>
      <c r="T648" s="93"/>
      <c r="U648" s="93"/>
      <c r="V648" s="93"/>
      <c r="W648" s="93"/>
    </row>
    <row r="649" spans="2:23" s="14" customFormat="1" ht="17.100000000000001" customHeight="1">
      <c r="B649" s="89"/>
      <c r="C649" s="90"/>
      <c r="D649" s="91"/>
      <c r="E649" s="92"/>
      <c r="F649" s="89"/>
      <c r="G649" s="89"/>
      <c r="H649" s="89"/>
      <c r="I649" s="89"/>
      <c r="J649" s="89"/>
      <c r="K649" s="89"/>
      <c r="L649" s="93"/>
      <c r="M649" s="93"/>
      <c r="N649" s="93"/>
      <c r="O649" s="93"/>
      <c r="P649" s="93"/>
      <c r="Q649" s="93"/>
      <c r="R649" s="93"/>
      <c r="S649" s="93"/>
      <c r="T649" s="93"/>
      <c r="U649" s="93"/>
      <c r="V649" s="93"/>
      <c r="W649" s="93"/>
    </row>
    <row r="650" spans="2:23" s="14" customFormat="1" ht="17.100000000000001" customHeight="1">
      <c r="B650" s="89"/>
      <c r="C650" s="90"/>
      <c r="D650" s="91"/>
      <c r="E650" s="92"/>
      <c r="F650" s="89"/>
      <c r="G650" s="89"/>
      <c r="H650" s="89"/>
      <c r="I650" s="89"/>
      <c r="J650" s="89"/>
      <c r="K650" s="89"/>
      <c r="L650" s="93"/>
      <c r="M650" s="93"/>
      <c r="N650" s="93"/>
      <c r="O650" s="93"/>
      <c r="P650" s="93"/>
      <c r="Q650" s="93"/>
      <c r="R650" s="93"/>
      <c r="S650" s="93"/>
      <c r="T650" s="93"/>
      <c r="U650" s="93"/>
      <c r="V650" s="93"/>
      <c r="W650" s="93"/>
    </row>
    <row r="651" spans="2:23" s="14" customFormat="1" ht="17.100000000000001" customHeight="1">
      <c r="B651" s="89"/>
      <c r="C651" s="90"/>
      <c r="D651" s="91"/>
      <c r="E651" s="92"/>
      <c r="F651" s="89"/>
      <c r="G651" s="89"/>
      <c r="H651" s="89"/>
      <c r="I651" s="89"/>
      <c r="J651" s="89"/>
      <c r="K651" s="89"/>
      <c r="L651" s="93"/>
      <c r="M651" s="93"/>
      <c r="N651" s="93"/>
      <c r="O651" s="93"/>
      <c r="P651" s="93"/>
      <c r="Q651" s="93"/>
      <c r="R651" s="93"/>
      <c r="S651" s="93"/>
      <c r="T651" s="93"/>
      <c r="U651" s="93"/>
      <c r="V651" s="93"/>
      <c r="W651" s="93"/>
    </row>
    <row r="652" spans="2:23" s="14" customFormat="1" ht="17.100000000000001" customHeight="1">
      <c r="B652" s="89"/>
      <c r="C652" s="90"/>
      <c r="D652" s="91"/>
      <c r="E652" s="92"/>
      <c r="F652" s="89"/>
      <c r="G652" s="89"/>
      <c r="H652" s="89"/>
      <c r="I652" s="89"/>
      <c r="J652" s="89"/>
      <c r="K652" s="89"/>
      <c r="L652" s="93"/>
      <c r="M652" s="93"/>
      <c r="N652" s="93"/>
      <c r="O652" s="93"/>
      <c r="P652" s="93"/>
      <c r="Q652" s="93"/>
      <c r="R652" s="93"/>
      <c r="S652" s="93"/>
      <c r="T652" s="93"/>
      <c r="U652" s="93"/>
      <c r="V652" s="93"/>
      <c r="W652" s="93"/>
    </row>
    <row r="653" spans="2:23" s="14" customFormat="1" ht="17.100000000000001" customHeight="1">
      <c r="B653" s="89"/>
      <c r="C653" s="90"/>
      <c r="D653" s="91"/>
      <c r="E653" s="92"/>
      <c r="F653" s="89"/>
      <c r="G653" s="89"/>
      <c r="H653" s="89"/>
      <c r="I653" s="89"/>
      <c r="J653" s="89"/>
      <c r="K653" s="89"/>
      <c r="L653" s="93"/>
      <c r="M653" s="93"/>
      <c r="N653" s="93"/>
      <c r="O653" s="93"/>
      <c r="P653" s="93"/>
      <c r="Q653" s="93"/>
      <c r="R653" s="93"/>
      <c r="S653" s="93"/>
      <c r="T653" s="93"/>
      <c r="U653" s="93"/>
      <c r="V653" s="93"/>
      <c r="W653" s="93"/>
    </row>
    <row r="654" spans="2:23" s="14" customFormat="1" ht="17.100000000000001" customHeight="1">
      <c r="B654" s="89"/>
      <c r="C654" s="90"/>
      <c r="D654" s="91"/>
      <c r="E654" s="92"/>
      <c r="F654" s="89"/>
      <c r="G654" s="89"/>
      <c r="H654" s="89"/>
      <c r="I654" s="89"/>
      <c r="J654" s="89"/>
      <c r="K654" s="89"/>
      <c r="L654" s="93"/>
      <c r="M654" s="93"/>
      <c r="N654" s="93"/>
      <c r="O654" s="93"/>
      <c r="P654" s="93"/>
      <c r="Q654" s="93"/>
      <c r="R654" s="93"/>
      <c r="S654" s="93"/>
      <c r="T654" s="93"/>
      <c r="U654" s="93"/>
      <c r="V654" s="93"/>
      <c r="W654" s="93"/>
    </row>
    <row r="655" spans="2:23" s="14" customFormat="1" ht="17.100000000000001" customHeight="1">
      <c r="B655" s="89"/>
      <c r="C655" s="90"/>
      <c r="D655" s="91"/>
      <c r="E655" s="92"/>
      <c r="F655" s="89"/>
      <c r="G655" s="89"/>
      <c r="H655" s="89"/>
      <c r="I655" s="89"/>
      <c r="J655" s="89"/>
      <c r="K655" s="89"/>
      <c r="L655" s="93"/>
      <c r="M655" s="93"/>
      <c r="N655" s="93"/>
      <c r="O655" s="93"/>
      <c r="P655" s="93"/>
      <c r="Q655" s="93"/>
      <c r="R655" s="93"/>
      <c r="S655" s="93"/>
      <c r="T655" s="93"/>
      <c r="U655" s="93"/>
      <c r="V655" s="93"/>
      <c r="W655" s="93"/>
    </row>
    <row r="656" spans="2:23" s="14" customFormat="1" ht="17.100000000000001" customHeight="1">
      <c r="B656" s="89"/>
      <c r="C656" s="90"/>
      <c r="D656" s="91"/>
      <c r="E656" s="92"/>
      <c r="F656" s="89"/>
      <c r="G656" s="89"/>
      <c r="H656" s="89"/>
      <c r="I656" s="89"/>
      <c r="J656" s="89"/>
      <c r="K656" s="89"/>
      <c r="L656" s="93"/>
      <c r="M656" s="93"/>
      <c r="N656" s="93"/>
      <c r="O656" s="93"/>
      <c r="P656" s="93"/>
      <c r="Q656" s="93"/>
      <c r="R656" s="93"/>
      <c r="S656" s="93"/>
      <c r="T656" s="93"/>
      <c r="U656" s="93"/>
      <c r="V656" s="93"/>
      <c r="W656" s="93"/>
    </row>
    <row r="657" spans="2:23" s="14" customFormat="1" ht="17.100000000000001" customHeight="1">
      <c r="B657" s="89"/>
      <c r="C657" s="90"/>
      <c r="D657" s="91"/>
      <c r="E657" s="92"/>
      <c r="F657" s="89"/>
      <c r="G657" s="89"/>
      <c r="H657" s="89"/>
      <c r="I657" s="89"/>
      <c r="J657" s="89"/>
      <c r="K657" s="89"/>
      <c r="L657" s="93"/>
      <c r="M657" s="93"/>
      <c r="N657" s="93"/>
      <c r="O657" s="93"/>
      <c r="P657" s="93"/>
      <c r="Q657" s="93"/>
      <c r="R657" s="93"/>
      <c r="S657" s="93"/>
      <c r="T657" s="93"/>
      <c r="U657" s="93"/>
      <c r="V657" s="93"/>
      <c r="W657" s="93"/>
    </row>
    <row r="658" spans="2:23" s="14" customFormat="1" ht="17.100000000000001" customHeight="1">
      <c r="B658" s="89"/>
      <c r="C658" s="90"/>
      <c r="D658" s="91"/>
      <c r="E658" s="92"/>
      <c r="F658" s="89"/>
      <c r="G658" s="89"/>
      <c r="H658" s="89"/>
      <c r="I658" s="89"/>
      <c r="J658" s="89"/>
      <c r="K658" s="89"/>
      <c r="L658" s="93"/>
      <c r="M658" s="93"/>
      <c r="N658" s="93"/>
      <c r="O658" s="93"/>
      <c r="P658" s="93"/>
      <c r="Q658" s="93"/>
      <c r="R658" s="93"/>
      <c r="S658" s="93"/>
      <c r="T658" s="93"/>
      <c r="U658" s="93"/>
      <c r="V658" s="93"/>
      <c r="W658" s="93"/>
    </row>
    <row r="659" spans="2:23" s="14" customFormat="1" ht="17.100000000000001" customHeight="1">
      <c r="B659" s="89"/>
      <c r="C659" s="90"/>
      <c r="D659" s="91"/>
      <c r="E659" s="92"/>
      <c r="F659" s="89"/>
      <c r="G659" s="89"/>
      <c r="H659" s="89"/>
      <c r="I659" s="89"/>
      <c r="J659" s="89"/>
      <c r="K659" s="89"/>
      <c r="L659" s="93"/>
      <c r="M659" s="93"/>
      <c r="N659" s="93"/>
      <c r="O659" s="93"/>
      <c r="P659" s="93"/>
      <c r="Q659" s="93"/>
      <c r="R659" s="93"/>
      <c r="S659" s="93"/>
      <c r="T659" s="93"/>
      <c r="U659" s="93"/>
      <c r="V659" s="93"/>
      <c r="W659" s="93"/>
    </row>
    <row r="660" spans="2:23" s="14" customFormat="1" ht="17.100000000000001" customHeight="1">
      <c r="B660" s="89"/>
      <c r="C660" s="90"/>
      <c r="D660" s="91"/>
      <c r="E660" s="92"/>
      <c r="F660" s="89"/>
      <c r="G660" s="89"/>
      <c r="H660" s="89"/>
      <c r="I660" s="89"/>
      <c r="J660" s="89"/>
      <c r="K660" s="89"/>
      <c r="L660" s="93"/>
      <c r="M660" s="93"/>
      <c r="N660" s="93"/>
      <c r="O660" s="93"/>
      <c r="P660" s="93"/>
      <c r="Q660" s="93"/>
      <c r="R660" s="93"/>
      <c r="S660" s="93"/>
      <c r="T660" s="93"/>
      <c r="U660" s="93"/>
      <c r="V660" s="93"/>
      <c r="W660" s="93"/>
    </row>
    <row r="661" spans="2:23" s="14" customFormat="1" ht="17.100000000000001" customHeight="1">
      <c r="B661" s="89"/>
      <c r="C661" s="90"/>
      <c r="D661" s="91"/>
      <c r="E661" s="92"/>
      <c r="F661" s="89"/>
      <c r="G661" s="89"/>
      <c r="H661" s="89"/>
      <c r="I661" s="89"/>
      <c r="J661" s="89"/>
      <c r="K661" s="89"/>
      <c r="L661" s="93"/>
      <c r="M661" s="93"/>
      <c r="N661" s="93"/>
      <c r="O661" s="93"/>
      <c r="P661" s="93"/>
      <c r="Q661" s="93"/>
      <c r="R661" s="93"/>
      <c r="S661" s="93"/>
      <c r="T661" s="93"/>
      <c r="U661" s="93"/>
      <c r="V661" s="93"/>
      <c r="W661" s="93"/>
    </row>
    <row r="662" spans="2:23" s="14" customFormat="1" ht="17.100000000000001" customHeight="1">
      <c r="B662" s="89"/>
      <c r="C662" s="90"/>
      <c r="D662" s="91"/>
      <c r="E662" s="92"/>
      <c r="F662" s="89"/>
      <c r="G662" s="89"/>
      <c r="H662" s="89"/>
      <c r="I662" s="89"/>
      <c r="J662" s="89"/>
      <c r="K662" s="89"/>
      <c r="L662" s="93"/>
      <c r="M662" s="93"/>
      <c r="N662" s="93"/>
      <c r="O662" s="93"/>
      <c r="P662" s="93"/>
      <c r="Q662" s="93"/>
      <c r="R662" s="93"/>
      <c r="S662" s="93"/>
      <c r="T662" s="93"/>
      <c r="U662" s="93"/>
      <c r="V662" s="93"/>
      <c r="W662" s="93"/>
    </row>
    <row r="663" spans="2:23" s="14" customFormat="1" ht="17.100000000000001" customHeight="1">
      <c r="B663" s="89"/>
      <c r="C663" s="90"/>
      <c r="D663" s="91"/>
      <c r="E663" s="92"/>
      <c r="F663" s="89"/>
      <c r="G663" s="89"/>
      <c r="H663" s="89"/>
      <c r="I663" s="89"/>
      <c r="J663" s="89"/>
      <c r="K663" s="89"/>
      <c r="L663" s="93"/>
      <c r="M663" s="93"/>
      <c r="N663" s="93"/>
      <c r="O663" s="93"/>
      <c r="P663" s="93"/>
      <c r="Q663" s="93"/>
      <c r="R663" s="93"/>
      <c r="S663" s="93"/>
      <c r="T663" s="93"/>
      <c r="U663" s="93"/>
      <c r="V663" s="93"/>
      <c r="W663" s="93"/>
    </row>
    <row r="664" spans="2:23" s="14" customFormat="1" ht="17.100000000000001" customHeight="1">
      <c r="B664" s="89"/>
      <c r="C664" s="90"/>
      <c r="D664" s="91"/>
      <c r="E664" s="92"/>
      <c r="F664" s="89"/>
      <c r="G664" s="89"/>
      <c r="H664" s="89"/>
      <c r="I664" s="89"/>
      <c r="J664" s="89"/>
      <c r="K664" s="89"/>
      <c r="L664" s="93"/>
      <c r="M664" s="93"/>
      <c r="N664" s="93"/>
      <c r="O664" s="93"/>
      <c r="P664" s="93"/>
      <c r="Q664" s="93"/>
      <c r="R664" s="93"/>
      <c r="S664" s="93"/>
      <c r="T664" s="93"/>
      <c r="U664" s="93"/>
      <c r="V664" s="93"/>
      <c r="W664" s="93"/>
    </row>
    <row r="665" spans="2:23" s="14" customFormat="1" ht="17.100000000000001" customHeight="1">
      <c r="B665" s="89"/>
      <c r="C665" s="90"/>
      <c r="D665" s="91"/>
      <c r="E665" s="92"/>
      <c r="F665" s="89"/>
      <c r="G665" s="89"/>
      <c r="H665" s="89"/>
      <c r="I665" s="89"/>
      <c r="J665" s="89"/>
      <c r="K665" s="89"/>
      <c r="L665" s="93"/>
      <c r="M665" s="93"/>
      <c r="N665" s="93"/>
      <c r="O665" s="93"/>
      <c r="P665" s="93"/>
      <c r="Q665" s="93"/>
      <c r="R665" s="93"/>
      <c r="S665" s="93"/>
      <c r="T665" s="93"/>
      <c r="U665" s="93"/>
      <c r="V665" s="93"/>
      <c r="W665" s="93"/>
    </row>
    <row r="666" spans="2:23" s="14" customFormat="1" ht="17.100000000000001" customHeight="1">
      <c r="B666" s="89"/>
      <c r="C666" s="90"/>
      <c r="D666" s="91"/>
      <c r="E666" s="92"/>
      <c r="F666" s="89"/>
      <c r="G666" s="89"/>
      <c r="H666" s="89"/>
      <c r="I666" s="89"/>
      <c r="J666" s="89"/>
      <c r="K666" s="89"/>
      <c r="L666" s="93"/>
      <c r="M666" s="93"/>
      <c r="N666" s="93"/>
      <c r="O666" s="93"/>
      <c r="P666" s="93"/>
      <c r="Q666" s="93"/>
      <c r="R666" s="93"/>
      <c r="S666" s="93"/>
      <c r="T666" s="93"/>
      <c r="U666" s="93"/>
      <c r="V666" s="93"/>
      <c r="W666" s="93"/>
    </row>
    <row r="667" spans="2:23" s="14" customFormat="1" ht="17.100000000000001" customHeight="1">
      <c r="B667" s="89"/>
      <c r="C667" s="90"/>
      <c r="D667" s="91"/>
      <c r="E667" s="92"/>
      <c r="F667" s="89"/>
      <c r="G667" s="89"/>
      <c r="H667" s="89"/>
      <c r="I667" s="89"/>
      <c r="J667" s="89"/>
      <c r="K667" s="89"/>
      <c r="L667" s="93"/>
      <c r="M667" s="93"/>
      <c r="N667" s="93"/>
      <c r="O667" s="93"/>
      <c r="P667" s="93"/>
      <c r="Q667" s="93"/>
      <c r="R667" s="93"/>
      <c r="S667" s="93"/>
      <c r="T667" s="93"/>
      <c r="U667" s="93"/>
      <c r="V667" s="93"/>
      <c r="W667" s="93"/>
    </row>
    <row r="668" spans="2:23" s="14" customFormat="1" ht="17.100000000000001" customHeight="1">
      <c r="B668" s="89"/>
      <c r="C668" s="90"/>
      <c r="D668" s="91"/>
      <c r="E668" s="92"/>
      <c r="F668" s="89"/>
      <c r="G668" s="89"/>
      <c r="H668" s="89"/>
      <c r="I668" s="89"/>
      <c r="J668" s="89"/>
      <c r="K668" s="89"/>
      <c r="L668" s="93"/>
      <c r="M668" s="93"/>
      <c r="N668" s="93"/>
      <c r="O668" s="93"/>
      <c r="P668" s="93"/>
      <c r="Q668" s="93"/>
      <c r="R668" s="93"/>
      <c r="S668" s="93"/>
      <c r="T668" s="93"/>
      <c r="U668" s="93"/>
      <c r="V668" s="93"/>
      <c r="W668" s="93"/>
    </row>
    <row r="669" spans="2:23" s="14" customFormat="1" ht="17.100000000000001" customHeight="1">
      <c r="B669" s="89"/>
      <c r="C669" s="90"/>
      <c r="D669" s="91"/>
      <c r="E669" s="92"/>
      <c r="F669" s="89"/>
      <c r="G669" s="89"/>
      <c r="H669" s="89"/>
      <c r="I669" s="89"/>
      <c r="J669" s="89"/>
      <c r="K669" s="89"/>
      <c r="L669" s="93"/>
      <c r="M669" s="93"/>
      <c r="N669" s="93"/>
      <c r="O669" s="93"/>
      <c r="P669" s="93"/>
      <c r="Q669" s="93"/>
      <c r="R669" s="93"/>
      <c r="S669" s="93"/>
      <c r="T669" s="93"/>
      <c r="U669" s="93"/>
      <c r="V669" s="93"/>
      <c r="W669" s="93"/>
    </row>
    <row r="670" spans="2:23" s="14" customFormat="1" ht="17.100000000000001" customHeight="1">
      <c r="B670" s="89"/>
      <c r="C670" s="90"/>
      <c r="D670" s="91"/>
      <c r="E670" s="92"/>
      <c r="F670" s="89"/>
      <c r="G670" s="89"/>
      <c r="H670" s="89"/>
      <c r="I670" s="89"/>
      <c r="J670" s="89"/>
      <c r="K670" s="89"/>
      <c r="L670" s="93"/>
      <c r="M670" s="93"/>
      <c r="N670" s="93"/>
      <c r="O670" s="93"/>
      <c r="P670" s="93"/>
      <c r="Q670" s="93"/>
      <c r="R670" s="93"/>
      <c r="S670" s="93"/>
      <c r="T670" s="93"/>
      <c r="U670" s="93"/>
      <c r="V670" s="93"/>
      <c r="W670" s="93"/>
    </row>
    <row r="671" spans="2:23" s="14" customFormat="1" ht="17.100000000000001" customHeight="1">
      <c r="B671" s="89"/>
      <c r="C671" s="90"/>
      <c r="D671" s="91"/>
      <c r="E671" s="92"/>
      <c r="F671" s="89"/>
      <c r="G671" s="89"/>
      <c r="H671" s="89"/>
      <c r="I671" s="89"/>
      <c r="J671" s="89"/>
      <c r="K671" s="89"/>
      <c r="L671" s="93"/>
      <c r="M671" s="93"/>
      <c r="N671" s="93"/>
      <c r="O671" s="93"/>
      <c r="P671" s="93"/>
      <c r="Q671" s="93"/>
      <c r="R671" s="93"/>
      <c r="S671" s="93"/>
      <c r="T671" s="93"/>
      <c r="U671" s="93"/>
      <c r="V671" s="93"/>
      <c r="W671" s="93"/>
    </row>
    <row r="672" spans="2:23" s="14" customFormat="1" ht="17.100000000000001" customHeight="1">
      <c r="B672" s="89"/>
      <c r="C672" s="90"/>
      <c r="D672" s="91"/>
      <c r="E672" s="92"/>
      <c r="F672" s="89"/>
      <c r="G672" s="89"/>
      <c r="H672" s="89"/>
      <c r="I672" s="89"/>
      <c r="J672" s="89"/>
      <c r="K672" s="89"/>
      <c r="L672" s="93"/>
      <c r="M672" s="93"/>
      <c r="N672" s="93"/>
      <c r="O672" s="93"/>
      <c r="P672" s="93"/>
      <c r="Q672" s="93"/>
      <c r="R672" s="93"/>
      <c r="S672" s="93"/>
      <c r="T672" s="93"/>
      <c r="U672" s="93"/>
      <c r="V672" s="93"/>
      <c r="W672" s="93"/>
    </row>
    <row r="673" spans="2:23" s="14" customFormat="1" ht="17.100000000000001" customHeight="1">
      <c r="B673" s="89"/>
      <c r="C673" s="90"/>
      <c r="D673" s="91"/>
      <c r="E673" s="92"/>
      <c r="F673" s="89"/>
      <c r="G673" s="89"/>
      <c r="H673" s="89"/>
      <c r="I673" s="89"/>
      <c r="J673" s="89"/>
      <c r="K673" s="89"/>
      <c r="L673" s="93"/>
      <c r="M673" s="93"/>
      <c r="N673" s="93"/>
      <c r="O673" s="93"/>
      <c r="P673" s="93"/>
      <c r="Q673" s="93"/>
      <c r="R673" s="93"/>
      <c r="S673" s="93"/>
      <c r="T673" s="93"/>
      <c r="U673" s="93"/>
      <c r="V673" s="93"/>
      <c r="W673" s="93"/>
    </row>
    <row r="674" spans="2:23" s="14" customFormat="1" ht="17.100000000000001" customHeight="1">
      <c r="B674" s="89"/>
      <c r="C674" s="90"/>
      <c r="D674" s="91"/>
      <c r="E674" s="92"/>
      <c r="F674" s="89"/>
      <c r="G674" s="89"/>
      <c r="H674" s="89"/>
      <c r="I674" s="89"/>
      <c r="J674" s="89"/>
      <c r="K674" s="89"/>
      <c r="L674" s="93"/>
      <c r="M674" s="93"/>
      <c r="N674" s="93"/>
      <c r="O674" s="93"/>
      <c r="P674" s="93"/>
      <c r="Q674" s="93"/>
      <c r="R674" s="93"/>
      <c r="S674" s="93"/>
      <c r="T674" s="93"/>
      <c r="U674" s="93"/>
      <c r="V674" s="93"/>
      <c r="W674" s="93"/>
    </row>
    <row r="675" spans="2:23" s="14" customFormat="1" ht="17.100000000000001" customHeight="1">
      <c r="B675" s="89"/>
      <c r="C675" s="90"/>
      <c r="D675" s="91"/>
      <c r="E675" s="92"/>
      <c r="F675" s="89"/>
      <c r="G675" s="89"/>
      <c r="H675" s="89"/>
      <c r="I675" s="89"/>
      <c r="J675" s="89"/>
      <c r="K675" s="89"/>
      <c r="L675" s="93"/>
      <c r="M675" s="93"/>
      <c r="N675" s="93"/>
      <c r="O675" s="93"/>
      <c r="P675" s="93"/>
      <c r="Q675" s="93"/>
      <c r="R675" s="93"/>
      <c r="S675" s="93"/>
      <c r="T675" s="93"/>
      <c r="U675" s="93"/>
      <c r="V675" s="93"/>
      <c r="W675" s="93"/>
    </row>
    <row r="676" spans="2:23" s="14" customFormat="1" ht="17.100000000000001" customHeight="1">
      <c r="B676" s="89"/>
      <c r="C676" s="90"/>
      <c r="D676" s="91"/>
      <c r="E676" s="92"/>
      <c r="F676" s="89"/>
      <c r="G676" s="89"/>
      <c r="H676" s="89"/>
      <c r="I676" s="89"/>
      <c r="J676" s="89"/>
      <c r="K676" s="89"/>
      <c r="L676" s="93"/>
      <c r="M676" s="93"/>
      <c r="N676" s="93"/>
      <c r="O676" s="93"/>
      <c r="P676" s="93"/>
      <c r="Q676" s="93"/>
      <c r="R676" s="93"/>
      <c r="S676" s="93"/>
      <c r="T676" s="93"/>
      <c r="U676" s="93"/>
      <c r="V676" s="93"/>
      <c r="W676" s="93"/>
    </row>
    <row r="677" spans="2:23" s="14" customFormat="1" ht="17.100000000000001" customHeight="1">
      <c r="B677" s="89"/>
      <c r="C677" s="90"/>
      <c r="D677" s="91"/>
      <c r="E677" s="92"/>
      <c r="F677" s="89"/>
      <c r="G677" s="89"/>
      <c r="H677" s="89"/>
      <c r="I677" s="89"/>
      <c r="J677" s="89"/>
      <c r="K677" s="89"/>
      <c r="L677" s="93"/>
      <c r="M677" s="93"/>
      <c r="N677" s="93"/>
      <c r="O677" s="93"/>
      <c r="P677" s="93"/>
      <c r="Q677" s="93"/>
      <c r="R677" s="93"/>
      <c r="S677" s="93"/>
      <c r="T677" s="93"/>
      <c r="U677" s="93"/>
      <c r="V677" s="93"/>
      <c r="W677" s="93"/>
    </row>
    <row r="678" spans="2:23" s="14" customFormat="1" ht="17.100000000000001" customHeight="1">
      <c r="B678" s="89"/>
      <c r="C678" s="90"/>
      <c r="D678" s="91"/>
      <c r="E678" s="92"/>
      <c r="F678" s="89"/>
      <c r="G678" s="89"/>
      <c r="H678" s="89"/>
      <c r="I678" s="89"/>
      <c r="J678" s="89"/>
      <c r="K678" s="89"/>
      <c r="L678" s="93"/>
      <c r="M678" s="93"/>
      <c r="N678" s="93"/>
      <c r="O678" s="93"/>
      <c r="P678" s="93"/>
      <c r="Q678" s="93"/>
      <c r="R678" s="93"/>
      <c r="S678" s="93"/>
      <c r="T678" s="93"/>
      <c r="U678" s="93"/>
      <c r="V678" s="93"/>
      <c r="W678" s="93"/>
    </row>
    <row r="679" spans="2:23" s="14" customFormat="1" ht="17.100000000000001" customHeight="1">
      <c r="B679" s="89"/>
      <c r="C679" s="90"/>
      <c r="D679" s="91"/>
      <c r="E679" s="92"/>
      <c r="F679" s="89"/>
      <c r="G679" s="89"/>
      <c r="H679" s="89"/>
      <c r="I679" s="89"/>
      <c r="J679" s="89"/>
      <c r="K679" s="89"/>
      <c r="L679" s="93"/>
      <c r="M679" s="93"/>
      <c r="N679" s="93"/>
      <c r="O679" s="93"/>
      <c r="P679" s="93"/>
      <c r="Q679" s="93"/>
      <c r="R679" s="93"/>
      <c r="S679" s="93"/>
      <c r="T679" s="93"/>
      <c r="U679" s="93"/>
      <c r="V679" s="93"/>
      <c r="W679" s="93"/>
    </row>
    <row r="680" spans="2:23" s="14" customFormat="1" ht="17.100000000000001" customHeight="1">
      <c r="B680" s="89"/>
      <c r="C680" s="90"/>
      <c r="D680" s="91"/>
      <c r="E680" s="92"/>
      <c r="F680" s="89"/>
      <c r="G680" s="89"/>
      <c r="H680" s="89"/>
      <c r="I680" s="89"/>
      <c r="J680" s="89"/>
      <c r="K680" s="89"/>
      <c r="L680" s="93"/>
      <c r="M680" s="93"/>
      <c r="N680" s="93"/>
      <c r="O680" s="93"/>
      <c r="P680" s="93"/>
      <c r="Q680" s="93"/>
      <c r="R680" s="93"/>
      <c r="S680" s="93"/>
      <c r="T680" s="93"/>
      <c r="U680" s="93"/>
      <c r="V680" s="93"/>
      <c r="W680" s="93"/>
    </row>
    <row r="681" spans="2:23" s="14" customFormat="1" ht="17.100000000000001" customHeight="1">
      <c r="B681" s="89"/>
      <c r="C681" s="90"/>
      <c r="D681" s="91"/>
      <c r="E681" s="92"/>
      <c r="F681" s="89"/>
      <c r="G681" s="89"/>
      <c r="H681" s="89"/>
      <c r="I681" s="89"/>
      <c r="J681" s="89"/>
      <c r="K681" s="89"/>
      <c r="L681" s="93"/>
      <c r="M681" s="93"/>
      <c r="N681" s="93"/>
      <c r="O681" s="93"/>
      <c r="P681" s="93"/>
      <c r="Q681" s="93"/>
      <c r="R681" s="93"/>
      <c r="S681" s="93"/>
      <c r="T681" s="93"/>
      <c r="U681" s="93"/>
      <c r="V681" s="93"/>
      <c r="W681" s="93"/>
    </row>
    <row r="682" spans="2:23" s="14" customFormat="1" ht="17.100000000000001" customHeight="1">
      <c r="B682" s="89"/>
      <c r="C682" s="90"/>
      <c r="D682" s="91"/>
      <c r="E682" s="92"/>
      <c r="F682" s="89"/>
      <c r="G682" s="89"/>
      <c r="H682" s="89"/>
      <c r="I682" s="89"/>
      <c r="J682" s="89"/>
      <c r="K682" s="89"/>
      <c r="L682" s="93"/>
      <c r="M682" s="93"/>
      <c r="N682" s="93"/>
      <c r="O682" s="93"/>
      <c r="P682" s="93"/>
      <c r="Q682" s="93"/>
      <c r="R682" s="93"/>
      <c r="S682" s="93"/>
      <c r="T682" s="93"/>
      <c r="U682" s="93"/>
      <c r="V682" s="93"/>
      <c r="W682" s="93"/>
    </row>
    <row r="683" spans="2:23" s="14" customFormat="1" ht="17.100000000000001" customHeight="1">
      <c r="B683" s="89"/>
      <c r="C683" s="90"/>
      <c r="D683" s="91"/>
      <c r="E683" s="92"/>
      <c r="F683" s="89"/>
      <c r="G683" s="89"/>
      <c r="H683" s="89"/>
      <c r="I683" s="89"/>
      <c r="J683" s="89"/>
      <c r="K683" s="89"/>
      <c r="L683" s="93"/>
      <c r="M683" s="93"/>
      <c r="N683" s="93"/>
      <c r="O683" s="93"/>
      <c r="P683" s="93"/>
      <c r="Q683" s="93"/>
      <c r="R683" s="93"/>
      <c r="S683" s="93"/>
      <c r="T683" s="93"/>
      <c r="U683" s="93"/>
      <c r="V683" s="93"/>
      <c r="W683" s="93"/>
    </row>
    <row r="684" spans="2:23" s="14" customFormat="1" ht="17.100000000000001" customHeight="1">
      <c r="B684" s="89"/>
      <c r="C684" s="90"/>
      <c r="D684" s="91"/>
      <c r="E684" s="92"/>
      <c r="F684" s="89"/>
      <c r="G684" s="89"/>
      <c r="H684" s="89"/>
      <c r="I684" s="89"/>
      <c r="J684" s="89"/>
      <c r="K684" s="89"/>
      <c r="L684" s="93"/>
      <c r="M684" s="93"/>
      <c r="N684" s="93"/>
      <c r="O684" s="93"/>
      <c r="P684" s="93"/>
      <c r="Q684" s="93"/>
      <c r="R684" s="93"/>
      <c r="S684" s="93"/>
      <c r="T684" s="93"/>
      <c r="U684" s="93"/>
      <c r="V684" s="93"/>
      <c r="W684" s="93"/>
    </row>
    <row r="685" spans="2:23" s="14" customFormat="1" ht="17.100000000000001" customHeight="1">
      <c r="B685" s="89"/>
      <c r="C685" s="90"/>
      <c r="D685" s="91"/>
      <c r="E685" s="92"/>
      <c r="F685" s="89"/>
      <c r="G685" s="89"/>
      <c r="H685" s="89"/>
      <c r="I685" s="89"/>
      <c r="J685" s="89"/>
      <c r="K685" s="89"/>
      <c r="L685" s="93"/>
      <c r="M685" s="93"/>
      <c r="N685" s="93"/>
      <c r="O685" s="93"/>
      <c r="P685" s="93"/>
      <c r="Q685" s="93"/>
      <c r="R685" s="93"/>
      <c r="S685" s="93"/>
      <c r="T685" s="93"/>
      <c r="U685" s="93"/>
      <c r="V685" s="93"/>
      <c r="W685" s="93"/>
    </row>
    <row r="686" spans="2:23" s="14" customFormat="1" ht="17.100000000000001" customHeight="1">
      <c r="B686" s="89"/>
      <c r="C686" s="90"/>
      <c r="D686" s="91"/>
      <c r="E686" s="92"/>
      <c r="F686" s="89"/>
      <c r="G686" s="89"/>
      <c r="H686" s="89"/>
      <c r="I686" s="89"/>
      <c r="J686" s="89"/>
      <c r="K686" s="89"/>
      <c r="L686" s="93"/>
      <c r="M686" s="93"/>
      <c r="N686" s="93"/>
      <c r="O686" s="93"/>
      <c r="P686" s="93"/>
      <c r="Q686" s="93"/>
      <c r="R686" s="93"/>
      <c r="S686" s="93"/>
      <c r="T686" s="93"/>
      <c r="U686" s="93"/>
      <c r="V686" s="93"/>
      <c r="W686" s="93"/>
    </row>
    <row r="687" spans="2:23" s="14" customFormat="1" ht="17.100000000000001" customHeight="1">
      <c r="B687" s="89"/>
      <c r="C687" s="90"/>
      <c r="D687" s="91"/>
      <c r="E687" s="92"/>
      <c r="F687" s="89"/>
      <c r="G687" s="89"/>
      <c r="H687" s="89"/>
      <c r="I687" s="89"/>
      <c r="J687" s="89"/>
      <c r="K687" s="89"/>
      <c r="L687" s="93"/>
      <c r="M687" s="93"/>
      <c r="N687" s="93"/>
      <c r="O687" s="93"/>
      <c r="P687" s="93"/>
      <c r="Q687" s="93"/>
      <c r="R687" s="93"/>
      <c r="S687" s="93"/>
      <c r="T687" s="93"/>
      <c r="U687" s="93"/>
      <c r="V687" s="93"/>
      <c r="W687" s="93"/>
    </row>
    <row r="688" spans="2:23" s="14" customFormat="1" ht="17.100000000000001" customHeight="1">
      <c r="B688" s="89"/>
      <c r="C688" s="90"/>
      <c r="D688" s="91"/>
      <c r="E688" s="92"/>
      <c r="F688" s="89"/>
      <c r="G688" s="89"/>
      <c r="H688" s="89"/>
      <c r="I688" s="89"/>
      <c r="J688" s="89"/>
      <c r="K688" s="89"/>
      <c r="L688" s="93"/>
      <c r="M688" s="93"/>
      <c r="N688" s="93"/>
      <c r="O688" s="93"/>
      <c r="P688" s="93"/>
      <c r="Q688" s="93"/>
      <c r="R688" s="93"/>
      <c r="S688" s="93"/>
      <c r="T688" s="93"/>
      <c r="U688" s="93"/>
      <c r="V688" s="93"/>
      <c r="W688" s="93"/>
    </row>
    <row r="689" spans="2:23" s="14" customFormat="1" ht="17.100000000000001" customHeight="1">
      <c r="B689" s="89"/>
      <c r="C689" s="90"/>
      <c r="D689" s="91"/>
      <c r="E689" s="92"/>
      <c r="F689" s="89"/>
      <c r="G689" s="89"/>
      <c r="H689" s="89"/>
      <c r="I689" s="89"/>
      <c r="J689" s="89"/>
      <c r="K689" s="89"/>
      <c r="L689" s="93"/>
      <c r="M689" s="93"/>
      <c r="N689" s="93"/>
      <c r="O689" s="93"/>
      <c r="P689" s="93"/>
      <c r="Q689" s="93"/>
      <c r="R689" s="93"/>
      <c r="S689" s="93"/>
      <c r="T689" s="93"/>
      <c r="U689" s="93"/>
      <c r="V689" s="93"/>
      <c r="W689" s="93"/>
    </row>
    <row r="690" spans="2:23" s="14" customFormat="1" ht="17.100000000000001" customHeight="1">
      <c r="B690" s="89"/>
      <c r="C690" s="90"/>
      <c r="D690" s="91"/>
      <c r="E690" s="92"/>
      <c r="F690" s="89"/>
      <c r="G690" s="89"/>
      <c r="H690" s="89"/>
      <c r="I690" s="89"/>
      <c r="J690" s="89"/>
      <c r="K690" s="89"/>
      <c r="L690" s="93"/>
      <c r="M690" s="93"/>
      <c r="N690" s="93"/>
      <c r="O690" s="93"/>
      <c r="P690" s="93"/>
      <c r="Q690" s="93"/>
      <c r="R690" s="93"/>
      <c r="S690" s="93"/>
      <c r="T690" s="93"/>
      <c r="U690" s="93"/>
      <c r="V690" s="93"/>
      <c r="W690" s="93"/>
    </row>
    <row r="691" spans="2:23" s="14" customFormat="1" ht="17.100000000000001" customHeight="1">
      <c r="B691" s="89"/>
      <c r="C691" s="90"/>
      <c r="D691" s="91"/>
      <c r="E691" s="92"/>
      <c r="F691" s="89"/>
      <c r="G691" s="89"/>
      <c r="H691" s="89"/>
      <c r="I691" s="89"/>
      <c r="J691" s="89"/>
      <c r="K691" s="89"/>
      <c r="L691" s="93"/>
      <c r="M691" s="93"/>
      <c r="N691" s="93"/>
      <c r="O691" s="93"/>
      <c r="P691" s="93"/>
      <c r="Q691" s="93"/>
      <c r="R691" s="93"/>
      <c r="S691" s="93"/>
      <c r="T691" s="93"/>
      <c r="U691" s="93"/>
      <c r="V691" s="93"/>
      <c r="W691" s="93"/>
    </row>
    <row r="692" spans="2:23" s="14" customFormat="1" ht="17.100000000000001" customHeight="1">
      <c r="B692" s="89"/>
      <c r="C692" s="90"/>
      <c r="D692" s="91"/>
      <c r="E692" s="92"/>
      <c r="F692" s="89"/>
      <c r="G692" s="89"/>
      <c r="H692" s="89"/>
      <c r="I692" s="89"/>
      <c r="J692" s="89"/>
      <c r="K692" s="89"/>
      <c r="L692" s="93"/>
      <c r="M692" s="93"/>
      <c r="N692" s="93"/>
      <c r="O692" s="93"/>
      <c r="P692" s="93"/>
      <c r="Q692" s="93"/>
      <c r="R692" s="93"/>
      <c r="S692" s="93"/>
      <c r="T692" s="93"/>
      <c r="U692" s="93"/>
      <c r="V692" s="93"/>
      <c r="W692" s="93"/>
    </row>
    <row r="693" spans="2:23" s="14" customFormat="1" ht="17.100000000000001" customHeight="1">
      <c r="B693" s="89"/>
      <c r="C693" s="90"/>
      <c r="D693" s="91"/>
      <c r="E693" s="92"/>
      <c r="F693" s="89"/>
      <c r="G693" s="89"/>
      <c r="H693" s="89"/>
      <c r="I693" s="89"/>
      <c r="J693" s="89"/>
      <c r="K693" s="89"/>
      <c r="L693" s="93"/>
      <c r="M693" s="93"/>
      <c r="N693" s="93"/>
      <c r="O693" s="93"/>
      <c r="P693" s="93"/>
      <c r="Q693" s="93"/>
      <c r="R693" s="93"/>
      <c r="S693" s="93"/>
      <c r="T693" s="93"/>
      <c r="U693" s="93"/>
      <c r="V693" s="93"/>
      <c r="W693" s="93"/>
    </row>
    <row r="694" spans="2:23" s="14" customFormat="1" ht="17.100000000000001" customHeight="1">
      <c r="B694" s="89"/>
      <c r="C694" s="90"/>
      <c r="D694" s="91"/>
      <c r="E694" s="92"/>
      <c r="F694" s="89"/>
      <c r="G694" s="89"/>
      <c r="H694" s="89"/>
      <c r="I694" s="89"/>
      <c r="J694" s="89"/>
      <c r="K694" s="89"/>
      <c r="L694" s="93"/>
      <c r="M694" s="93"/>
      <c r="N694" s="93"/>
      <c r="O694" s="93"/>
      <c r="P694" s="93"/>
      <c r="Q694" s="93"/>
      <c r="R694" s="93"/>
      <c r="S694" s="93"/>
      <c r="T694" s="93"/>
      <c r="U694" s="93"/>
      <c r="V694" s="93"/>
      <c r="W694" s="93"/>
    </row>
    <row r="695" spans="2:23" s="14" customFormat="1" ht="17.100000000000001" customHeight="1">
      <c r="B695" s="89"/>
      <c r="C695" s="90"/>
      <c r="D695" s="91"/>
      <c r="E695" s="92"/>
      <c r="F695" s="89"/>
      <c r="G695" s="89"/>
      <c r="H695" s="89"/>
      <c r="I695" s="89"/>
      <c r="J695" s="89"/>
      <c r="K695" s="89"/>
      <c r="L695" s="93"/>
      <c r="M695" s="93"/>
      <c r="N695" s="93"/>
      <c r="O695" s="93"/>
      <c r="P695" s="93"/>
      <c r="Q695" s="93"/>
      <c r="R695" s="93"/>
      <c r="S695" s="93"/>
      <c r="T695" s="93"/>
      <c r="U695" s="93"/>
      <c r="V695" s="93"/>
      <c r="W695" s="93"/>
    </row>
    <row r="696" spans="2:23" s="14" customFormat="1" ht="17.100000000000001" customHeight="1">
      <c r="B696" s="89"/>
      <c r="C696" s="90"/>
      <c r="D696" s="91"/>
      <c r="E696" s="92"/>
      <c r="F696" s="89"/>
      <c r="G696" s="89"/>
      <c r="H696" s="89"/>
      <c r="I696" s="89"/>
      <c r="J696" s="89"/>
      <c r="K696" s="89"/>
      <c r="L696" s="93"/>
      <c r="M696" s="93"/>
      <c r="N696" s="93"/>
      <c r="O696" s="93"/>
      <c r="P696" s="93"/>
      <c r="Q696" s="93"/>
      <c r="R696" s="93"/>
      <c r="S696" s="93"/>
      <c r="T696" s="93"/>
      <c r="U696" s="93"/>
      <c r="V696" s="93"/>
      <c r="W696" s="93"/>
    </row>
    <row r="697" spans="2:23" s="14" customFormat="1" ht="17.100000000000001" customHeight="1">
      <c r="B697" s="89"/>
      <c r="C697" s="90"/>
      <c r="D697" s="91"/>
      <c r="E697" s="92"/>
      <c r="F697" s="89"/>
      <c r="G697" s="89"/>
      <c r="H697" s="89"/>
      <c r="I697" s="89"/>
      <c r="J697" s="89"/>
      <c r="K697" s="89"/>
      <c r="L697" s="93"/>
      <c r="M697" s="93"/>
      <c r="N697" s="93"/>
      <c r="O697" s="93"/>
      <c r="P697" s="93"/>
      <c r="Q697" s="93"/>
      <c r="R697" s="93"/>
      <c r="S697" s="93"/>
      <c r="T697" s="93"/>
      <c r="U697" s="93"/>
      <c r="V697" s="93"/>
      <c r="W697" s="93"/>
    </row>
    <row r="698" spans="2:23" s="14" customFormat="1" ht="17.100000000000001" customHeight="1">
      <c r="B698" s="89"/>
      <c r="C698" s="90"/>
      <c r="D698" s="91"/>
      <c r="E698" s="92"/>
      <c r="F698" s="89"/>
      <c r="G698" s="89"/>
      <c r="H698" s="89"/>
      <c r="I698" s="89"/>
      <c r="J698" s="89"/>
      <c r="K698" s="89"/>
      <c r="L698" s="93"/>
      <c r="M698" s="93"/>
      <c r="N698" s="93"/>
      <c r="O698" s="93"/>
      <c r="P698" s="93"/>
      <c r="Q698" s="93"/>
      <c r="R698" s="93"/>
      <c r="S698" s="93"/>
      <c r="T698" s="93"/>
      <c r="U698" s="93"/>
      <c r="V698" s="93"/>
      <c r="W698" s="93"/>
    </row>
    <row r="699" spans="2:23" s="14" customFormat="1" ht="17.100000000000001" customHeight="1">
      <c r="B699" s="89"/>
      <c r="C699" s="90"/>
      <c r="D699" s="91"/>
      <c r="E699" s="92"/>
      <c r="F699" s="89"/>
      <c r="G699" s="89"/>
      <c r="H699" s="89"/>
      <c r="I699" s="89"/>
      <c r="J699" s="89"/>
      <c r="K699" s="89"/>
      <c r="L699" s="93"/>
      <c r="M699" s="93"/>
      <c r="N699" s="93"/>
      <c r="O699" s="93"/>
      <c r="P699" s="93"/>
      <c r="Q699" s="93"/>
      <c r="R699" s="93"/>
      <c r="S699" s="93"/>
      <c r="T699" s="93"/>
      <c r="U699" s="93"/>
      <c r="V699" s="93"/>
      <c r="W699" s="93"/>
    </row>
    <row r="700" spans="2:23" s="14" customFormat="1" ht="17.100000000000001" customHeight="1">
      <c r="B700" s="89"/>
      <c r="C700" s="90"/>
      <c r="D700" s="91"/>
      <c r="E700" s="92"/>
      <c r="F700" s="89"/>
      <c r="G700" s="89"/>
      <c r="H700" s="89"/>
      <c r="I700" s="89"/>
      <c r="J700" s="89"/>
      <c r="K700" s="89"/>
      <c r="L700" s="93"/>
      <c r="M700" s="93"/>
      <c r="N700" s="93"/>
      <c r="O700" s="93"/>
      <c r="P700" s="93"/>
      <c r="Q700" s="93"/>
      <c r="R700" s="93"/>
      <c r="S700" s="93"/>
      <c r="T700" s="93"/>
      <c r="U700" s="93"/>
      <c r="V700" s="93"/>
      <c r="W700" s="93"/>
    </row>
    <row r="701" spans="2:23" s="14" customFormat="1" ht="17.100000000000001" customHeight="1">
      <c r="B701" s="89"/>
      <c r="C701" s="90"/>
      <c r="D701" s="91"/>
      <c r="E701" s="92"/>
      <c r="F701" s="89"/>
      <c r="G701" s="89"/>
      <c r="H701" s="89"/>
      <c r="I701" s="89"/>
      <c r="J701" s="89"/>
      <c r="K701" s="89"/>
      <c r="L701" s="93"/>
      <c r="M701" s="93"/>
      <c r="N701" s="93"/>
      <c r="O701" s="93"/>
      <c r="P701" s="93"/>
      <c r="Q701" s="93"/>
      <c r="R701" s="93"/>
      <c r="S701" s="93"/>
      <c r="T701" s="93"/>
      <c r="U701" s="93"/>
      <c r="V701" s="93"/>
      <c r="W701" s="93"/>
    </row>
    <row r="702" spans="2:23" s="14" customFormat="1" ht="17.100000000000001" customHeight="1">
      <c r="B702" s="89"/>
      <c r="C702" s="90"/>
      <c r="D702" s="91"/>
      <c r="E702" s="92"/>
      <c r="F702" s="89"/>
      <c r="G702" s="89"/>
      <c r="H702" s="89"/>
      <c r="I702" s="89"/>
      <c r="J702" s="89"/>
      <c r="K702" s="89"/>
      <c r="L702" s="93"/>
      <c r="M702" s="93"/>
      <c r="N702" s="93"/>
      <c r="O702" s="93"/>
      <c r="P702" s="93"/>
      <c r="Q702" s="93"/>
      <c r="R702" s="93"/>
      <c r="S702" s="93"/>
      <c r="T702" s="93"/>
      <c r="U702" s="93"/>
      <c r="V702" s="93"/>
      <c r="W702" s="93"/>
    </row>
    <row r="703" spans="2:23" s="14" customFormat="1" ht="17.100000000000001" customHeight="1">
      <c r="B703" s="89"/>
      <c r="C703" s="90"/>
      <c r="D703" s="91"/>
      <c r="E703" s="92"/>
      <c r="F703" s="89"/>
      <c r="G703" s="89"/>
      <c r="H703" s="89"/>
      <c r="I703" s="89"/>
      <c r="J703" s="89"/>
      <c r="K703" s="89"/>
      <c r="L703" s="93"/>
      <c r="M703" s="93"/>
      <c r="N703" s="93"/>
      <c r="O703" s="93"/>
      <c r="P703" s="93"/>
      <c r="Q703" s="93"/>
      <c r="R703" s="93"/>
      <c r="S703" s="93"/>
      <c r="T703" s="93"/>
      <c r="U703" s="93"/>
      <c r="V703" s="93"/>
      <c r="W703" s="93"/>
    </row>
    <row r="704" spans="2:23" s="14" customFormat="1" ht="17.100000000000001" customHeight="1">
      <c r="B704" s="89"/>
      <c r="C704" s="90"/>
      <c r="D704" s="91"/>
      <c r="E704" s="92"/>
      <c r="F704" s="89"/>
      <c r="G704" s="89"/>
      <c r="H704" s="89"/>
      <c r="I704" s="89"/>
      <c r="J704" s="89"/>
      <c r="K704" s="89"/>
      <c r="L704" s="93"/>
      <c r="M704" s="93"/>
      <c r="N704" s="93"/>
      <c r="O704" s="93"/>
      <c r="P704" s="93"/>
      <c r="Q704" s="93"/>
      <c r="R704" s="93"/>
      <c r="S704" s="93"/>
      <c r="T704" s="93"/>
      <c r="U704" s="93"/>
      <c r="V704" s="93"/>
      <c r="W704" s="93"/>
    </row>
    <row r="705" spans="2:23" s="14" customFormat="1" ht="17.100000000000001" customHeight="1">
      <c r="B705" s="89"/>
      <c r="C705" s="90"/>
      <c r="D705" s="91"/>
      <c r="E705" s="92"/>
      <c r="F705" s="89"/>
      <c r="G705" s="89"/>
      <c r="H705" s="89"/>
      <c r="I705" s="89"/>
      <c r="J705" s="89"/>
      <c r="K705" s="89"/>
      <c r="L705" s="93"/>
      <c r="M705" s="93"/>
      <c r="N705" s="93"/>
      <c r="O705" s="93"/>
      <c r="P705" s="93"/>
      <c r="Q705" s="93"/>
      <c r="R705" s="93"/>
      <c r="S705" s="93"/>
      <c r="T705" s="93"/>
      <c r="U705" s="93"/>
      <c r="V705" s="93"/>
      <c r="W705" s="93"/>
    </row>
    <row r="706" spans="2:23" s="14" customFormat="1" ht="17.100000000000001" customHeight="1">
      <c r="B706" s="89"/>
      <c r="C706" s="90"/>
      <c r="D706" s="91"/>
      <c r="E706" s="92"/>
      <c r="F706" s="89"/>
      <c r="G706" s="89"/>
      <c r="H706" s="89"/>
      <c r="I706" s="89"/>
      <c r="J706" s="89"/>
      <c r="K706" s="89"/>
      <c r="L706" s="93"/>
      <c r="M706" s="93"/>
      <c r="N706" s="93"/>
      <c r="O706" s="93"/>
      <c r="P706" s="93"/>
      <c r="Q706" s="93"/>
      <c r="R706" s="93"/>
      <c r="S706" s="93"/>
      <c r="T706" s="93"/>
      <c r="U706" s="93"/>
      <c r="V706" s="93"/>
      <c r="W706" s="93"/>
    </row>
    <row r="707" spans="2:23" s="14" customFormat="1" ht="17.100000000000001" customHeight="1">
      <c r="B707" s="89"/>
      <c r="C707" s="90"/>
      <c r="D707" s="91"/>
      <c r="E707" s="92"/>
      <c r="F707" s="89"/>
      <c r="G707" s="89"/>
      <c r="H707" s="89"/>
      <c r="I707" s="89"/>
      <c r="J707" s="89"/>
      <c r="K707" s="89"/>
      <c r="L707" s="93"/>
      <c r="M707" s="93"/>
      <c r="N707" s="93"/>
      <c r="O707" s="93"/>
      <c r="P707" s="93"/>
      <c r="Q707" s="93"/>
      <c r="R707" s="93"/>
      <c r="S707" s="93"/>
      <c r="T707" s="93"/>
      <c r="U707" s="93"/>
      <c r="V707" s="93"/>
      <c r="W707" s="93"/>
    </row>
    <row r="708" spans="2:23" s="14" customFormat="1" ht="17.100000000000001" customHeight="1">
      <c r="B708" s="89"/>
      <c r="C708" s="90"/>
      <c r="D708" s="91"/>
      <c r="E708" s="92"/>
      <c r="F708" s="89"/>
      <c r="G708" s="89"/>
      <c r="H708" s="89"/>
      <c r="I708" s="89"/>
      <c r="J708" s="89"/>
      <c r="K708" s="89"/>
      <c r="L708" s="93"/>
      <c r="M708" s="93"/>
      <c r="N708" s="93"/>
      <c r="O708" s="93"/>
      <c r="P708" s="93"/>
      <c r="Q708" s="93"/>
      <c r="R708" s="93"/>
      <c r="S708" s="93"/>
      <c r="T708" s="93"/>
      <c r="U708" s="93"/>
      <c r="V708" s="93"/>
      <c r="W708" s="93"/>
    </row>
    <row r="709" spans="2:23" s="14" customFormat="1" ht="17.100000000000001" customHeight="1">
      <c r="B709" s="89"/>
      <c r="C709" s="90"/>
      <c r="D709" s="91"/>
      <c r="E709" s="92"/>
      <c r="F709" s="89"/>
      <c r="G709" s="89"/>
      <c r="H709" s="89"/>
      <c r="I709" s="89"/>
      <c r="J709" s="89"/>
      <c r="K709" s="89"/>
      <c r="L709" s="93"/>
      <c r="M709" s="93"/>
      <c r="N709" s="93"/>
      <c r="O709" s="93"/>
      <c r="P709" s="93"/>
      <c r="Q709" s="93"/>
      <c r="R709" s="93"/>
      <c r="S709" s="93"/>
      <c r="T709" s="93"/>
      <c r="U709" s="93"/>
      <c r="V709" s="93"/>
      <c r="W709" s="93"/>
    </row>
    <row r="710" spans="2:23" s="14" customFormat="1" ht="17.100000000000001" customHeight="1">
      <c r="B710" s="89"/>
      <c r="C710" s="90"/>
      <c r="D710" s="91"/>
      <c r="E710" s="92"/>
      <c r="F710" s="89"/>
      <c r="G710" s="89"/>
      <c r="H710" s="89"/>
      <c r="I710" s="89"/>
      <c r="J710" s="89"/>
      <c r="K710" s="89"/>
      <c r="L710" s="93"/>
      <c r="M710" s="93"/>
      <c r="N710" s="93"/>
      <c r="O710" s="93"/>
      <c r="P710" s="93"/>
      <c r="Q710" s="93"/>
      <c r="R710" s="93"/>
      <c r="S710" s="93"/>
      <c r="T710" s="93"/>
      <c r="U710" s="93"/>
      <c r="V710" s="93"/>
      <c r="W710" s="93"/>
    </row>
    <row r="711" spans="2:23" s="14" customFormat="1" ht="17.100000000000001" customHeight="1">
      <c r="B711" s="89"/>
      <c r="C711" s="90"/>
      <c r="D711" s="91"/>
      <c r="E711" s="92"/>
      <c r="F711" s="89"/>
      <c r="G711" s="89"/>
      <c r="H711" s="89"/>
      <c r="I711" s="89"/>
      <c r="J711" s="89"/>
      <c r="K711" s="89"/>
      <c r="L711" s="93"/>
      <c r="M711" s="93"/>
      <c r="N711" s="93"/>
      <c r="O711" s="93"/>
      <c r="P711" s="93"/>
      <c r="Q711" s="93"/>
      <c r="R711" s="93"/>
      <c r="S711" s="93"/>
      <c r="T711" s="93"/>
      <c r="U711" s="93"/>
      <c r="V711" s="93"/>
      <c r="W711" s="93"/>
    </row>
    <row r="712" spans="2:23" s="14" customFormat="1" ht="17.100000000000001" customHeight="1">
      <c r="B712" s="89"/>
      <c r="C712" s="90"/>
      <c r="D712" s="91"/>
      <c r="E712" s="92"/>
      <c r="F712" s="89"/>
      <c r="G712" s="89"/>
      <c r="H712" s="89"/>
      <c r="I712" s="89"/>
      <c r="J712" s="89"/>
      <c r="K712" s="89"/>
      <c r="L712" s="93"/>
      <c r="M712" s="93"/>
      <c r="N712" s="93"/>
      <c r="O712" s="93"/>
      <c r="P712" s="93"/>
      <c r="Q712" s="93"/>
      <c r="R712" s="93"/>
      <c r="S712" s="93"/>
      <c r="T712" s="93"/>
      <c r="U712" s="93"/>
      <c r="V712" s="93"/>
      <c r="W712" s="93"/>
    </row>
    <row r="713" spans="2:23" s="14" customFormat="1" ht="17.100000000000001" customHeight="1">
      <c r="B713" s="89"/>
      <c r="C713" s="90"/>
      <c r="D713" s="91"/>
      <c r="E713" s="92"/>
      <c r="F713" s="89"/>
      <c r="G713" s="89"/>
      <c r="H713" s="89"/>
      <c r="I713" s="89"/>
      <c r="J713" s="89"/>
      <c r="K713" s="89"/>
      <c r="L713" s="93"/>
      <c r="M713" s="93"/>
      <c r="N713" s="93"/>
      <c r="O713" s="93"/>
      <c r="P713" s="93"/>
      <c r="Q713" s="93"/>
      <c r="R713" s="93"/>
      <c r="S713" s="93"/>
      <c r="T713" s="93"/>
      <c r="U713" s="93"/>
      <c r="V713" s="93"/>
      <c r="W713" s="93"/>
    </row>
    <row r="714" spans="2:23" s="14" customFormat="1" ht="17.100000000000001" customHeight="1">
      <c r="B714" s="89"/>
      <c r="C714" s="90"/>
      <c r="D714" s="91"/>
      <c r="E714" s="92"/>
      <c r="F714" s="89"/>
      <c r="G714" s="89"/>
      <c r="H714" s="89"/>
      <c r="I714" s="89"/>
      <c r="J714" s="89"/>
      <c r="K714" s="89"/>
      <c r="L714" s="93"/>
      <c r="M714" s="93"/>
      <c r="N714" s="93"/>
      <c r="O714" s="93"/>
      <c r="P714" s="93"/>
      <c r="Q714" s="93"/>
      <c r="R714" s="93"/>
      <c r="S714" s="93"/>
      <c r="T714" s="93"/>
      <c r="U714" s="93"/>
      <c r="V714" s="93"/>
      <c r="W714" s="93"/>
    </row>
    <row r="715" spans="2:23" s="14" customFormat="1" ht="17.100000000000001" customHeight="1">
      <c r="B715" s="89"/>
      <c r="C715" s="90"/>
      <c r="D715" s="91"/>
      <c r="E715" s="92"/>
      <c r="F715" s="89"/>
      <c r="G715" s="89"/>
      <c r="H715" s="89"/>
      <c r="I715" s="89"/>
      <c r="J715" s="89"/>
      <c r="K715" s="89"/>
      <c r="L715" s="93"/>
      <c r="M715" s="93"/>
      <c r="N715" s="93"/>
      <c r="O715" s="93"/>
      <c r="P715" s="93"/>
      <c r="Q715" s="93"/>
      <c r="R715" s="93"/>
      <c r="S715" s="93"/>
      <c r="T715" s="93"/>
      <c r="U715" s="93"/>
      <c r="V715" s="93"/>
      <c r="W715" s="93"/>
    </row>
    <row r="716" spans="2:23" s="14" customFormat="1" ht="17.100000000000001" customHeight="1">
      <c r="B716" s="89"/>
      <c r="C716" s="90"/>
      <c r="D716" s="91"/>
      <c r="E716" s="92"/>
      <c r="F716" s="89"/>
      <c r="G716" s="89"/>
      <c r="H716" s="89"/>
      <c r="I716" s="89"/>
      <c r="J716" s="89"/>
      <c r="K716" s="89"/>
      <c r="L716" s="93"/>
      <c r="M716" s="93"/>
      <c r="N716" s="93"/>
      <c r="O716" s="93"/>
      <c r="P716" s="93"/>
      <c r="Q716" s="93"/>
      <c r="R716" s="93"/>
      <c r="S716" s="93"/>
      <c r="T716" s="93"/>
      <c r="U716" s="93"/>
      <c r="V716" s="93"/>
      <c r="W716" s="93"/>
    </row>
    <row r="717" spans="2:23" s="14" customFormat="1" ht="17.100000000000001" customHeight="1">
      <c r="B717" s="89"/>
      <c r="C717" s="90"/>
      <c r="D717" s="91"/>
      <c r="E717" s="92"/>
      <c r="F717" s="89"/>
      <c r="G717" s="89"/>
      <c r="H717" s="89"/>
      <c r="I717" s="89"/>
      <c r="J717" s="89"/>
      <c r="K717" s="89"/>
      <c r="L717" s="93"/>
      <c r="M717" s="93"/>
      <c r="N717" s="93"/>
      <c r="O717" s="93"/>
      <c r="P717" s="93"/>
      <c r="Q717" s="93"/>
      <c r="R717" s="93"/>
      <c r="S717" s="93"/>
      <c r="T717" s="93"/>
      <c r="U717" s="93"/>
      <c r="V717" s="93"/>
      <c r="W717" s="93"/>
    </row>
    <row r="718" spans="2:23" s="14" customFormat="1" ht="17.100000000000001" customHeight="1">
      <c r="B718" s="89"/>
      <c r="C718" s="90"/>
      <c r="D718" s="91"/>
      <c r="E718" s="92"/>
      <c r="F718" s="89"/>
      <c r="G718" s="89"/>
      <c r="H718" s="89"/>
      <c r="I718" s="89"/>
      <c r="J718" s="89"/>
      <c r="K718" s="89"/>
      <c r="L718" s="93"/>
      <c r="M718" s="93"/>
      <c r="N718" s="93"/>
      <c r="O718" s="93"/>
      <c r="P718" s="93"/>
      <c r="Q718" s="93"/>
      <c r="R718" s="93"/>
      <c r="S718" s="93"/>
      <c r="T718" s="93"/>
      <c r="U718" s="93"/>
      <c r="V718" s="93"/>
      <c r="W718" s="93"/>
    </row>
    <row r="719" spans="2:23" s="14" customFormat="1" ht="17.100000000000001" customHeight="1">
      <c r="B719" s="89"/>
      <c r="C719" s="90"/>
      <c r="D719" s="91"/>
      <c r="E719" s="92"/>
      <c r="F719" s="89"/>
      <c r="G719" s="89"/>
      <c r="H719" s="89"/>
      <c r="I719" s="89"/>
      <c r="J719" s="89"/>
      <c r="K719" s="89"/>
      <c r="L719" s="93"/>
      <c r="M719" s="93"/>
      <c r="N719" s="93"/>
      <c r="O719" s="93"/>
      <c r="P719" s="93"/>
      <c r="Q719" s="93"/>
      <c r="R719" s="93"/>
      <c r="S719" s="93"/>
      <c r="T719" s="93"/>
      <c r="U719" s="93"/>
      <c r="V719" s="93"/>
      <c r="W719" s="93"/>
    </row>
    <row r="720" spans="2:23" s="14" customFormat="1" ht="17.100000000000001" customHeight="1">
      <c r="B720" s="89"/>
      <c r="C720" s="90"/>
      <c r="D720" s="91"/>
      <c r="E720" s="92"/>
      <c r="F720" s="89"/>
      <c r="G720" s="89"/>
      <c r="H720" s="89"/>
      <c r="I720" s="89"/>
      <c r="J720" s="89"/>
      <c r="K720" s="89"/>
      <c r="L720" s="93"/>
      <c r="M720" s="93"/>
      <c r="N720" s="93"/>
      <c r="O720" s="93"/>
      <c r="P720" s="93"/>
      <c r="Q720" s="93"/>
      <c r="R720" s="93"/>
      <c r="S720" s="93"/>
      <c r="T720" s="93"/>
      <c r="U720" s="93"/>
      <c r="V720" s="93"/>
      <c r="W720" s="93"/>
    </row>
    <row r="721" spans="2:23" s="14" customFormat="1" ht="17.100000000000001" customHeight="1">
      <c r="B721" s="89"/>
      <c r="C721" s="90"/>
      <c r="D721" s="91"/>
      <c r="E721" s="92"/>
      <c r="F721" s="89"/>
      <c r="G721" s="89"/>
      <c r="H721" s="89"/>
      <c r="I721" s="89"/>
      <c r="J721" s="89"/>
      <c r="K721" s="89"/>
      <c r="L721" s="93"/>
      <c r="M721" s="93"/>
      <c r="N721" s="93"/>
      <c r="O721" s="93"/>
      <c r="P721" s="93"/>
      <c r="Q721" s="93"/>
      <c r="R721" s="93"/>
      <c r="S721" s="93"/>
      <c r="T721" s="93"/>
      <c r="U721" s="93"/>
      <c r="V721" s="93"/>
      <c r="W721" s="93"/>
    </row>
    <row r="722" spans="2:23" s="14" customFormat="1" ht="17.100000000000001" customHeight="1">
      <c r="B722" s="89"/>
      <c r="C722" s="90"/>
      <c r="D722" s="91"/>
      <c r="E722" s="92"/>
      <c r="F722" s="89"/>
      <c r="G722" s="89"/>
      <c r="H722" s="89"/>
      <c r="I722" s="89"/>
      <c r="J722" s="89"/>
      <c r="K722" s="89"/>
      <c r="L722" s="93"/>
      <c r="M722" s="93"/>
      <c r="N722" s="93"/>
      <c r="O722" s="93"/>
      <c r="P722" s="93"/>
      <c r="Q722" s="93"/>
      <c r="R722" s="93"/>
      <c r="S722" s="93"/>
      <c r="T722" s="93"/>
      <c r="U722" s="93"/>
      <c r="V722" s="93"/>
      <c r="W722" s="93"/>
    </row>
    <row r="723" spans="2:23" s="14" customFormat="1" ht="17.100000000000001" customHeight="1">
      <c r="B723" s="89"/>
      <c r="C723" s="90"/>
      <c r="D723" s="91"/>
      <c r="E723" s="92"/>
      <c r="F723" s="89"/>
      <c r="G723" s="89"/>
      <c r="H723" s="89"/>
      <c r="I723" s="89"/>
      <c r="J723" s="89"/>
      <c r="K723" s="89"/>
      <c r="L723" s="93"/>
      <c r="M723" s="93"/>
      <c r="N723" s="93"/>
      <c r="O723" s="93"/>
      <c r="P723" s="93"/>
      <c r="Q723" s="93"/>
      <c r="R723" s="93"/>
      <c r="S723" s="93"/>
      <c r="T723" s="93"/>
      <c r="U723" s="93"/>
      <c r="V723" s="93"/>
      <c r="W723" s="93"/>
    </row>
    <row r="724" spans="2:23" s="14" customFormat="1" ht="17.100000000000001" customHeight="1">
      <c r="B724" s="89"/>
      <c r="C724" s="90"/>
      <c r="D724" s="91"/>
      <c r="E724" s="92"/>
      <c r="F724" s="89"/>
      <c r="G724" s="89"/>
      <c r="H724" s="89"/>
      <c r="I724" s="89"/>
      <c r="J724" s="89"/>
      <c r="K724" s="89"/>
      <c r="L724" s="93"/>
      <c r="M724" s="93"/>
      <c r="N724" s="93"/>
      <c r="O724" s="93"/>
      <c r="P724" s="93"/>
      <c r="Q724" s="93"/>
      <c r="R724" s="93"/>
      <c r="S724" s="93"/>
      <c r="T724" s="93"/>
      <c r="U724" s="93"/>
      <c r="V724" s="93"/>
      <c r="W724" s="93"/>
    </row>
    <row r="725" spans="2:23" s="14" customFormat="1" ht="17.100000000000001" customHeight="1">
      <c r="B725" s="89"/>
      <c r="C725" s="90"/>
      <c r="D725" s="91"/>
      <c r="E725" s="92"/>
      <c r="F725" s="89"/>
      <c r="G725" s="89"/>
      <c r="H725" s="89"/>
      <c r="I725" s="89"/>
      <c r="J725" s="89"/>
      <c r="K725" s="89"/>
      <c r="L725" s="93"/>
      <c r="M725" s="93"/>
      <c r="N725" s="93"/>
      <c r="O725" s="93"/>
      <c r="P725" s="93"/>
      <c r="Q725" s="93"/>
      <c r="R725" s="93"/>
      <c r="S725" s="93"/>
      <c r="T725" s="93"/>
      <c r="U725" s="93"/>
      <c r="V725" s="93"/>
      <c r="W725" s="93"/>
    </row>
    <row r="726" spans="2:23" s="14" customFormat="1" ht="17.100000000000001" customHeight="1">
      <c r="B726" s="89"/>
      <c r="C726" s="90"/>
      <c r="D726" s="91"/>
      <c r="E726" s="92"/>
      <c r="F726" s="89"/>
      <c r="G726" s="89"/>
      <c r="H726" s="89"/>
      <c r="I726" s="89"/>
      <c r="J726" s="89"/>
      <c r="K726" s="89"/>
      <c r="L726" s="93"/>
      <c r="M726" s="93"/>
      <c r="N726" s="93"/>
      <c r="O726" s="93"/>
      <c r="P726" s="93"/>
      <c r="Q726" s="93"/>
      <c r="R726" s="93"/>
      <c r="S726" s="93"/>
      <c r="T726" s="93"/>
      <c r="U726" s="93"/>
      <c r="V726" s="93"/>
      <c r="W726" s="93"/>
    </row>
    <row r="727" spans="2:23" s="14" customFormat="1" ht="17.100000000000001" customHeight="1">
      <c r="B727" s="89"/>
      <c r="C727" s="90"/>
      <c r="D727" s="91"/>
      <c r="E727" s="92"/>
      <c r="F727" s="89"/>
      <c r="G727" s="89"/>
      <c r="H727" s="89"/>
      <c r="I727" s="89"/>
      <c r="J727" s="89"/>
      <c r="K727" s="89"/>
      <c r="L727" s="93"/>
      <c r="M727" s="93"/>
      <c r="N727" s="93"/>
      <c r="O727" s="93"/>
      <c r="P727" s="93"/>
      <c r="Q727" s="93"/>
      <c r="R727" s="93"/>
      <c r="S727" s="93"/>
      <c r="T727" s="93"/>
      <c r="U727" s="93"/>
      <c r="V727" s="93"/>
      <c r="W727" s="93"/>
    </row>
    <row r="728" spans="2:23" s="14" customFormat="1" ht="17.100000000000001" customHeight="1">
      <c r="B728" s="89"/>
      <c r="C728" s="90"/>
      <c r="D728" s="91"/>
      <c r="E728" s="92"/>
      <c r="F728" s="89"/>
      <c r="G728" s="89"/>
      <c r="H728" s="89"/>
      <c r="I728" s="89"/>
      <c r="J728" s="89"/>
      <c r="K728" s="89"/>
      <c r="L728" s="93"/>
      <c r="M728" s="93"/>
      <c r="N728" s="93"/>
      <c r="O728" s="93"/>
      <c r="P728" s="93"/>
      <c r="Q728" s="93"/>
      <c r="R728" s="93"/>
      <c r="S728" s="93"/>
      <c r="T728" s="93"/>
      <c r="U728" s="93"/>
      <c r="V728" s="93"/>
      <c r="W728" s="93"/>
    </row>
    <row r="729" spans="2:23" s="14" customFormat="1" ht="17.100000000000001" customHeight="1">
      <c r="B729" s="89"/>
      <c r="C729" s="90"/>
      <c r="D729" s="91"/>
      <c r="E729" s="92"/>
      <c r="F729" s="89"/>
      <c r="G729" s="89"/>
      <c r="H729" s="89"/>
      <c r="I729" s="89"/>
      <c r="J729" s="89"/>
      <c r="K729" s="89"/>
      <c r="L729" s="93"/>
      <c r="M729" s="93"/>
      <c r="N729" s="93"/>
      <c r="O729" s="93"/>
      <c r="P729" s="93"/>
      <c r="Q729" s="93"/>
      <c r="R729" s="93"/>
      <c r="S729" s="93"/>
      <c r="T729" s="93"/>
      <c r="U729" s="93"/>
      <c r="V729" s="93"/>
      <c r="W729" s="93"/>
    </row>
    <row r="730" spans="2:23" s="14" customFormat="1" ht="17.100000000000001" customHeight="1">
      <c r="B730" s="89"/>
      <c r="C730" s="90"/>
      <c r="D730" s="91"/>
      <c r="E730" s="92"/>
      <c r="F730" s="89"/>
      <c r="G730" s="89"/>
      <c r="H730" s="89"/>
      <c r="I730" s="89"/>
      <c r="J730" s="89"/>
      <c r="K730" s="89"/>
      <c r="L730" s="93"/>
      <c r="M730" s="93"/>
      <c r="N730" s="93"/>
      <c r="O730" s="93"/>
      <c r="P730" s="93"/>
      <c r="Q730" s="93"/>
      <c r="R730" s="93"/>
      <c r="S730" s="93"/>
      <c r="T730" s="93"/>
      <c r="U730" s="93"/>
      <c r="V730" s="93"/>
      <c r="W730" s="93"/>
    </row>
    <row r="731" spans="2:23" s="14" customFormat="1" ht="17.100000000000001" customHeight="1">
      <c r="B731" s="89"/>
      <c r="C731" s="90"/>
      <c r="D731" s="91"/>
      <c r="E731" s="92"/>
      <c r="F731" s="89"/>
      <c r="G731" s="89"/>
      <c r="H731" s="89"/>
      <c r="I731" s="89"/>
      <c r="J731" s="89"/>
      <c r="K731" s="89"/>
      <c r="L731" s="93"/>
      <c r="M731" s="93"/>
      <c r="N731" s="93"/>
      <c r="O731" s="93"/>
      <c r="P731" s="93"/>
      <c r="Q731" s="93"/>
      <c r="R731" s="93"/>
      <c r="S731" s="93"/>
      <c r="T731" s="93"/>
      <c r="U731" s="93"/>
      <c r="V731" s="93"/>
      <c r="W731" s="93"/>
    </row>
    <row r="732" spans="2:23" s="14" customFormat="1" ht="17.100000000000001" customHeight="1">
      <c r="B732" s="89"/>
      <c r="C732" s="90"/>
      <c r="D732" s="91"/>
      <c r="E732" s="92"/>
      <c r="F732" s="89"/>
      <c r="G732" s="89"/>
      <c r="H732" s="89"/>
      <c r="I732" s="89"/>
      <c r="J732" s="89"/>
      <c r="K732" s="89"/>
      <c r="L732" s="93"/>
      <c r="M732" s="93"/>
      <c r="N732" s="93"/>
      <c r="O732" s="93"/>
      <c r="P732" s="93"/>
      <c r="Q732" s="93"/>
      <c r="R732" s="93"/>
      <c r="S732" s="93"/>
      <c r="T732" s="93"/>
      <c r="U732" s="93"/>
      <c r="V732" s="93"/>
      <c r="W732" s="93"/>
    </row>
    <row r="733" spans="2:23" s="14" customFormat="1" ht="17.100000000000001" customHeight="1">
      <c r="B733" s="89"/>
      <c r="C733" s="90"/>
      <c r="D733" s="91"/>
      <c r="E733" s="92"/>
      <c r="F733" s="89"/>
      <c r="G733" s="89"/>
      <c r="H733" s="89"/>
      <c r="I733" s="89"/>
      <c r="J733" s="89"/>
      <c r="K733" s="89"/>
      <c r="L733" s="93"/>
      <c r="M733" s="93"/>
      <c r="N733" s="93"/>
      <c r="O733" s="93"/>
      <c r="P733" s="93"/>
      <c r="Q733" s="93"/>
      <c r="R733" s="93"/>
      <c r="S733" s="93"/>
      <c r="T733" s="93"/>
      <c r="U733" s="93"/>
      <c r="V733" s="93"/>
      <c r="W733" s="93"/>
    </row>
    <row r="734" spans="2:23" s="14" customFormat="1" ht="17.100000000000001" customHeight="1">
      <c r="B734" s="89"/>
      <c r="C734" s="90"/>
      <c r="D734" s="91"/>
      <c r="E734" s="92"/>
      <c r="F734" s="89"/>
      <c r="G734" s="89"/>
      <c r="H734" s="89"/>
      <c r="I734" s="89"/>
      <c r="J734" s="89"/>
      <c r="K734" s="89"/>
      <c r="L734" s="93"/>
      <c r="M734" s="93"/>
      <c r="N734" s="93"/>
      <c r="O734" s="93"/>
      <c r="P734" s="93"/>
      <c r="Q734" s="93"/>
      <c r="R734" s="93"/>
      <c r="S734" s="93"/>
      <c r="T734" s="93"/>
      <c r="U734" s="93"/>
      <c r="V734" s="93"/>
      <c r="W734" s="93"/>
    </row>
    <row r="735" spans="2:23" s="14" customFormat="1" ht="17.100000000000001" customHeight="1">
      <c r="B735" s="89"/>
      <c r="C735" s="90"/>
      <c r="D735" s="91"/>
      <c r="E735" s="92"/>
      <c r="F735" s="89"/>
      <c r="G735" s="89"/>
      <c r="H735" s="89"/>
      <c r="I735" s="89"/>
      <c r="J735" s="89"/>
      <c r="K735" s="89"/>
      <c r="L735" s="93"/>
      <c r="M735" s="93"/>
      <c r="N735" s="93"/>
      <c r="O735" s="93"/>
      <c r="P735" s="93"/>
      <c r="Q735" s="93"/>
      <c r="R735" s="93"/>
      <c r="S735" s="93"/>
      <c r="T735" s="93"/>
      <c r="U735" s="93"/>
      <c r="V735" s="93"/>
      <c r="W735" s="93"/>
    </row>
    <row r="736" spans="2:23" s="14" customFormat="1" ht="17.100000000000001" customHeight="1">
      <c r="B736" s="89"/>
      <c r="C736" s="90"/>
      <c r="D736" s="91"/>
      <c r="E736" s="92"/>
      <c r="F736" s="89"/>
      <c r="G736" s="89"/>
      <c r="H736" s="89"/>
      <c r="I736" s="89"/>
      <c r="J736" s="89"/>
      <c r="K736" s="89"/>
      <c r="L736" s="93"/>
      <c r="M736" s="93"/>
      <c r="N736" s="93"/>
      <c r="O736" s="93"/>
      <c r="P736" s="93"/>
      <c r="Q736" s="93"/>
      <c r="R736" s="93"/>
      <c r="S736" s="93"/>
      <c r="T736" s="93"/>
      <c r="U736" s="93"/>
      <c r="V736" s="93"/>
      <c r="W736" s="93"/>
    </row>
    <row r="737" spans="2:23" s="14" customFormat="1" ht="17.100000000000001" customHeight="1">
      <c r="B737" s="89"/>
      <c r="C737" s="90"/>
      <c r="D737" s="91"/>
      <c r="E737" s="92"/>
      <c r="F737" s="89"/>
      <c r="G737" s="89"/>
      <c r="H737" s="89"/>
      <c r="I737" s="89"/>
      <c r="J737" s="89"/>
      <c r="K737" s="89"/>
      <c r="L737" s="93"/>
      <c r="M737" s="93"/>
      <c r="N737" s="93"/>
      <c r="O737" s="93"/>
      <c r="P737" s="93"/>
      <c r="Q737" s="93"/>
      <c r="R737" s="93"/>
      <c r="S737" s="93"/>
      <c r="T737" s="93"/>
      <c r="U737" s="93"/>
      <c r="V737" s="93"/>
      <c r="W737" s="93"/>
    </row>
    <row r="738" spans="2:23" s="14" customFormat="1" ht="17.100000000000001" customHeight="1">
      <c r="B738" s="89"/>
      <c r="C738" s="90"/>
      <c r="D738" s="91"/>
      <c r="E738" s="92"/>
      <c r="F738" s="89"/>
      <c r="G738" s="89"/>
      <c r="H738" s="89"/>
      <c r="I738" s="89"/>
      <c r="J738" s="89"/>
      <c r="K738" s="89"/>
      <c r="L738" s="93"/>
      <c r="M738" s="93"/>
      <c r="N738" s="93"/>
      <c r="O738" s="93"/>
      <c r="P738" s="93"/>
      <c r="Q738" s="93"/>
      <c r="R738" s="93"/>
      <c r="S738" s="93"/>
      <c r="T738" s="93"/>
      <c r="U738" s="93"/>
      <c r="V738" s="93"/>
      <c r="W738" s="93"/>
    </row>
    <row r="739" spans="2:23" s="14" customFormat="1" ht="17.100000000000001" customHeight="1">
      <c r="B739" s="89"/>
      <c r="C739" s="90"/>
      <c r="D739" s="91"/>
      <c r="E739" s="92"/>
      <c r="F739" s="89"/>
      <c r="G739" s="89"/>
      <c r="H739" s="89"/>
      <c r="I739" s="89"/>
      <c r="J739" s="89"/>
      <c r="K739" s="89"/>
      <c r="L739" s="93"/>
      <c r="M739" s="93"/>
      <c r="N739" s="93"/>
      <c r="O739" s="93"/>
      <c r="P739" s="93"/>
      <c r="Q739" s="93"/>
      <c r="R739" s="93"/>
      <c r="S739" s="93"/>
      <c r="T739" s="93"/>
      <c r="U739" s="93"/>
      <c r="V739" s="93"/>
      <c r="W739" s="93"/>
    </row>
    <row r="740" spans="2:23" s="14" customFormat="1" ht="17.100000000000001" customHeight="1">
      <c r="B740" s="89"/>
      <c r="C740" s="90"/>
      <c r="D740" s="91"/>
      <c r="E740" s="92"/>
      <c r="F740" s="89"/>
      <c r="G740" s="89"/>
      <c r="H740" s="89"/>
      <c r="I740" s="89"/>
      <c r="J740" s="89"/>
      <c r="K740" s="89"/>
      <c r="L740" s="93"/>
      <c r="M740" s="93"/>
      <c r="N740" s="93"/>
      <c r="O740" s="93"/>
      <c r="P740" s="93"/>
      <c r="Q740" s="93"/>
      <c r="R740" s="93"/>
      <c r="S740" s="93"/>
      <c r="T740" s="93"/>
      <c r="U740" s="93"/>
      <c r="V740" s="93"/>
      <c r="W740" s="93"/>
    </row>
    <row r="741" spans="2:23" s="14" customFormat="1" ht="17.100000000000001" customHeight="1">
      <c r="B741" s="89"/>
      <c r="C741" s="90"/>
      <c r="D741" s="91"/>
      <c r="E741" s="92"/>
      <c r="F741" s="89"/>
      <c r="G741" s="89"/>
      <c r="H741" s="89"/>
      <c r="I741" s="89"/>
      <c r="J741" s="89"/>
      <c r="K741" s="89"/>
      <c r="L741" s="93"/>
      <c r="M741" s="93"/>
      <c r="N741" s="93"/>
      <c r="O741" s="93"/>
      <c r="P741" s="93"/>
      <c r="Q741" s="93"/>
      <c r="R741" s="93"/>
      <c r="S741" s="93"/>
      <c r="T741" s="93"/>
      <c r="U741" s="93"/>
      <c r="V741" s="93"/>
      <c r="W741" s="93"/>
    </row>
    <row r="742" spans="2:23" s="14" customFormat="1" ht="17.100000000000001" customHeight="1">
      <c r="B742" s="89"/>
      <c r="C742" s="90"/>
      <c r="D742" s="91"/>
      <c r="E742" s="92"/>
      <c r="F742" s="89"/>
      <c r="G742" s="89"/>
      <c r="H742" s="89"/>
      <c r="I742" s="89"/>
      <c r="J742" s="89"/>
      <c r="K742" s="89"/>
      <c r="L742" s="93"/>
      <c r="M742" s="93"/>
      <c r="N742" s="93"/>
      <c r="O742" s="93"/>
      <c r="P742" s="93"/>
      <c r="Q742" s="93"/>
      <c r="R742" s="93"/>
      <c r="S742" s="93"/>
      <c r="T742" s="93"/>
      <c r="U742" s="93"/>
      <c r="V742" s="93"/>
      <c r="W742" s="93"/>
    </row>
    <row r="743" spans="2:23" s="14" customFormat="1" ht="17.100000000000001" customHeight="1">
      <c r="B743" s="89"/>
      <c r="C743" s="90"/>
      <c r="D743" s="91"/>
      <c r="E743" s="92"/>
      <c r="F743" s="89"/>
      <c r="G743" s="89"/>
      <c r="H743" s="89"/>
      <c r="I743" s="89"/>
      <c r="J743" s="89"/>
      <c r="K743" s="89"/>
      <c r="L743" s="93"/>
      <c r="M743" s="93"/>
      <c r="N743" s="93"/>
      <c r="O743" s="93"/>
      <c r="P743" s="93"/>
      <c r="Q743" s="93"/>
      <c r="R743" s="93"/>
      <c r="S743" s="93"/>
      <c r="T743" s="93"/>
      <c r="U743" s="93"/>
      <c r="V743" s="93"/>
      <c r="W743" s="93"/>
    </row>
    <row r="744" spans="2:23" s="14" customFormat="1" ht="17.100000000000001" customHeight="1">
      <c r="B744" s="89"/>
      <c r="C744" s="90"/>
      <c r="D744" s="91"/>
      <c r="E744" s="92"/>
      <c r="F744" s="89"/>
      <c r="G744" s="89"/>
      <c r="H744" s="89"/>
      <c r="I744" s="89"/>
      <c r="J744" s="89"/>
      <c r="K744" s="89"/>
      <c r="L744" s="93"/>
      <c r="M744" s="93"/>
      <c r="N744" s="93"/>
      <c r="O744" s="93"/>
      <c r="P744" s="93"/>
      <c r="Q744" s="93"/>
      <c r="R744" s="93"/>
      <c r="S744" s="93"/>
      <c r="T744" s="93"/>
      <c r="U744" s="93"/>
      <c r="V744" s="93"/>
      <c r="W744" s="93"/>
    </row>
    <row r="745" spans="2:23" s="14" customFormat="1" ht="17.100000000000001" customHeight="1">
      <c r="B745" s="89"/>
      <c r="C745" s="90"/>
      <c r="D745" s="91"/>
      <c r="E745" s="92"/>
      <c r="F745" s="89"/>
      <c r="G745" s="89"/>
      <c r="H745" s="89"/>
      <c r="I745" s="89"/>
      <c r="J745" s="89"/>
      <c r="K745" s="89"/>
      <c r="L745" s="93"/>
      <c r="M745" s="93"/>
      <c r="N745" s="93"/>
      <c r="O745" s="93"/>
      <c r="P745" s="93"/>
      <c r="Q745" s="93"/>
      <c r="R745" s="93"/>
      <c r="S745" s="93"/>
      <c r="T745" s="93"/>
      <c r="U745" s="93"/>
      <c r="V745" s="93"/>
      <c r="W745" s="93"/>
    </row>
    <row r="746" spans="2:23" s="14" customFormat="1" ht="17.100000000000001" customHeight="1">
      <c r="B746" s="89"/>
      <c r="C746" s="90"/>
      <c r="D746" s="91"/>
      <c r="E746" s="92"/>
      <c r="F746" s="89"/>
      <c r="G746" s="89"/>
      <c r="H746" s="89"/>
      <c r="I746" s="89"/>
      <c r="J746" s="89"/>
      <c r="K746" s="89"/>
      <c r="L746" s="93"/>
      <c r="M746" s="93"/>
      <c r="N746" s="93"/>
      <c r="O746" s="93"/>
      <c r="P746" s="93"/>
      <c r="Q746" s="93"/>
      <c r="R746" s="93"/>
      <c r="S746" s="93"/>
      <c r="T746" s="93"/>
      <c r="U746" s="93"/>
      <c r="V746" s="93"/>
      <c r="W746" s="93"/>
    </row>
    <row r="747" spans="2:23" s="14" customFormat="1" ht="17.100000000000001" customHeight="1">
      <c r="B747" s="89"/>
      <c r="C747" s="90"/>
      <c r="D747" s="91"/>
      <c r="E747" s="92"/>
      <c r="F747" s="89"/>
      <c r="G747" s="89"/>
      <c r="H747" s="89"/>
      <c r="I747" s="89"/>
      <c r="J747" s="89"/>
      <c r="K747" s="89"/>
      <c r="L747" s="93"/>
      <c r="M747" s="93"/>
      <c r="N747" s="93"/>
      <c r="O747" s="93"/>
      <c r="P747" s="93"/>
      <c r="Q747" s="93"/>
      <c r="R747" s="93"/>
      <c r="S747" s="93"/>
      <c r="T747" s="93"/>
      <c r="U747" s="93"/>
      <c r="V747" s="93"/>
      <c r="W747" s="93"/>
    </row>
    <row r="748" spans="2:23" s="14" customFormat="1" ht="17.100000000000001" customHeight="1">
      <c r="B748" s="89"/>
      <c r="C748" s="90"/>
      <c r="D748" s="91"/>
      <c r="E748" s="92"/>
      <c r="F748" s="89"/>
      <c r="G748" s="89"/>
      <c r="H748" s="89"/>
      <c r="I748" s="89"/>
      <c r="J748" s="89"/>
      <c r="K748" s="89"/>
      <c r="L748" s="93"/>
      <c r="M748" s="93"/>
      <c r="N748" s="93"/>
      <c r="O748" s="93"/>
      <c r="P748" s="93"/>
      <c r="Q748" s="93"/>
      <c r="R748" s="93"/>
      <c r="S748" s="93"/>
      <c r="T748" s="93"/>
      <c r="U748" s="93"/>
      <c r="V748" s="93"/>
      <c r="W748" s="93"/>
    </row>
    <row r="749" spans="2:23" s="14" customFormat="1" ht="17.100000000000001" customHeight="1">
      <c r="B749" s="89"/>
      <c r="C749" s="90"/>
      <c r="D749" s="91"/>
      <c r="E749" s="92"/>
      <c r="F749" s="89"/>
      <c r="G749" s="89"/>
      <c r="H749" s="89"/>
      <c r="I749" s="89"/>
      <c r="J749" s="89"/>
      <c r="K749" s="89"/>
      <c r="L749" s="93"/>
      <c r="M749" s="93"/>
      <c r="N749" s="93"/>
      <c r="O749" s="93"/>
      <c r="P749" s="93"/>
      <c r="Q749" s="93"/>
      <c r="R749" s="93"/>
      <c r="S749" s="93"/>
      <c r="T749" s="93"/>
      <c r="U749" s="93"/>
      <c r="V749" s="93"/>
      <c r="W749" s="93"/>
    </row>
    <row r="750" spans="2:23" s="14" customFormat="1" ht="17.100000000000001" customHeight="1">
      <c r="B750" s="89"/>
      <c r="C750" s="90"/>
      <c r="D750" s="91"/>
      <c r="E750" s="92"/>
      <c r="F750" s="89"/>
      <c r="G750" s="89"/>
      <c r="H750" s="89"/>
      <c r="I750" s="89"/>
      <c r="J750" s="89"/>
      <c r="K750" s="89"/>
      <c r="L750" s="93"/>
      <c r="M750" s="93"/>
      <c r="N750" s="93"/>
      <c r="O750" s="93"/>
      <c r="P750" s="93"/>
      <c r="Q750" s="93"/>
      <c r="R750" s="93"/>
      <c r="S750" s="93"/>
      <c r="T750" s="93"/>
      <c r="U750" s="93"/>
      <c r="V750" s="93"/>
      <c r="W750" s="93"/>
    </row>
    <row r="751" spans="2:23" s="14" customFormat="1" ht="17.100000000000001" customHeight="1">
      <c r="B751" s="89"/>
      <c r="C751" s="90"/>
      <c r="D751" s="91"/>
      <c r="E751" s="92"/>
      <c r="F751" s="89"/>
      <c r="G751" s="89"/>
      <c r="H751" s="89"/>
      <c r="I751" s="89"/>
      <c r="J751" s="89"/>
      <c r="K751" s="89"/>
      <c r="L751" s="93"/>
      <c r="M751" s="93"/>
      <c r="N751" s="93"/>
      <c r="O751" s="93"/>
      <c r="P751" s="93"/>
      <c r="Q751" s="93"/>
      <c r="R751" s="93"/>
      <c r="S751" s="93"/>
      <c r="T751" s="93"/>
      <c r="U751" s="93"/>
      <c r="V751" s="93"/>
      <c r="W751" s="93"/>
    </row>
    <row r="752" spans="2:23" s="14" customFormat="1" ht="17.100000000000001" customHeight="1">
      <c r="B752" s="89"/>
      <c r="C752" s="90"/>
      <c r="D752" s="91"/>
      <c r="E752" s="92"/>
      <c r="F752" s="89"/>
      <c r="G752" s="89"/>
      <c r="H752" s="89"/>
      <c r="I752" s="89"/>
      <c r="J752" s="89"/>
      <c r="K752" s="89"/>
      <c r="L752" s="93"/>
      <c r="M752" s="93"/>
      <c r="N752" s="93"/>
      <c r="O752" s="93"/>
      <c r="P752" s="93"/>
      <c r="Q752" s="93"/>
      <c r="R752" s="93"/>
      <c r="S752" s="93"/>
      <c r="T752" s="93"/>
      <c r="U752" s="93"/>
      <c r="V752" s="93"/>
      <c r="W752" s="93"/>
    </row>
    <row r="753" spans="2:23" s="14" customFormat="1" ht="17.100000000000001" customHeight="1">
      <c r="B753" s="89"/>
      <c r="C753" s="90"/>
      <c r="D753" s="91"/>
      <c r="E753" s="92"/>
      <c r="F753" s="89"/>
      <c r="G753" s="89"/>
      <c r="H753" s="89"/>
      <c r="I753" s="89"/>
      <c r="J753" s="89"/>
      <c r="K753" s="89"/>
      <c r="L753" s="93"/>
      <c r="M753" s="93"/>
      <c r="N753" s="93"/>
      <c r="O753" s="93"/>
      <c r="P753" s="93"/>
      <c r="Q753" s="93"/>
      <c r="R753" s="93"/>
      <c r="S753" s="93"/>
      <c r="T753" s="93"/>
      <c r="U753" s="93"/>
      <c r="V753" s="93"/>
      <c r="W753" s="93"/>
    </row>
    <row r="754" spans="2:23" s="14" customFormat="1" ht="17.100000000000001" customHeight="1">
      <c r="B754" s="89"/>
      <c r="C754" s="90"/>
      <c r="D754" s="91"/>
      <c r="E754" s="92"/>
      <c r="F754" s="89"/>
      <c r="G754" s="89"/>
      <c r="H754" s="89"/>
      <c r="I754" s="89"/>
      <c r="J754" s="89"/>
      <c r="K754" s="89"/>
      <c r="L754" s="93"/>
      <c r="M754" s="93"/>
      <c r="N754" s="93"/>
      <c r="O754" s="93"/>
      <c r="P754" s="93"/>
      <c r="Q754" s="93"/>
      <c r="R754" s="93"/>
      <c r="S754" s="93"/>
      <c r="T754" s="93"/>
      <c r="U754" s="93"/>
      <c r="V754" s="93"/>
      <c r="W754" s="93"/>
    </row>
    <row r="755" spans="2:23" s="14" customFormat="1" ht="17.100000000000001" customHeight="1">
      <c r="B755" s="89"/>
      <c r="C755" s="90"/>
      <c r="D755" s="91"/>
      <c r="E755" s="92"/>
      <c r="F755" s="89"/>
      <c r="G755" s="89"/>
      <c r="H755" s="89"/>
      <c r="I755" s="89"/>
      <c r="J755" s="89"/>
      <c r="K755" s="89"/>
      <c r="L755" s="93"/>
      <c r="M755" s="93"/>
      <c r="N755" s="93"/>
      <c r="O755" s="93"/>
      <c r="P755" s="93"/>
      <c r="Q755" s="93"/>
      <c r="R755" s="93"/>
      <c r="S755" s="93"/>
      <c r="T755" s="93"/>
      <c r="U755" s="93"/>
      <c r="V755" s="93"/>
      <c r="W755" s="93"/>
    </row>
    <row r="756" spans="2:23" s="14" customFormat="1" ht="17.100000000000001" customHeight="1">
      <c r="B756" s="89"/>
      <c r="C756" s="90"/>
      <c r="D756" s="91"/>
      <c r="E756" s="92"/>
      <c r="F756" s="89"/>
      <c r="G756" s="89"/>
      <c r="H756" s="89"/>
      <c r="I756" s="89"/>
      <c r="J756" s="89"/>
      <c r="K756" s="89"/>
      <c r="L756" s="93"/>
      <c r="M756" s="93"/>
      <c r="N756" s="93"/>
      <c r="O756" s="93"/>
      <c r="P756" s="93"/>
      <c r="Q756" s="93"/>
      <c r="R756" s="93"/>
      <c r="S756" s="93"/>
      <c r="T756" s="93"/>
      <c r="U756" s="93"/>
      <c r="V756" s="93"/>
      <c r="W756" s="93"/>
    </row>
    <row r="757" spans="2:23" s="14" customFormat="1" ht="17.100000000000001" customHeight="1">
      <c r="B757" s="89"/>
      <c r="C757" s="90"/>
      <c r="D757" s="91"/>
      <c r="E757" s="92"/>
      <c r="F757" s="89"/>
      <c r="G757" s="89"/>
      <c r="H757" s="89"/>
      <c r="I757" s="89"/>
      <c r="J757" s="89"/>
      <c r="K757" s="89"/>
      <c r="L757" s="93"/>
      <c r="M757" s="93"/>
      <c r="N757" s="93"/>
      <c r="O757" s="93"/>
      <c r="P757" s="93"/>
      <c r="Q757" s="93"/>
      <c r="R757" s="93"/>
      <c r="S757" s="93"/>
      <c r="T757" s="93"/>
      <c r="U757" s="93"/>
      <c r="V757" s="93"/>
      <c r="W757" s="93"/>
    </row>
    <row r="758" spans="2:23" s="14" customFormat="1" ht="17.100000000000001" customHeight="1">
      <c r="B758" s="89"/>
      <c r="C758" s="90"/>
      <c r="D758" s="91"/>
      <c r="E758" s="92"/>
      <c r="F758" s="89"/>
      <c r="G758" s="89"/>
      <c r="H758" s="89"/>
      <c r="I758" s="89"/>
      <c r="J758" s="89"/>
      <c r="K758" s="89"/>
      <c r="L758" s="93"/>
      <c r="M758" s="93"/>
      <c r="N758" s="93"/>
      <c r="O758" s="93"/>
      <c r="P758" s="93"/>
      <c r="Q758" s="93"/>
      <c r="R758" s="93"/>
      <c r="S758" s="93"/>
      <c r="T758" s="93"/>
      <c r="U758" s="93"/>
      <c r="V758" s="93"/>
      <c r="W758" s="93"/>
    </row>
    <row r="759" spans="2:23" s="14" customFormat="1" ht="17.100000000000001" customHeight="1">
      <c r="B759" s="89"/>
      <c r="C759" s="90"/>
      <c r="D759" s="91"/>
      <c r="E759" s="92"/>
      <c r="F759" s="89"/>
      <c r="G759" s="89"/>
      <c r="H759" s="89"/>
      <c r="I759" s="89"/>
      <c r="J759" s="89"/>
      <c r="K759" s="89"/>
      <c r="L759" s="93"/>
      <c r="M759" s="93"/>
      <c r="N759" s="93"/>
      <c r="O759" s="93"/>
      <c r="P759" s="93"/>
      <c r="Q759" s="93"/>
      <c r="R759" s="93"/>
      <c r="S759" s="93"/>
      <c r="T759" s="93"/>
      <c r="U759" s="93"/>
      <c r="V759" s="93"/>
      <c r="W759" s="93"/>
    </row>
    <row r="760" spans="2:23" s="14" customFormat="1" ht="17.100000000000001" customHeight="1">
      <c r="B760" s="89"/>
      <c r="C760" s="90"/>
      <c r="D760" s="91"/>
      <c r="E760" s="92"/>
      <c r="F760" s="89"/>
      <c r="G760" s="89"/>
      <c r="H760" s="89"/>
      <c r="I760" s="89"/>
      <c r="J760" s="89"/>
      <c r="K760" s="89"/>
      <c r="L760" s="93"/>
      <c r="M760" s="93"/>
      <c r="N760" s="93"/>
      <c r="O760" s="93"/>
      <c r="P760" s="93"/>
      <c r="Q760" s="93"/>
      <c r="R760" s="93"/>
      <c r="S760" s="93"/>
      <c r="T760" s="93"/>
      <c r="U760" s="93"/>
      <c r="V760" s="93"/>
      <c r="W760" s="93"/>
    </row>
    <row r="761" spans="2:23" s="14" customFormat="1" ht="17.100000000000001" customHeight="1">
      <c r="B761" s="89"/>
      <c r="C761" s="90"/>
      <c r="D761" s="91"/>
      <c r="E761" s="92"/>
      <c r="F761" s="89"/>
      <c r="G761" s="89"/>
      <c r="H761" s="89"/>
      <c r="I761" s="89"/>
      <c r="J761" s="89"/>
      <c r="K761" s="89"/>
      <c r="L761" s="93"/>
      <c r="M761" s="93"/>
      <c r="N761" s="93"/>
      <c r="O761" s="93"/>
      <c r="P761" s="93"/>
      <c r="Q761" s="93"/>
      <c r="R761" s="93"/>
      <c r="S761" s="93"/>
      <c r="T761" s="93"/>
      <c r="U761" s="93"/>
      <c r="V761" s="93"/>
      <c r="W761" s="93"/>
    </row>
    <row r="762" spans="2:23" s="14" customFormat="1" ht="17.100000000000001" customHeight="1">
      <c r="B762" s="89"/>
      <c r="C762" s="90"/>
      <c r="D762" s="91"/>
      <c r="E762" s="92"/>
      <c r="F762" s="89"/>
      <c r="G762" s="89"/>
      <c r="H762" s="89"/>
      <c r="I762" s="89"/>
      <c r="J762" s="89"/>
      <c r="K762" s="89"/>
      <c r="L762" s="93"/>
      <c r="M762" s="93"/>
      <c r="N762" s="93"/>
      <c r="O762" s="93"/>
      <c r="P762" s="93"/>
      <c r="Q762" s="93"/>
      <c r="R762" s="93"/>
      <c r="S762" s="93"/>
      <c r="T762" s="93"/>
      <c r="U762" s="93"/>
      <c r="V762" s="93"/>
      <c r="W762" s="93"/>
    </row>
    <row r="763" spans="2:23" s="14" customFormat="1" ht="17.100000000000001" customHeight="1">
      <c r="B763" s="89"/>
      <c r="C763" s="90"/>
      <c r="D763" s="91"/>
      <c r="E763" s="92"/>
      <c r="F763" s="89"/>
      <c r="G763" s="89"/>
      <c r="H763" s="89"/>
      <c r="I763" s="89"/>
      <c r="J763" s="89"/>
      <c r="K763" s="89"/>
      <c r="L763" s="93"/>
      <c r="M763" s="93"/>
      <c r="N763" s="93"/>
      <c r="O763" s="93"/>
      <c r="P763" s="93"/>
      <c r="Q763" s="93"/>
      <c r="R763" s="93"/>
      <c r="S763" s="93"/>
      <c r="T763" s="93"/>
      <c r="U763" s="93"/>
      <c r="V763" s="93"/>
      <c r="W763" s="93"/>
    </row>
    <row r="764" spans="2:23" s="14" customFormat="1" ht="17.100000000000001" customHeight="1">
      <c r="B764" s="89"/>
      <c r="C764" s="90"/>
      <c r="D764" s="91"/>
      <c r="E764" s="92"/>
      <c r="F764" s="89"/>
      <c r="G764" s="89"/>
      <c r="H764" s="89"/>
      <c r="I764" s="89"/>
      <c r="J764" s="89"/>
      <c r="K764" s="89"/>
      <c r="L764" s="93"/>
      <c r="M764" s="93"/>
      <c r="N764" s="93"/>
      <c r="O764" s="93"/>
      <c r="P764" s="93"/>
      <c r="Q764" s="93"/>
      <c r="R764" s="93"/>
      <c r="S764" s="93"/>
      <c r="T764" s="93"/>
      <c r="U764" s="93"/>
      <c r="V764" s="93"/>
      <c r="W764" s="93"/>
    </row>
    <row r="765" spans="2:23" s="14" customFormat="1" ht="17.100000000000001" customHeight="1">
      <c r="B765" s="89"/>
      <c r="C765" s="90"/>
      <c r="D765" s="91"/>
      <c r="E765" s="92"/>
      <c r="F765" s="89"/>
      <c r="G765" s="89"/>
      <c r="H765" s="89"/>
      <c r="I765" s="89"/>
      <c r="J765" s="89"/>
      <c r="K765" s="89"/>
      <c r="L765" s="93"/>
      <c r="M765" s="93"/>
      <c r="N765" s="93"/>
      <c r="O765" s="93"/>
      <c r="P765" s="93"/>
      <c r="Q765" s="93"/>
      <c r="R765" s="93"/>
      <c r="S765" s="93"/>
      <c r="T765" s="93"/>
      <c r="U765" s="93"/>
      <c r="V765" s="93"/>
      <c r="W765" s="93"/>
    </row>
    <row r="766" spans="2:23" s="14" customFormat="1" ht="17.100000000000001" customHeight="1">
      <c r="B766" s="89"/>
      <c r="C766" s="90"/>
      <c r="D766" s="91"/>
      <c r="E766" s="92"/>
      <c r="F766" s="89"/>
      <c r="G766" s="89"/>
      <c r="H766" s="89"/>
      <c r="I766" s="89"/>
      <c r="J766" s="89"/>
      <c r="K766" s="89"/>
      <c r="L766" s="93"/>
      <c r="M766" s="93"/>
      <c r="N766" s="93"/>
      <c r="O766" s="93"/>
      <c r="P766" s="93"/>
      <c r="Q766" s="93"/>
      <c r="R766" s="93"/>
      <c r="S766" s="93"/>
      <c r="T766" s="93"/>
      <c r="U766" s="93"/>
      <c r="V766" s="93"/>
      <c r="W766" s="93"/>
    </row>
    <row r="767" spans="2:23" s="14" customFormat="1" ht="17.100000000000001" customHeight="1">
      <c r="B767" s="89"/>
      <c r="C767" s="90"/>
      <c r="D767" s="91"/>
      <c r="E767" s="92"/>
      <c r="F767" s="89"/>
      <c r="G767" s="89"/>
      <c r="H767" s="89"/>
      <c r="I767" s="89"/>
      <c r="J767" s="89"/>
      <c r="K767" s="89"/>
      <c r="L767" s="93"/>
      <c r="M767" s="93"/>
      <c r="N767" s="93"/>
      <c r="O767" s="93"/>
      <c r="P767" s="93"/>
      <c r="Q767" s="93"/>
      <c r="R767" s="93"/>
      <c r="S767" s="93"/>
      <c r="T767" s="93"/>
      <c r="U767" s="93"/>
      <c r="V767" s="93"/>
      <c r="W767" s="93"/>
    </row>
    <row r="768" spans="2:23" s="14" customFormat="1" ht="17.100000000000001" customHeight="1">
      <c r="B768" s="89"/>
      <c r="C768" s="90"/>
      <c r="D768" s="91"/>
      <c r="E768" s="92"/>
      <c r="F768" s="89"/>
      <c r="G768" s="89"/>
      <c r="H768" s="89"/>
      <c r="I768" s="89"/>
      <c r="J768" s="89"/>
      <c r="K768" s="89"/>
      <c r="L768" s="93"/>
      <c r="M768" s="93"/>
      <c r="N768" s="93"/>
      <c r="O768" s="93"/>
      <c r="P768" s="93"/>
      <c r="Q768" s="93"/>
      <c r="R768" s="93"/>
      <c r="S768" s="93"/>
      <c r="T768" s="93"/>
      <c r="U768" s="93"/>
      <c r="V768" s="93"/>
      <c r="W768" s="93"/>
    </row>
    <row r="769" spans="2:23" s="14" customFormat="1" ht="17.100000000000001" customHeight="1">
      <c r="B769" s="89"/>
      <c r="C769" s="90"/>
      <c r="D769" s="91"/>
      <c r="E769" s="92"/>
      <c r="F769" s="89"/>
      <c r="G769" s="89"/>
      <c r="H769" s="89"/>
      <c r="I769" s="89"/>
      <c r="J769" s="89"/>
      <c r="K769" s="89"/>
      <c r="L769" s="93"/>
      <c r="M769" s="93"/>
      <c r="N769" s="93"/>
      <c r="O769" s="93"/>
      <c r="P769" s="93"/>
      <c r="Q769" s="93"/>
      <c r="R769" s="93"/>
      <c r="S769" s="93"/>
      <c r="T769" s="93"/>
      <c r="U769" s="93"/>
      <c r="V769" s="93"/>
      <c r="W769" s="93"/>
    </row>
    <row r="770" spans="2:23" s="14" customFormat="1" ht="17.100000000000001" customHeight="1">
      <c r="B770" s="89"/>
      <c r="C770" s="90"/>
      <c r="D770" s="91"/>
      <c r="E770" s="92"/>
      <c r="F770" s="89"/>
      <c r="G770" s="89"/>
      <c r="H770" s="89"/>
      <c r="I770" s="89"/>
      <c r="J770" s="89"/>
      <c r="K770" s="89"/>
      <c r="L770" s="93"/>
      <c r="M770" s="93"/>
      <c r="N770" s="93"/>
      <c r="O770" s="93"/>
      <c r="P770" s="93"/>
      <c r="Q770" s="93"/>
      <c r="R770" s="93"/>
      <c r="S770" s="93"/>
      <c r="T770" s="93"/>
      <c r="U770" s="93"/>
      <c r="V770" s="93"/>
      <c r="W770" s="93"/>
    </row>
    <row r="771" spans="2:23" s="14" customFormat="1" ht="17.100000000000001" customHeight="1">
      <c r="B771" s="89"/>
      <c r="C771" s="90"/>
      <c r="D771" s="91"/>
      <c r="E771" s="92"/>
      <c r="F771" s="89"/>
      <c r="G771" s="89"/>
      <c r="H771" s="89"/>
      <c r="I771" s="89"/>
      <c r="J771" s="89"/>
      <c r="K771" s="89"/>
      <c r="L771" s="93"/>
      <c r="M771" s="93"/>
      <c r="N771" s="93"/>
      <c r="O771" s="93"/>
      <c r="P771" s="93"/>
      <c r="Q771" s="93"/>
      <c r="R771" s="93"/>
      <c r="S771" s="93"/>
      <c r="T771" s="93"/>
      <c r="U771" s="93"/>
      <c r="V771" s="93"/>
      <c r="W771" s="93"/>
    </row>
    <row r="772" spans="2:23" s="14" customFormat="1" ht="17.100000000000001" customHeight="1">
      <c r="B772" s="89"/>
      <c r="C772" s="90"/>
      <c r="D772" s="91"/>
      <c r="E772" s="92"/>
      <c r="F772" s="89"/>
      <c r="G772" s="89"/>
      <c r="H772" s="89"/>
      <c r="I772" s="89"/>
      <c r="J772" s="89"/>
      <c r="K772" s="89"/>
      <c r="L772" s="93"/>
      <c r="M772" s="93"/>
      <c r="N772" s="93"/>
      <c r="O772" s="93"/>
      <c r="P772" s="93"/>
      <c r="Q772" s="93"/>
      <c r="R772" s="93"/>
      <c r="S772" s="93"/>
      <c r="T772" s="93"/>
      <c r="U772" s="93"/>
      <c r="V772" s="93"/>
      <c r="W772" s="93"/>
    </row>
    <row r="773" spans="2:23" s="14" customFormat="1" ht="17.100000000000001" customHeight="1">
      <c r="B773" s="89"/>
      <c r="C773" s="90"/>
      <c r="D773" s="91"/>
      <c r="E773" s="92"/>
      <c r="F773" s="89"/>
      <c r="G773" s="89"/>
      <c r="H773" s="89"/>
      <c r="I773" s="89"/>
      <c r="J773" s="89"/>
      <c r="K773" s="89"/>
      <c r="L773" s="93"/>
      <c r="M773" s="93"/>
      <c r="N773" s="93"/>
      <c r="O773" s="93"/>
      <c r="P773" s="93"/>
      <c r="Q773" s="93"/>
      <c r="R773" s="93"/>
      <c r="S773" s="93"/>
      <c r="T773" s="93"/>
      <c r="U773" s="93"/>
      <c r="V773" s="93"/>
      <c r="W773" s="93"/>
    </row>
    <row r="774" spans="2:23" s="14" customFormat="1" ht="17.100000000000001" customHeight="1">
      <c r="B774" s="89"/>
      <c r="C774" s="90"/>
      <c r="D774" s="91"/>
      <c r="E774" s="92"/>
      <c r="F774" s="89"/>
      <c r="G774" s="89"/>
      <c r="H774" s="89"/>
      <c r="I774" s="89"/>
      <c r="J774" s="89"/>
      <c r="K774" s="89"/>
      <c r="L774" s="93"/>
      <c r="M774" s="93"/>
      <c r="N774" s="93"/>
      <c r="O774" s="93"/>
      <c r="P774" s="93"/>
      <c r="Q774" s="93"/>
      <c r="R774" s="93"/>
      <c r="S774" s="93"/>
      <c r="T774" s="93"/>
      <c r="U774" s="93"/>
      <c r="V774" s="93"/>
      <c r="W774" s="93"/>
    </row>
    <row r="775" spans="2:23" s="14" customFormat="1" ht="17.100000000000001" customHeight="1">
      <c r="B775" s="89"/>
      <c r="C775" s="90"/>
      <c r="D775" s="91"/>
      <c r="E775" s="92"/>
      <c r="F775" s="89"/>
      <c r="G775" s="89"/>
      <c r="H775" s="89"/>
      <c r="I775" s="89"/>
      <c r="J775" s="89"/>
      <c r="K775" s="89"/>
      <c r="L775" s="93"/>
      <c r="M775" s="93"/>
      <c r="N775" s="93"/>
      <c r="O775" s="93"/>
      <c r="P775" s="93"/>
      <c r="Q775" s="93"/>
      <c r="R775" s="93"/>
      <c r="S775" s="93"/>
      <c r="T775" s="93"/>
      <c r="U775" s="93"/>
      <c r="V775" s="93"/>
      <c r="W775" s="93"/>
    </row>
    <row r="776" spans="2:23" s="14" customFormat="1" ht="17.100000000000001" customHeight="1">
      <c r="B776" s="89"/>
      <c r="C776" s="90"/>
      <c r="D776" s="91"/>
      <c r="E776" s="92"/>
      <c r="F776" s="89"/>
      <c r="G776" s="89"/>
      <c r="H776" s="89"/>
      <c r="I776" s="89"/>
      <c r="J776" s="89"/>
      <c r="K776" s="89"/>
      <c r="L776" s="93"/>
      <c r="M776" s="93"/>
      <c r="N776" s="93"/>
      <c r="O776" s="93"/>
      <c r="P776" s="93"/>
      <c r="Q776" s="93"/>
      <c r="R776" s="93"/>
      <c r="S776" s="93"/>
      <c r="T776" s="93"/>
      <c r="U776" s="93"/>
      <c r="V776" s="93"/>
      <c r="W776" s="93"/>
    </row>
    <row r="777" spans="2:23" s="14" customFormat="1" ht="17.100000000000001" customHeight="1">
      <c r="B777" s="89"/>
      <c r="C777" s="90"/>
      <c r="D777" s="91"/>
      <c r="E777" s="92"/>
      <c r="F777" s="89"/>
      <c r="G777" s="89"/>
      <c r="H777" s="89"/>
      <c r="I777" s="89"/>
      <c r="J777" s="89"/>
      <c r="K777" s="89"/>
      <c r="L777" s="93"/>
      <c r="M777" s="93"/>
      <c r="N777" s="93"/>
      <c r="O777" s="93"/>
      <c r="P777" s="93"/>
      <c r="Q777" s="93"/>
      <c r="R777" s="93"/>
      <c r="S777" s="93"/>
      <c r="T777" s="93"/>
      <c r="U777" s="93"/>
      <c r="V777" s="93"/>
      <c r="W777" s="93"/>
    </row>
    <row r="778" spans="2:23" s="14" customFormat="1" ht="17.100000000000001" customHeight="1">
      <c r="B778" s="89"/>
      <c r="C778" s="90"/>
      <c r="D778" s="91"/>
      <c r="E778" s="92"/>
      <c r="F778" s="89"/>
      <c r="G778" s="89"/>
      <c r="H778" s="89"/>
      <c r="I778" s="89"/>
      <c r="J778" s="89"/>
      <c r="K778" s="89"/>
      <c r="L778" s="93"/>
      <c r="M778" s="93"/>
      <c r="N778" s="93"/>
      <c r="O778" s="93"/>
      <c r="P778" s="93"/>
      <c r="Q778" s="93"/>
      <c r="R778" s="93"/>
      <c r="S778" s="93"/>
      <c r="T778" s="93"/>
      <c r="U778" s="93"/>
      <c r="V778" s="93"/>
      <c r="W778" s="93"/>
    </row>
    <row r="779" spans="2:23" s="14" customFormat="1" ht="17.100000000000001" customHeight="1">
      <c r="B779" s="89"/>
      <c r="C779" s="90"/>
      <c r="D779" s="91"/>
      <c r="E779" s="92"/>
      <c r="F779" s="89"/>
      <c r="G779" s="89"/>
      <c r="H779" s="89"/>
      <c r="I779" s="89"/>
      <c r="J779" s="89"/>
      <c r="K779" s="89"/>
      <c r="L779" s="93"/>
      <c r="M779" s="93"/>
      <c r="N779" s="93"/>
      <c r="O779" s="93"/>
      <c r="P779" s="93"/>
      <c r="Q779" s="93"/>
      <c r="R779" s="93"/>
      <c r="S779" s="93"/>
      <c r="T779" s="93"/>
      <c r="U779" s="93"/>
      <c r="V779" s="93"/>
      <c r="W779" s="93"/>
    </row>
    <row r="780" spans="2:23" s="14" customFormat="1" ht="17.100000000000001" customHeight="1">
      <c r="B780" s="89"/>
      <c r="C780" s="90"/>
      <c r="D780" s="91"/>
      <c r="E780" s="92"/>
      <c r="F780" s="89"/>
      <c r="G780" s="89"/>
      <c r="H780" s="89"/>
      <c r="I780" s="89"/>
      <c r="J780" s="89"/>
      <c r="K780" s="89"/>
      <c r="L780" s="93"/>
      <c r="M780" s="93"/>
      <c r="N780" s="93"/>
      <c r="O780" s="93"/>
      <c r="P780" s="93"/>
      <c r="Q780" s="93"/>
      <c r="R780" s="93"/>
      <c r="S780" s="93"/>
      <c r="T780" s="93"/>
      <c r="U780" s="93"/>
      <c r="V780" s="93"/>
      <c r="W780" s="93"/>
    </row>
    <row r="781" spans="2:23" s="14" customFormat="1" ht="17.100000000000001" customHeight="1">
      <c r="B781" s="89"/>
      <c r="C781" s="90"/>
      <c r="D781" s="91"/>
      <c r="E781" s="92"/>
      <c r="F781" s="89"/>
      <c r="G781" s="89"/>
      <c r="H781" s="89"/>
      <c r="I781" s="89"/>
      <c r="J781" s="89"/>
      <c r="K781" s="89"/>
      <c r="L781" s="93"/>
      <c r="M781" s="93"/>
      <c r="N781" s="93"/>
      <c r="O781" s="93"/>
      <c r="P781" s="93"/>
      <c r="Q781" s="93"/>
      <c r="R781" s="93"/>
      <c r="S781" s="93"/>
      <c r="T781" s="93"/>
      <c r="U781" s="93"/>
      <c r="V781" s="93"/>
      <c r="W781" s="93"/>
    </row>
    <row r="782" spans="2:23" s="14" customFormat="1" ht="17.100000000000001" customHeight="1">
      <c r="B782" s="89"/>
      <c r="C782" s="90"/>
      <c r="D782" s="91"/>
      <c r="E782" s="92"/>
      <c r="F782" s="89"/>
      <c r="G782" s="89"/>
      <c r="H782" s="89"/>
      <c r="I782" s="89"/>
      <c r="J782" s="89"/>
      <c r="K782" s="89"/>
      <c r="L782" s="93"/>
      <c r="M782" s="93"/>
      <c r="N782" s="93"/>
      <c r="O782" s="93"/>
      <c r="P782" s="93"/>
      <c r="Q782" s="93"/>
      <c r="R782" s="93"/>
      <c r="S782" s="93"/>
      <c r="T782" s="93"/>
      <c r="U782" s="93"/>
      <c r="V782" s="93"/>
      <c r="W782" s="93"/>
    </row>
    <row r="783" spans="2:23" s="14" customFormat="1" ht="17.100000000000001" customHeight="1">
      <c r="B783" s="89"/>
      <c r="C783" s="90"/>
      <c r="D783" s="91"/>
      <c r="E783" s="92"/>
      <c r="F783" s="89"/>
      <c r="G783" s="89"/>
      <c r="H783" s="89"/>
      <c r="I783" s="89"/>
      <c r="J783" s="89"/>
      <c r="K783" s="89"/>
      <c r="L783" s="93"/>
      <c r="M783" s="93"/>
      <c r="N783" s="93"/>
      <c r="O783" s="93"/>
      <c r="P783" s="93"/>
      <c r="Q783" s="93"/>
      <c r="R783" s="93"/>
      <c r="S783" s="93"/>
      <c r="T783" s="93"/>
      <c r="U783" s="93"/>
      <c r="V783" s="93"/>
      <c r="W783" s="93"/>
    </row>
    <row r="784" spans="2:23" s="14" customFormat="1" ht="17.100000000000001" customHeight="1">
      <c r="B784" s="89"/>
      <c r="C784" s="90"/>
      <c r="D784" s="91"/>
      <c r="E784" s="92"/>
      <c r="F784" s="89"/>
      <c r="G784" s="89"/>
      <c r="H784" s="89"/>
      <c r="I784" s="89"/>
      <c r="J784" s="89"/>
      <c r="K784" s="89"/>
      <c r="L784" s="93"/>
      <c r="M784" s="93"/>
      <c r="N784" s="93"/>
      <c r="O784" s="93"/>
      <c r="P784" s="93"/>
      <c r="Q784" s="93"/>
      <c r="R784" s="93"/>
      <c r="S784" s="93"/>
      <c r="T784" s="93"/>
      <c r="U784" s="93"/>
      <c r="V784" s="93"/>
      <c r="W784" s="93"/>
    </row>
    <row r="785" spans="2:23" s="14" customFormat="1" ht="17.100000000000001" customHeight="1">
      <c r="B785" s="89"/>
      <c r="C785" s="90"/>
      <c r="D785" s="91"/>
      <c r="E785" s="92"/>
      <c r="F785" s="89"/>
      <c r="G785" s="89"/>
      <c r="H785" s="89"/>
      <c r="I785" s="89"/>
      <c r="J785" s="89"/>
      <c r="K785" s="89"/>
      <c r="L785" s="93"/>
      <c r="M785" s="93"/>
      <c r="N785" s="93"/>
      <c r="O785" s="93"/>
      <c r="P785" s="93"/>
      <c r="Q785" s="93"/>
      <c r="R785" s="93"/>
      <c r="S785" s="93"/>
      <c r="T785" s="93"/>
      <c r="U785" s="93"/>
      <c r="V785" s="93"/>
      <c r="W785" s="93"/>
    </row>
    <row r="786" spans="2:23" s="14" customFormat="1" ht="17.100000000000001" customHeight="1">
      <c r="B786" s="89"/>
      <c r="C786" s="90"/>
      <c r="D786" s="91"/>
      <c r="E786" s="92"/>
      <c r="F786" s="89"/>
      <c r="G786" s="89"/>
      <c r="H786" s="89"/>
      <c r="I786" s="89"/>
      <c r="J786" s="89"/>
      <c r="K786" s="89"/>
      <c r="L786" s="93"/>
      <c r="M786" s="93"/>
      <c r="N786" s="93"/>
      <c r="O786" s="93"/>
      <c r="P786" s="93"/>
      <c r="Q786" s="93"/>
      <c r="R786" s="93"/>
      <c r="S786" s="93"/>
      <c r="T786" s="93"/>
      <c r="U786" s="93"/>
      <c r="V786" s="93"/>
      <c r="W786" s="93"/>
    </row>
    <row r="787" spans="2:23" s="14" customFormat="1" ht="17.100000000000001" customHeight="1">
      <c r="B787" s="89"/>
      <c r="C787" s="90"/>
      <c r="D787" s="91"/>
      <c r="E787" s="92"/>
      <c r="F787" s="89"/>
      <c r="G787" s="89"/>
      <c r="H787" s="89"/>
      <c r="I787" s="89"/>
      <c r="J787" s="89"/>
      <c r="K787" s="89"/>
      <c r="L787" s="93"/>
      <c r="M787" s="93"/>
      <c r="N787" s="93"/>
      <c r="O787" s="93"/>
      <c r="P787" s="93"/>
      <c r="Q787" s="93"/>
      <c r="R787" s="93"/>
      <c r="S787" s="93"/>
      <c r="T787" s="93"/>
      <c r="U787" s="93"/>
      <c r="V787" s="93"/>
      <c r="W787" s="93"/>
    </row>
    <row r="788" spans="2:23" s="14" customFormat="1" ht="17.100000000000001" customHeight="1">
      <c r="B788" s="89"/>
      <c r="C788" s="90"/>
      <c r="D788" s="91"/>
      <c r="E788" s="92"/>
      <c r="F788" s="89"/>
      <c r="G788" s="89"/>
      <c r="H788" s="89"/>
      <c r="I788" s="89"/>
      <c r="J788" s="89"/>
      <c r="K788" s="89"/>
      <c r="L788" s="93"/>
      <c r="M788" s="93"/>
      <c r="N788" s="93"/>
      <c r="O788" s="93"/>
      <c r="P788" s="93"/>
      <c r="Q788" s="93"/>
      <c r="R788" s="93"/>
      <c r="S788" s="93"/>
      <c r="T788" s="93"/>
      <c r="U788" s="93"/>
      <c r="V788" s="93"/>
      <c r="W788" s="93"/>
    </row>
    <row r="789" spans="2:23" s="14" customFormat="1" ht="17.100000000000001" customHeight="1">
      <c r="B789" s="89"/>
      <c r="C789" s="90"/>
      <c r="D789" s="91"/>
      <c r="E789" s="92"/>
      <c r="F789" s="89"/>
      <c r="G789" s="89"/>
      <c r="H789" s="89"/>
      <c r="I789" s="89"/>
      <c r="J789" s="89"/>
      <c r="K789" s="89"/>
      <c r="L789" s="93"/>
      <c r="M789" s="93"/>
      <c r="N789" s="93"/>
      <c r="O789" s="93"/>
      <c r="P789" s="93"/>
      <c r="Q789" s="93"/>
      <c r="R789" s="93"/>
      <c r="S789" s="93"/>
      <c r="T789" s="93"/>
      <c r="U789" s="93"/>
      <c r="V789" s="93"/>
      <c r="W789" s="93"/>
    </row>
    <row r="790" spans="2:23" s="14" customFormat="1" ht="17.100000000000001" customHeight="1">
      <c r="B790" s="89"/>
      <c r="C790" s="90"/>
      <c r="D790" s="91"/>
      <c r="E790" s="92"/>
      <c r="F790" s="89"/>
      <c r="G790" s="89"/>
      <c r="H790" s="89"/>
      <c r="I790" s="89"/>
      <c r="J790" s="89"/>
      <c r="K790" s="89"/>
      <c r="L790" s="93"/>
      <c r="M790" s="93"/>
      <c r="N790" s="93"/>
      <c r="O790" s="93"/>
      <c r="P790" s="93"/>
      <c r="Q790" s="93"/>
      <c r="R790" s="93"/>
      <c r="S790" s="93"/>
      <c r="T790" s="93"/>
      <c r="U790" s="93"/>
      <c r="V790" s="93"/>
      <c r="W790" s="93"/>
    </row>
    <row r="791" spans="2:23" s="14" customFormat="1" ht="17.100000000000001" customHeight="1">
      <c r="B791" s="89"/>
      <c r="C791" s="90"/>
      <c r="D791" s="91"/>
      <c r="E791" s="92"/>
      <c r="F791" s="89"/>
      <c r="G791" s="89"/>
      <c r="H791" s="89"/>
      <c r="I791" s="89"/>
      <c r="J791" s="89"/>
      <c r="K791" s="89"/>
      <c r="L791" s="93"/>
      <c r="M791" s="93"/>
      <c r="N791" s="93"/>
      <c r="O791" s="93"/>
      <c r="P791" s="93"/>
      <c r="Q791" s="93"/>
      <c r="R791" s="93"/>
      <c r="S791" s="93"/>
      <c r="T791" s="93"/>
      <c r="U791" s="93"/>
      <c r="V791" s="93"/>
      <c r="W791" s="93"/>
    </row>
    <row r="792" spans="2:23" s="14" customFormat="1" ht="17.100000000000001" customHeight="1">
      <c r="B792" s="89"/>
      <c r="C792" s="90"/>
      <c r="D792" s="91"/>
      <c r="E792" s="92"/>
      <c r="F792" s="89"/>
      <c r="G792" s="89"/>
      <c r="H792" s="89"/>
      <c r="I792" s="89"/>
      <c r="J792" s="89"/>
      <c r="K792" s="89"/>
      <c r="L792" s="93"/>
      <c r="M792" s="93"/>
      <c r="N792" s="93"/>
      <c r="O792" s="93"/>
      <c r="P792" s="93"/>
      <c r="Q792" s="93"/>
      <c r="R792" s="93"/>
      <c r="S792" s="93"/>
      <c r="T792" s="93"/>
      <c r="U792" s="93"/>
      <c r="V792" s="93"/>
      <c r="W792" s="93"/>
    </row>
    <row r="793" spans="2:23" s="14" customFormat="1" ht="17.100000000000001" customHeight="1">
      <c r="B793" s="89"/>
      <c r="C793" s="90"/>
      <c r="D793" s="91"/>
      <c r="E793" s="92"/>
      <c r="F793" s="89"/>
      <c r="G793" s="89"/>
      <c r="H793" s="89"/>
      <c r="I793" s="89"/>
      <c r="J793" s="89"/>
      <c r="K793" s="89"/>
      <c r="L793" s="93"/>
      <c r="M793" s="93"/>
      <c r="N793" s="93"/>
      <c r="O793" s="93"/>
      <c r="P793" s="93"/>
      <c r="Q793" s="93"/>
      <c r="R793" s="93"/>
      <c r="S793" s="93"/>
      <c r="T793" s="93"/>
      <c r="U793" s="93"/>
      <c r="V793" s="93"/>
      <c r="W793" s="93"/>
    </row>
    <row r="794" spans="2:23" s="14" customFormat="1" ht="17.100000000000001" customHeight="1">
      <c r="B794" s="89"/>
      <c r="C794" s="90"/>
      <c r="D794" s="91"/>
      <c r="E794" s="92"/>
      <c r="F794" s="89"/>
      <c r="G794" s="89"/>
      <c r="H794" s="89"/>
      <c r="I794" s="89"/>
      <c r="J794" s="89"/>
      <c r="K794" s="89"/>
      <c r="L794" s="93"/>
      <c r="M794" s="93"/>
      <c r="N794" s="93"/>
      <c r="O794" s="93"/>
      <c r="P794" s="93"/>
      <c r="Q794" s="93"/>
      <c r="R794" s="93"/>
      <c r="S794" s="93"/>
      <c r="T794" s="93"/>
      <c r="U794" s="93"/>
      <c r="V794" s="93"/>
      <c r="W794" s="93"/>
    </row>
    <row r="795" spans="2:23" s="14" customFormat="1" ht="17.100000000000001" customHeight="1">
      <c r="B795" s="89"/>
      <c r="C795" s="90"/>
      <c r="D795" s="91"/>
      <c r="E795" s="92"/>
      <c r="F795" s="89"/>
      <c r="G795" s="89"/>
      <c r="H795" s="89"/>
      <c r="I795" s="89"/>
      <c r="J795" s="89"/>
      <c r="K795" s="89"/>
      <c r="L795" s="93"/>
      <c r="M795" s="93"/>
      <c r="N795" s="93"/>
      <c r="O795" s="93"/>
      <c r="P795" s="93"/>
      <c r="Q795" s="93"/>
      <c r="R795" s="93"/>
      <c r="S795" s="93"/>
      <c r="T795" s="93"/>
      <c r="U795" s="93"/>
      <c r="V795" s="93"/>
      <c r="W795" s="93"/>
    </row>
    <row r="796" spans="2:23" s="14" customFormat="1" ht="17.100000000000001" customHeight="1">
      <c r="B796" s="89"/>
      <c r="C796" s="90"/>
      <c r="D796" s="91"/>
      <c r="E796" s="92"/>
      <c r="F796" s="89"/>
      <c r="G796" s="89"/>
      <c r="H796" s="89"/>
      <c r="I796" s="89"/>
      <c r="J796" s="89"/>
      <c r="K796" s="89"/>
      <c r="L796" s="93"/>
      <c r="M796" s="93"/>
      <c r="N796" s="93"/>
      <c r="O796" s="93"/>
      <c r="P796" s="93"/>
      <c r="Q796" s="93"/>
      <c r="R796" s="93"/>
      <c r="S796" s="93"/>
      <c r="T796" s="93"/>
      <c r="U796" s="93"/>
      <c r="V796" s="93"/>
      <c r="W796" s="93"/>
    </row>
    <row r="797" spans="2:23" s="14" customFormat="1" ht="17.100000000000001" customHeight="1">
      <c r="B797" s="89"/>
      <c r="C797" s="90"/>
      <c r="D797" s="91"/>
      <c r="E797" s="92"/>
      <c r="F797" s="89"/>
      <c r="G797" s="89"/>
      <c r="H797" s="89"/>
      <c r="I797" s="89"/>
      <c r="J797" s="89"/>
      <c r="K797" s="89"/>
      <c r="L797" s="93"/>
      <c r="M797" s="93"/>
      <c r="N797" s="93"/>
      <c r="O797" s="93"/>
      <c r="P797" s="93"/>
      <c r="Q797" s="93"/>
      <c r="R797" s="93"/>
      <c r="S797" s="93"/>
      <c r="T797" s="93"/>
      <c r="U797" s="93"/>
      <c r="V797" s="93"/>
      <c r="W797" s="93"/>
    </row>
    <row r="798" spans="2:23" s="14" customFormat="1" ht="17.100000000000001" customHeight="1">
      <c r="B798" s="89"/>
      <c r="C798" s="90"/>
      <c r="D798" s="91"/>
      <c r="E798" s="92"/>
      <c r="F798" s="89"/>
      <c r="G798" s="89"/>
      <c r="H798" s="89"/>
      <c r="I798" s="89"/>
      <c r="J798" s="89"/>
      <c r="K798" s="89"/>
      <c r="L798" s="93"/>
      <c r="M798" s="93"/>
      <c r="N798" s="93"/>
      <c r="O798" s="93"/>
      <c r="P798" s="93"/>
      <c r="Q798" s="93"/>
      <c r="R798" s="93"/>
      <c r="S798" s="93"/>
      <c r="T798" s="93"/>
      <c r="U798" s="93"/>
      <c r="V798" s="93"/>
      <c r="W798" s="93"/>
    </row>
    <row r="799" spans="2:23" s="14" customFormat="1" ht="17.100000000000001" customHeight="1">
      <c r="B799" s="89"/>
      <c r="C799" s="90"/>
      <c r="D799" s="91"/>
      <c r="E799" s="92"/>
      <c r="F799" s="89"/>
      <c r="G799" s="89"/>
      <c r="H799" s="89"/>
      <c r="I799" s="89"/>
      <c r="J799" s="89"/>
      <c r="K799" s="89"/>
      <c r="L799" s="93"/>
      <c r="M799" s="93"/>
      <c r="N799" s="93"/>
      <c r="O799" s="93"/>
      <c r="P799" s="93"/>
      <c r="Q799" s="93"/>
      <c r="R799" s="93"/>
      <c r="S799" s="93"/>
      <c r="T799" s="93"/>
      <c r="U799" s="93"/>
      <c r="V799" s="93"/>
      <c r="W799" s="93"/>
    </row>
    <row r="800" spans="2:23" s="14" customFormat="1" ht="17.100000000000001" customHeight="1">
      <c r="B800" s="89"/>
      <c r="C800" s="90"/>
      <c r="D800" s="91"/>
      <c r="E800" s="92"/>
      <c r="F800" s="89"/>
      <c r="G800" s="89"/>
      <c r="H800" s="89"/>
      <c r="I800" s="89"/>
      <c r="J800" s="89"/>
      <c r="K800" s="89"/>
      <c r="L800" s="93"/>
      <c r="M800" s="93"/>
      <c r="N800" s="93"/>
      <c r="O800" s="93"/>
      <c r="P800" s="93"/>
      <c r="Q800" s="93"/>
      <c r="R800" s="93"/>
      <c r="S800" s="93"/>
      <c r="T800" s="93"/>
      <c r="U800" s="93"/>
      <c r="V800" s="93"/>
      <c r="W800" s="93"/>
    </row>
    <row r="801" spans="2:23" s="14" customFormat="1" ht="17.100000000000001" customHeight="1">
      <c r="B801" s="89"/>
      <c r="C801" s="90"/>
      <c r="D801" s="91"/>
      <c r="E801" s="92"/>
      <c r="F801" s="89"/>
      <c r="G801" s="89"/>
      <c r="H801" s="89"/>
      <c r="I801" s="89"/>
      <c r="J801" s="89"/>
      <c r="K801" s="89"/>
      <c r="L801" s="93"/>
      <c r="M801" s="93"/>
      <c r="N801" s="93"/>
      <c r="O801" s="93"/>
      <c r="P801" s="93"/>
      <c r="Q801" s="93"/>
      <c r="R801" s="93"/>
      <c r="S801" s="93"/>
      <c r="T801" s="93"/>
      <c r="U801" s="93"/>
      <c r="V801" s="93"/>
      <c r="W801" s="93"/>
    </row>
    <row r="802" spans="2:23" s="14" customFormat="1" ht="17.100000000000001" customHeight="1">
      <c r="B802" s="89"/>
      <c r="C802" s="90"/>
      <c r="D802" s="91"/>
      <c r="E802" s="92"/>
      <c r="F802" s="89"/>
      <c r="G802" s="89"/>
      <c r="H802" s="89"/>
      <c r="I802" s="89"/>
      <c r="J802" s="89"/>
      <c r="K802" s="89"/>
      <c r="L802" s="93"/>
      <c r="M802" s="93"/>
      <c r="N802" s="93"/>
      <c r="O802" s="93"/>
      <c r="P802" s="93"/>
      <c r="Q802" s="93"/>
      <c r="R802" s="93"/>
      <c r="S802" s="93"/>
      <c r="T802" s="93"/>
      <c r="U802" s="93"/>
      <c r="V802" s="93"/>
      <c r="W802" s="93"/>
    </row>
    <row r="803" spans="2:23" s="14" customFormat="1" ht="17.100000000000001" customHeight="1">
      <c r="B803" s="89"/>
      <c r="C803" s="90"/>
      <c r="D803" s="91"/>
      <c r="E803" s="92"/>
      <c r="F803" s="89"/>
      <c r="G803" s="89"/>
      <c r="H803" s="89"/>
      <c r="I803" s="89"/>
      <c r="J803" s="89"/>
      <c r="K803" s="89"/>
      <c r="L803" s="93"/>
      <c r="M803" s="93"/>
      <c r="N803" s="93"/>
      <c r="O803" s="93"/>
      <c r="P803" s="93"/>
      <c r="Q803" s="93"/>
      <c r="R803" s="93"/>
      <c r="S803" s="93"/>
      <c r="T803" s="93"/>
      <c r="U803" s="93"/>
      <c r="V803" s="93"/>
      <c r="W803" s="93"/>
    </row>
    <row r="804" spans="2:23" s="14" customFormat="1" ht="17.100000000000001" customHeight="1">
      <c r="B804" s="89"/>
      <c r="C804" s="90"/>
      <c r="D804" s="91"/>
      <c r="E804" s="92"/>
      <c r="F804" s="89"/>
      <c r="G804" s="89"/>
      <c r="H804" s="89"/>
      <c r="I804" s="89"/>
      <c r="J804" s="89"/>
      <c r="K804" s="89"/>
      <c r="L804" s="93"/>
      <c r="M804" s="93"/>
      <c r="N804" s="93"/>
      <c r="O804" s="93"/>
      <c r="P804" s="93"/>
      <c r="Q804" s="93"/>
      <c r="R804" s="93"/>
      <c r="S804" s="93"/>
      <c r="T804" s="93"/>
      <c r="U804" s="93"/>
      <c r="V804" s="93"/>
      <c r="W804" s="93"/>
    </row>
    <row r="805" spans="2:23" s="14" customFormat="1" ht="17.100000000000001" customHeight="1">
      <c r="B805" s="89"/>
      <c r="C805" s="90"/>
      <c r="D805" s="91"/>
      <c r="E805" s="92"/>
      <c r="F805" s="89"/>
      <c r="G805" s="89"/>
      <c r="H805" s="89"/>
      <c r="I805" s="89"/>
      <c r="J805" s="89"/>
      <c r="K805" s="89"/>
      <c r="L805" s="93"/>
      <c r="M805" s="93"/>
      <c r="N805" s="93"/>
      <c r="O805" s="93"/>
      <c r="P805" s="93"/>
      <c r="Q805" s="93"/>
      <c r="R805" s="93"/>
      <c r="S805" s="93"/>
      <c r="T805" s="93"/>
      <c r="U805" s="93"/>
      <c r="V805" s="93"/>
      <c r="W805" s="93"/>
    </row>
    <row r="806" spans="2:23" s="14" customFormat="1" ht="17.100000000000001" customHeight="1">
      <c r="B806" s="89"/>
      <c r="C806" s="90"/>
      <c r="D806" s="91"/>
      <c r="E806" s="92"/>
      <c r="F806" s="89"/>
      <c r="G806" s="89"/>
      <c r="H806" s="89"/>
      <c r="I806" s="89"/>
      <c r="J806" s="89"/>
      <c r="K806" s="89"/>
      <c r="L806" s="93"/>
      <c r="M806" s="93"/>
      <c r="N806" s="93"/>
      <c r="O806" s="93"/>
      <c r="P806" s="93"/>
      <c r="Q806" s="93"/>
      <c r="R806" s="93"/>
      <c r="S806" s="93"/>
      <c r="T806" s="93"/>
      <c r="U806" s="93"/>
      <c r="V806" s="93"/>
      <c r="W806" s="93"/>
    </row>
    <row r="807" spans="2:23" s="14" customFormat="1" ht="17.100000000000001" customHeight="1">
      <c r="B807" s="89"/>
      <c r="C807" s="90"/>
      <c r="D807" s="91"/>
      <c r="E807" s="92"/>
      <c r="F807" s="89"/>
      <c r="G807" s="89"/>
      <c r="H807" s="89"/>
      <c r="I807" s="89"/>
      <c r="J807" s="89"/>
      <c r="K807" s="89"/>
      <c r="L807" s="93"/>
      <c r="M807" s="93"/>
      <c r="N807" s="93"/>
      <c r="O807" s="93"/>
      <c r="P807" s="93"/>
      <c r="Q807" s="93"/>
      <c r="R807" s="93"/>
      <c r="S807" s="93"/>
      <c r="T807" s="93"/>
      <c r="U807" s="93"/>
      <c r="V807" s="93"/>
      <c r="W807" s="93"/>
    </row>
    <row r="808" spans="2:23" s="14" customFormat="1" ht="17.100000000000001" customHeight="1">
      <c r="B808" s="89"/>
      <c r="C808" s="90"/>
      <c r="D808" s="91"/>
      <c r="E808" s="92"/>
      <c r="F808" s="89"/>
      <c r="G808" s="89"/>
      <c r="H808" s="89"/>
      <c r="I808" s="89"/>
      <c r="J808" s="89"/>
      <c r="K808" s="89"/>
      <c r="L808" s="93"/>
      <c r="M808" s="93"/>
      <c r="N808" s="93"/>
      <c r="O808" s="93"/>
      <c r="P808" s="93"/>
      <c r="Q808" s="93"/>
      <c r="R808" s="93"/>
      <c r="S808" s="93"/>
      <c r="T808" s="93"/>
      <c r="U808" s="93"/>
      <c r="V808" s="93"/>
      <c r="W808" s="93"/>
    </row>
    <row r="809" spans="2:23" s="14" customFormat="1" ht="17.100000000000001" customHeight="1">
      <c r="B809" s="89"/>
      <c r="C809" s="90"/>
      <c r="D809" s="91"/>
      <c r="E809" s="92"/>
      <c r="F809" s="89"/>
      <c r="G809" s="89"/>
      <c r="H809" s="89"/>
      <c r="I809" s="89"/>
      <c r="J809" s="89"/>
      <c r="K809" s="89"/>
      <c r="L809" s="93"/>
      <c r="M809" s="93"/>
      <c r="N809" s="93"/>
      <c r="O809" s="93"/>
      <c r="P809" s="93"/>
      <c r="Q809" s="93"/>
      <c r="R809" s="93"/>
      <c r="S809" s="93"/>
      <c r="T809" s="93"/>
      <c r="U809" s="93"/>
      <c r="V809" s="93"/>
      <c r="W809" s="93"/>
    </row>
    <row r="810" spans="2:23" s="14" customFormat="1" ht="17.100000000000001" customHeight="1">
      <c r="B810" s="89"/>
      <c r="C810" s="90"/>
      <c r="D810" s="91"/>
      <c r="E810" s="92"/>
      <c r="F810" s="89"/>
      <c r="G810" s="89"/>
      <c r="H810" s="89"/>
      <c r="I810" s="89"/>
      <c r="J810" s="89"/>
      <c r="K810" s="89"/>
      <c r="L810" s="93"/>
      <c r="M810" s="93"/>
      <c r="N810" s="93"/>
      <c r="O810" s="93"/>
      <c r="P810" s="93"/>
      <c r="Q810" s="93"/>
      <c r="R810" s="93"/>
      <c r="S810" s="93"/>
      <c r="T810" s="93"/>
      <c r="U810" s="93"/>
      <c r="V810" s="93"/>
      <c r="W810" s="93"/>
    </row>
    <row r="811" spans="2:23" s="14" customFormat="1" ht="17.100000000000001" customHeight="1">
      <c r="B811" s="89"/>
      <c r="C811" s="90"/>
      <c r="D811" s="91"/>
      <c r="E811" s="92"/>
      <c r="F811" s="89"/>
      <c r="G811" s="89"/>
      <c r="H811" s="89"/>
      <c r="I811" s="89"/>
      <c r="J811" s="89"/>
      <c r="K811" s="89"/>
      <c r="L811" s="93"/>
      <c r="M811" s="93"/>
      <c r="N811" s="93"/>
      <c r="O811" s="93"/>
      <c r="P811" s="93"/>
      <c r="Q811" s="93"/>
      <c r="R811" s="93"/>
      <c r="S811" s="93"/>
      <c r="T811" s="93"/>
      <c r="U811" s="93"/>
      <c r="V811" s="93"/>
      <c r="W811" s="93"/>
    </row>
    <row r="812" spans="2:23" s="14" customFormat="1" ht="17.100000000000001" customHeight="1">
      <c r="B812" s="89"/>
      <c r="C812" s="90"/>
      <c r="D812" s="91"/>
      <c r="E812" s="92"/>
      <c r="F812" s="89"/>
      <c r="G812" s="89"/>
      <c r="H812" s="89"/>
      <c r="I812" s="89"/>
      <c r="J812" s="89"/>
      <c r="K812" s="89"/>
      <c r="L812" s="93"/>
      <c r="M812" s="93"/>
      <c r="N812" s="93"/>
      <c r="O812" s="93"/>
      <c r="P812" s="93"/>
      <c r="Q812" s="93"/>
      <c r="R812" s="93"/>
      <c r="S812" s="93"/>
      <c r="T812" s="93"/>
      <c r="U812" s="93"/>
      <c r="V812" s="93"/>
      <c r="W812" s="93"/>
    </row>
    <row r="813" spans="2:23" s="14" customFormat="1" ht="17.100000000000001" customHeight="1">
      <c r="B813" s="89"/>
      <c r="C813" s="90"/>
      <c r="D813" s="91"/>
      <c r="E813" s="92"/>
      <c r="F813" s="89"/>
      <c r="G813" s="89"/>
      <c r="H813" s="89"/>
      <c r="I813" s="89"/>
      <c r="J813" s="89"/>
      <c r="K813" s="89"/>
      <c r="L813" s="93"/>
      <c r="M813" s="93"/>
      <c r="N813" s="93"/>
      <c r="O813" s="93"/>
      <c r="P813" s="93"/>
      <c r="Q813" s="93"/>
      <c r="R813" s="93"/>
      <c r="S813" s="93"/>
      <c r="T813" s="93"/>
      <c r="U813" s="93"/>
      <c r="V813" s="93"/>
      <c r="W813" s="93"/>
    </row>
    <row r="814" spans="2:23" s="14" customFormat="1" ht="17.100000000000001" customHeight="1">
      <c r="B814" s="89"/>
      <c r="C814" s="90"/>
      <c r="D814" s="91"/>
      <c r="E814" s="92"/>
      <c r="F814" s="89"/>
      <c r="G814" s="89"/>
      <c r="H814" s="89"/>
      <c r="I814" s="89"/>
      <c r="J814" s="89"/>
      <c r="K814" s="89"/>
      <c r="L814" s="93"/>
      <c r="M814" s="93"/>
      <c r="N814" s="93"/>
      <c r="O814" s="93"/>
      <c r="P814" s="93"/>
      <c r="Q814" s="93"/>
      <c r="R814" s="93"/>
      <c r="S814" s="93"/>
      <c r="T814" s="93"/>
      <c r="U814" s="93"/>
      <c r="V814" s="93"/>
      <c r="W814" s="93"/>
    </row>
    <row r="815" spans="2:23" s="14" customFormat="1" ht="17.100000000000001" customHeight="1">
      <c r="B815" s="89"/>
      <c r="C815" s="90"/>
      <c r="D815" s="91"/>
      <c r="E815" s="92"/>
      <c r="F815" s="89"/>
      <c r="G815" s="89"/>
      <c r="H815" s="89"/>
      <c r="I815" s="89"/>
      <c r="J815" s="89"/>
      <c r="K815" s="89"/>
      <c r="L815" s="93"/>
      <c r="M815" s="93"/>
      <c r="N815" s="93"/>
      <c r="O815" s="93"/>
      <c r="P815" s="93"/>
      <c r="Q815" s="93"/>
      <c r="R815" s="93"/>
      <c r="S815" s="93"/>
      <c r="T815" s="93"/>
      <c r="U815" s="93"/>
      <c r="V815" s="93"/>
      <c r="W815" s="93"/>
    </row>
    <row r="816" spans="2:23" s="14" customFormat="1" ht="17.100000000000001" customHeight="1">
      <c r="B816" s="89"/>
      <c r="C816" s="90"/>
      <c r="D816" s="91"/>
      <c r="E816" s="92"/>
      <c r="F816" s="89"/>
      <c r="G816" s="89"/>
      <c r="H816" s="89"/>
      <c r="I816" s="89"/>
      <c r="J816" s="89"/>
      <c r="K816" s="89"/>
      <c r="L816" s="93"/>
      <c r="M816" s="93"/>
      <c r="N816" s="93"/>
      <c r="O816" s="93"/>
      <c r="P816" s="93"/>
      <c r="Q816" s="93"/>
      <c r="R816" s="93"/>
      <c r="S816" s="93"/>
      <c r="T816" s="93"/>
      <c r="U816" s="93"/>
      <c r="V816" s="93"/>
      <c r="W816" s="93"/>
    </row>
    <row r="817" spans="2:23" s="14" customFormat="1" ht="17.100000000000001" customHeight="1">
      <c r="B817" s="89"/>
      <c r="C817" s="90"/>
      <c r="D817" s="91"/>
      <c r="E817" s="92"/>
      <c r="F817" s="89"/>
      <c r="G817" s="89"/>
      <c r="H817" s="89"/>
      <c r="I817" s="89"/>
      <c r="J817" s="89"/>
      <c r="K817" s="89"/>
      <c r="L817" s="93"/>
      <c r="M817" s="93"/>
      <c r="N817" s="93"/>
      <c r="O817" s="93"/>
      <c r="P817" s="93"/>
      <c r="Q817" s="93"/>
      <c r="R817" s="93"/>
      <c r="S817" s="93"/>
      <c r="T817" s="93"/>
      <c r="U817" s="93"/>
      <c r="V817" s="93"/>
      <c r="W817" s="93"/>
    </row>
    <row r="818" spans="2:23" s="14" customFormat="1" ht="17.100000000000001" customHeight="1">
      <c r="B818" s="89"/>
      <c r="C818" s="90"/>
      <c r="D818" s="91"/>
      <c r="E818" s="92"/>
      <c r="F818" s="89"/>
      <c r="G818" s="89"/>
      <c r="H818" s="89"/>
      <c r="I818" s="89"/>
      <c r="J818" s="89"/>
      <c r="K818" s="89"/>
      <c r="L818" s="93"/>
      <c r="M818" s="93"/>
      <c r="N818" s="93"/>
      <c r="O818" s="93"/>
      <c r="P818" s="93"/>
      <c r="Q818" s="93"/>
      <c r="R818" s="93"/>
      <c r="S818" s="93"/>
      <c r="T818" s="93"/>
      <c r="U818" s="93"/>
      <c r="V818" s="93"/>
      <c r="W818" s="93"/>
    </row>
    <row r="819" spans="2:23" s="14" customFormat="1" ht="17.100000000000001" customHeight="1">
      <c r="B819" s="89"/>
      <c r="C819" s="90"/>
      <c r="D819" s="91"/>
      <c r="E819" s="92"/>
      <c r="F819" s="89"/>
      <c r="G819" s="89"/>
      <c r="H819" s="89"/>
      <c r="I819" s="89"/>
      <c r="J819" s="89"/>
      <c r="K819" s="89"/>
      <c r="L819" s="93"/>
      <c r="M819" s="93"/>
      <c r="N819" s="93"/>
      <c r="O819" s="93"/>
      <c r="P819" s="93"/>
      <c r="Q819" s="93"/>
      <c r="R819" s="93"/>
      <c r="S819" s="93"/>
      <c r="T819" s="93"/>
      <c r="U819" s="93"/>
      <c r="V819" s="93"/>
      <c r="W819" s="93"/>
    </row>
    <row r="820" spans="2:23" s="14" customFormat="1" ht="17.100000000000001" customHeight="1">
      <c r="B820" s="89"/>
      <c r="C820" s="90"/>
      <c r="D820" s="91"/>
      <c r="E820" s="92"/>
      <c r="F820" s="89"/>
      <c r="G820" s="89"/>
      <c r="H820" s="89"/>
      <c r="I820" s="89"/>
      <c r="J820" s="89"/>
      <c r="K820" s="89"/>
      <c r="L820" s="93"/>
      <c r="M820" s="93"/>
      <c r="N820" s="93"/>
      <c r="O820" s="93"/>
      <c r="P820" s="93"/>
      <c r="Q820" s="93"/>
      <c r="R820" s="93"/>
      <c r="S820" s="93"/>
      <c r="T820" s="93"/>
      <c r="U820" s="93"/>
      <c r="V820" s="93"/>
      <c r="W820" s="93"/>
    </row>
    <row r="821" spans="2:23" s="14" customFormat="1" ht="17.100000000000001" customHeight="1">
      <c r="B821" s="89"/>
      <c r="C821" s="90"/>
      <c r="D821" s="91"/>
      <c r="E821" s="92"/>
      <c r="F821" s="89"/>
      <c r="G821" s="89"/>
      <c r="H821" s="89"/>
      <c r="I821" s="89"/>
      <c r="J821" s="89"/>
      <c r="K821" s="89"/>
      <c r="L821" s="93"/>
      <c r="M821" s="93"/>
      <c r="N821" s="93"/>
      <c r="O821" s="93"/>
      <c r="P821" s="93"/>
      <c r="Q821" s="93"/>
      <c r="R821" s="93"/>
      <c r="S821" s="93"/>
      <c r="T821" s="93"/>
      <c r="U821" s="93"/>
      <c r="V821" s="93"/>
      <c r="W821" s="93"/>
    </row>
    <row r="822" spans="2:23" s="14" customFormat="1" ht="17.100000000000001" customHeight="1">
      <c r="B822" s="89"/>
      <c r="C822" s="90"/>
      <c r="D822" s="91"/>
      <c r="E822" s="92"/>
      <c r="F822" s="89"/>
      <c r="G822" s="89"/>
      <c r="H822" s="89"/>
      <c r="I822" s="89"/>
      <c r="J822" s="89"/>
      <c r="K822" s="89"/>
      <c r="L822" s="93"/>
      <c r="M822" s="93"/>
      <c r="N822" s="93"/>
      <c r="O822" s="93"/>
      <c r="P822" s="93"/>
      <c r="Q822" s="93"/>
      <c r="R822" s="93"/>
      <c r="S822" s="93"/>
      <c r="T822" s="93"/>
      <c r="U822" s="93"/>
      <c r="V822" s="93"/>
      <c r="W822" s="93"/>
    </row>
    <row r="823" spans="2:23" s="14" customFormat="1" ht="17.100000000000001" customHeight="1">
      <c r="B823" s="89"/>
      <c r="C823" s="90"/>
      <c r="D823" s="91"/>
      <c r="E823" s="92"/>
      <c r="F823" s="89"/>
      <c r="G823" s="89"/>
      <c r="H823" s="89"/>
      <c r="I823" s="89"/>
      <c r="J823" s="89"/>
      <c r="K823" s="89"/>
      <c r="L823" s="93"/>
      <c r="M823" s="93"/>
      <c r="N823" s="93"/>
      <c r="O823" s="93"/>
      <c r="P823" s="93"/>
      <c r="Q823" s="93"/>
      <c r="R823" s="93"/>
      <c r="S823" s="93"/>
      <c r="T823" s="93"/>
      <c r="U823" s="93"/>
      <c r="V823" s="93"/>
      <c r="W823" s="93"/>
    </row>
    <row r="824" spans="2:23" s="14" customFormat="1" ht="17.100000000000001" customHeight="1">
      <c r="B824" s="89"/>
      <c r="C824" s="90"/>
      <c r="D824" s="91"/>
      <c r="E824" s="92"/>
      <c r="F824" s="89"/>
      <c r="G824" s="89"/>
      <c r="H824" s="89"/>
      <c r="I824" s="89"/>
      <c r="J824" s="89"/>
      <c r="K824" s="89"/>
      <c r="L824" s="93"/>
      <c r="M824" s="93"/>
      <c r="N824" s="93"/>
      <c r="O824" s="93"/>
      <c r="P824" s="93"/>
      <c r="Q824" s="93"/>
      <c r="R824" s="93"/>
      <c r="S824" s="93"/>
      <c r="T824" s="93"/>
      <c r="U824" s="93"/>
      <c r="V824" s="93"/>
      <c r="W824" s="93"/>
    </row>
    <row r="825" spans="2:23" s="14" customFormat="1" ht="17.100000000000001" customHeight="1">
      <c r="B825" s="89"/>
      <c r="C825" s="90"/>
      <c r="D825" s="91"/>
      <c r="E825" s="92"/>
      <c r="F825" s="89"/>
      <c r="G825" s="89"/>
      <c r="H825" s="89"/>
      <c r="I825" s="89"/>
      <c r="J825" s="89"/>
      <c r="K825" s="89"/>
      <c r="L825" s="93"/>
      <c r="M825" s="93"/>
      <c r="N825" s="93"/>
      <c r="O825" s="93"/>
      <c r="P825" s="93"/>
      <c r="Q825" s="93"/>
      <c r="R825" s="93"/>
      <c r="S825" s="93"/>
      <c r="T825" s="93"/>
      <c r="U825" s="93"/>
      <c r="V825" s="93"/>
      <c r="W825" s="93"/>
    </row>
    <row r="826" spans="2:23" s="14" customFormat="1" ht="17.100000000000001" customHeight="1">
      <c r="B826" s="89"/>
      <c r="C826" s="90"/>
      <c r="D826" s="91"/>
      <c r="E826" s="92"/>
      <c r="F826" s="89"/>
      <c r="G826" s="89"/>
      <c r="H826" s="89"/>
      <c r="I826" s="89"/>
      <c r="J826" s="89"/>
      <c r="K826" s="89"/>
      <c r="L826" s="93"/>
      <c r="M826" s="93"/>
      <c r="N826" s="93"/>
      <c r="O826" s="93"/>
      <c r="P826" s="93"/>
      <c r="Q826" s="93"/>
      <c r="R826" s="93"/>
      <c r="S826" s="93"/>
      <c r="T826" s="93"/>
      <c r="U826" s="93"/>
      <c r="V826" s="93"/>
      <c r="W826" s="93"/>
    </row>
    <row r="827" spans="2:23" s="14" customFormat="1" ht="17.100000000000001" customHeight="1">
      <c r="B827" s="89"/>
      <c r="C827" s="90"/>
      <c r="D827" s="91"/>
      <c r="E827" s="92"/>
      <c r="F827" s="89"/>
      <c r="G827" s="89"/>
      <c r="H827" s="89"/>
      <c r="I827" s="89"/>
      <c r="J827" s="89"/>
      <c r="K827" s="89"/>
      <c r="L827" s="93"/>
      <c r="M827" s="93"/>
      <c r="N827" s="93"/>
      <c r="O827" s="93"/>
      <c r="P827" s="93"/>
      <c r="Q827" s="93"/>
      <c r="R827" s="93"/>
      <c r="S827" s="93"/>
      <c r="T827" s="93"/>
      <c r="U827" s="93"/>
      <c r="V827" s="93"/>
      <c r="W827" s="93"/>
    </row>
    <row r="828" spans="2:23" s="14" customFormat="1" ht="17.100000000000001" customHeight="1">
      <c r="B828" s="89"/>
      <c r="C828" s="90"/>
      <c r="D828" s="91"/>
      <c r="E828" s="92"/>
      <c r="F828" s="89"/>
      <c r="G828" s="89"/>
      <c r="H828" s="89"/>
      <c r="I828" s="89"/>
      <c r="J828" s="89"/>
      <c r="K828" s="89"/>
      <c r="L828" s="93"/>
      <c r="M828" s="93"/>
      <c r="N828" s="93"/>
      <c r="O828" s="93"/>
      <c r="P828" s="93"/>
      <c r="Q828" s="93"/>
      <c r="R828" s="93"/>
      <c r="S828" s="93"/>
      <c r="T828" s="93"/>
      <c r="U828" s="93"/>
      <c r="V828" s="93"/>
      <c r="W828" s="93"/>
    </row>
    <row r="829" spans="2:23" s="14" customFormat="1" ht="17.100000000000001" customHeight="1">
      <c r="B829" s="89"/>
      <c r="C829" s="90"/>
      <c r="D829" s="91"/>
      <c r="E829" s="92"/>
      <c r="F829" s="89"/>
      <c r="G829" s="89"/>
      <c r="H829" s="89"/>
      <c r="I829" s="89"/>
      <c r="J829" s="89"/>
      <c r="K829" s="89"/>
      <c r="L829" s="93"/>
      <c r="M829" s="93"/>
      <c r="N829" s="93"/>
      <c r="O829" s="93"/>
      <c r="P829" s="93"/>
      <c r="Q829" s="93"/>
      <c r="R829" s="93"/>
      <c r="S829" s="93"/>
      <c r="T829" s="93"/>
      <c r="U829" s="93"/>
      <c r="V829" s="93"/>
      <c r="W829" s="93"/>
    </row>
    <row r="830" spans="2:23" s="14" customFormat="1" ht="17.100000000000001" customHeight="1">
      <c r="B830" s="89"/>
      <c r="C830" s="90"/>
      <c r="D830" s="91"/>
      <c r="E830" s="92"/>
      <c r="F830" s="89"/>
      <c r="G830" s="89"/>
      <c r="H830" s="89"/>
      <c r="I830" s="89"/>
      <c r="J830" s="89"/>
      <c r="K830" s="89"/>
      <c r="L830" s="93"/>
      <c r="M830" s="93"/>
      <c r="N830" s="93"/>
      <c r="O830" s="93"/>
      <c r="P830" s="93"/>
      <c r="Q830" s="93"/>
      <c r="R830" s="93"/>
      <c r="S830" s="93"/>
      <c r="T830" s="93"/>
      <c r="U830" s="93"/>
      <c r="V830" s="93"/>
      <c r="W830" s="93"/>
    </row>
    <row r="831" spans="2:23" s="14" customFormat="1" ht="17.100000000000001" customHeight="1">
      <c r="B831" s="89"/>
      <c r="C831" s="90"/>
      <c r="D831" s="91"/>
      <c r="E831" s="92"/>
      <c r="F831" s="89"/>
      <c r="G831" s="89"/>
      <c r="H831" s="89"/>
      <c r="I831" s="89"/>
      <c r="J831" s="89"/>
      <c r="K831" s="89"/>
      <c r="L831" s="93"/>
      <c r="M831" s="93"/>
      <c r="N831" s="93"/>
      <c r="O831" s="93"/>
      <c r="P831" s="93"/>
      <c r="Q831" s="93"/>
      <c r="R831" s="93"/>
      <c r="S831" s="93"/>
      <c r="T831" s="93"/>
      <c r="U831" s="93"/>
      <c r="V831" s="93"/>
      <c r="W831" s="93"/>
    </row>
    <row r="832" spans="2:23" s="14" customFormat="1" ht="17.100000000000001" customHeight="1">
      <c r="B832" s="89"/>
      <c r="C832" s="90"/>
      <c r="D832" s="91"/>
      <c r="E832" s="92"/>
      <c r="F832" s="89"/>
      <c r="G832" s="89"/>
      <c r="H832" s="89"/>
      <c r="I832" s="89"/>
      <c r="J832" s="89"/>
      <c r="K832" s="89"/>
      <c r="L832" s="93"/>
      <c r="M832" s="93"/>
      <c r="N832" s="93"/>
      <c r="O832" s="93"/>
      <c r="P832" s="93"/>
      <c r="Q832" s="93"/>
      <c r="R832" s="93"/>
      <c r="S832" s="93"/>
      <c r="T832" s="93"/>
      <c r="U832" s="93"/>
      <c r="V832" s="93"/>
      <c r="W832" s="93"/>
    </row>
    <row r="833" spans="2:23" s="14" customFormat="1" ht="17.100000000000001" customHeight="1">
      <c r="B833" s="89"/>
      <c r="C833" s="90"/>
      <c r="D833" s="91"/>
      <c r="E833" s="92"/>
      <c r="F833" s="89"/>
      <c r="G833" s="89"/>
      <c r="H833" s="89"/>
      <c r="I833" s="89"/>
      <c r="J833" s="89"/>
      <c r="K833" s="89"/>
      <c r="L833" s="93"/>
      <c r="M833" s="93"/>
      <c r="N833" s="93"/>
      <c r="O833" s="93"/>
      <c r="P833" s="93"/>
      <c r="Q833" s="93"/>
      <c r="R833" s="93"/>
      <c r="S833" s="93"/>
      <c r="T833" s="93"/>
      <c r="U833" s="93"/>
      <c r="V833" s="93"/>
      <c r="W833" s="93"/>
    </row>
    <row r="834" spans="2:23" s="14" customFormat="1" ht="17.100000000000001" customHeight="1">
      <c r="B834" s="89"/>
      <c r="C834" s="90"/>
      <c r="D834" s="91"/>
      <c r="E834" s="92"/>
      <c r="F834" s="89"/>
      <c r="G834" s="89"/>
      <c r="H834" s="89"/>
      <c r="I834" s="89"/>
      <c r="J834" s="89"/>
      <c r="K834" s="89"/>
      <c r="L834" s="93"/>
      <c r="M834" s="93"/>
      <c r="N834" s="93"/>
      <c r="O834" s="93"/>
      <c r="P834" s="93"/>
      <c r="Q834" s="93"/>
      <c r="R834" s="93"/>
      <c r="S834" s="93"/>
      <c r="T834" s="93"/>
      <c r="U834" s="93"/>
      <c r="V834" s="93"/>
      <c r="W834" s="93"/>
    </row>
    <row r="835" spans="2:23" s="14" customFormat="1" ht="17.100000000000001" customHeight="1">
      <c r="B835" s="89"/>
      <c r="C835" s="90"/>
      <c r="D835" s="91"/>
      <c r="E835" s="92"/>
      <c r="F835" s="89"/>
      <c r="G835" s="89"/>
      <c r="H835" s="89"/>
      <c r="I835" s="89"/>
      <c r="J835" s="89"/>
      <c r="K835" s="89"/>
      <c r="L835" s="93"/>
      <c r="M835" s="93"/>
      <c r="N835" s="93"/>
      <c r="O835" s="93"/>
      <c r="P835" s="93"/>
      <c r="Q835" s="93"/>
      <c r="R835" s="93"/>
      <c r="S835" s="93"/>
      <c r="T835" s="93"/>
      <c r="U835" s="93"/>
      <c r="V835" s="93"/>
      <c r="W835" s="93"/>
    </row>
    <row r="836" spans="2:23" s="14" customFormat="1" ht="17.100000000000001" customHeight="1">
      <c r="B836" s="89"/>
      <c r="C836" s="90"/>
      <c r="D836" s="91"/>
      <c r="E836" s="92"/>
      <c r="F836" s="89"/>
      <c r="G836" s="89"/>
      <c r="H836" s="89"/>
      <c r="I836" s="89"/>
      <c r="J836" s="89"/>
      <c r="K836" s="89"/>
      <c r="L836" s="93"/>
      <c r="M836" s="93"/>
      <c r="N836" s="93"/>
      <c r="O836" s="93"/>
      <c r="P836" s="93"/>
      <c r="Q836" s="93"/>
      <c r="R836" s="93"/>
      <c r="S836" s="93"/>
      <c r="T836" s="93"/>
      <c r="U836" s="93"/>
      <c r="V836" s="93"/>
      <c r="W836" s="93"/>
    </row>
    <row r="837" spans="2:23" s="14" customFormat="1" ht="17.100000000000001" customHeight="1">
      <c r="B837" s="89"/>
      <c r="C837" s="90"/>
      <c r="D837" s="91"/>
      <c r="E837" s="92"/>
      <c r="F837" s="89"/>
      <c r="G837" s="89"/>
      <c r="H837" s="89"/>
      <c r="I837" s="89"/>
      <c r="J837" s="89"/>
      <c r="K837" s="89"/>
      <c r="L837" s="93"/>
      <c r="M837" s="93"/>
      <c r="N837" s="93"/>
      <c r="O837" s="93"/>
      <c r="P837" s="93"/>
      <c r="Q837" s="93"/>
      <c r="R837" s="93"/>
      <c r="S837" s="93"/>
      <c r="T837" s="93"/>
      <c r="U837" s="93"/>
      <c r="V837" s="93"/>
      <c r="W837" s="93"/>
    </row>
    <row r="838" spans="2:23" s="14" customFormat="1" ht="17.100000000000001" customHeight="1">
      <c r="B838" s="89"/>
      <c r="C838" s="90"/>
      <c r="D838" s="91"/>
      <c r="E838" s="92"/>
      <c r="F838" s="89"/>
      <c r="G838" s="89"/>
      <c r="H838" s="89"/>
      <c r="I838" s="89"/>
      <c r="J838" s="89"/>
      <c r="K838" s="89"/>
      <c r="L838" s="93"/>
      <c r="M838" s="93"/>
      <c r="N838" s="93"/>
      <c r="O838" s="93"/>
      <c r="P838" s="93"/>
      <c r="Q838" s="93"/>
      <c r="R838" s="93"/>
      <c r="S838" s="93"/>
      <c r="T838" s="93"/>
      <c r="U838" s="93"/>
      <c r="V838" s="93"/>
      <c r="W838" s="93"/>
    </row>
    <row r="839" spans="2:23" s="14" customFormat="1" ht="17.100000000000001" customHeight="1">
      <c r="B839" s="89"/>
      <c r="C839" s="90"/>
      <c r="D839" s="91"/>
      <c r="E839" s="92"/>
      <c r="F839" s="89"/>
      <c r="G839" s="89"/>
      <c r="H839" s="89"/>
      <c r="I839" s="89"/>
      <c r="J839" s="89"/>
      <c r="K839" s="89"/>
      <c r="L839" s="93"/>
      <c r="M839" s="93"/>
      <c r="N839" s="93"/>
      <c r="O839" s="93"/>
      <c r="P839" s="93"/>
      <c r="Q839" s="93"/>
      <c r="R839" s="93"/>
      <c r="S839" s="93"/>
      <c r="T839" s="93"/>
      <c r="U839" s="93"/>
      <c r="V839" s="93"/>
      <c r="W839" s="93"/>
    </row>
    <row r="840" spans="2:23" s="14" customFormat="1" ht="17.100000000000001" customHeight="1">
      <c r="B840" s="89"/>
      <c r="C840" s="90"/>
      <c r="D840" s="91"/>
      <c r="E840" s="92"/>
      <c r="F840" s="89"/>
      <c r="G840" s="89"/>
      <c r="H840" s="89"/>
      <c r="I840" s="89"/>
      <c r="J840" s="89"/>
      <c r="K840" s="89"/>
      <c r="L840" s="93"/>
      <c r="M840" s="93"/>
      <c r="N840" s="93"/>
      <c r="O840" s="93"/>
      <c r="P840" s="93"/>
      <c r="Q840" s="93"/>
      <c r="R840" s="93"/>
      <c r="S840" s="93"/>
      <c r="T840" s="93"/>
      <c r="U840" s="93"/>
      <c r="V840" s="93"/>
      <c r="W840" s="93"/>
    </row>
    <row r="841" spans="2:23" s="14" customFormat="1" ht="17.100000000000001" customHeight="1">
      <c r="B841" s="89"/>
      <c r="C841" s="90"/>
      <c r="D841" s="91"/>
      <c r="E841" s="92"/>
      <c r="F841" s="89"/>
      <c r="G841" s="89"/>
      <c r="H841" s="89"/>
      <c r="I841" s="89"/>
      <c r="J841" s="89"/>
      <c r="K841" s="89"/>
      <c r="L841" s="93"/>
      <c r="M841" s="93"/>
      <c r="N841" s="93"/>
      <c r="O841" s="93"/>
      <c r="P841" s="93"/>
      <c r="Q841" s="93"/>
      <c r="R841" s="93"/>
      <c r="S841" s="93"/>
      <c r="T841" s="93"/>
      <c r="U841" s="93"/>
      <c r="V841" s="93"/>
      <c r="W841" s="93"/>
    </row>
    <row r="842" spans="2:23" s="14" customFormat="1" ht="17.100000000000001" customHeight="1">
      <c r="B842" s="89"/>
      <c r="C842" s="90"/>
      <c r="D842" s="91"/>
      <c r="E842" s="92"/>
      <c r="F842" s="89"/>
      <c r="G842" s="89"/>
      <c r="H842" s="89"/>
      <c r="I842" s="89"/>
      <c r="J842" s="89"/>
      <c r="K842" s="89"/>
      <c r="L842" s="93"/>
      <c r="M842" s="93"/>
      <c r="N842" s="93"/>
      <c r="O842" s="93"/>
      <c r="P842" s="93"/>
      <c r="Q842" s="93"/>
      <c r="R842" s="93"/>
      <c r="S842" s="93"/>
      <c r="T842" s="93"/>
      <c r="U842" s="93"/>
      <c r="V842" s="93"/>
      <c r="W842" s="93"/>
    </row>
    <row r="843" spans="2:23" s="14" customFormat="1" ht="17.100000000000001" customHeight="1">
      <c r="B843" s="89"/>
      <c r="C843" s="90"/>
      <c r="D843" s="91"/>
      <c r="E843" s="92"/>
      <c r="F843" s="89"/>
      <c r="G843" s="89"/>
      <c r="H843" s="89"/>
      <c r="I843" s="89"/>
      <c r="J843" s="89"/>
      <c r="K843" s="89"/>
      <c r="L843" s="93"/>
      <c r="M843" s="93"/>
      <c r="N843" s="93"/>
      <c r="O843" s="93"/>
      <c r="P843" s="93"/>
      <c r="Q843" s="93"/>
      <c r="R843" s="93"/>
      <c r="S843" s="93"/>
      <c r="T843" s="93"/>
      <c r="U843" s="93"/>
      <c r="V843" s="93"/>
      <c r="W843" s="93"/>
    </row>
    <row r="844" spans="2:23" s="14" customFormat="1" ht="17.100000000000001" customHeight="1">
      <c r="B844" s="89"/>
      <c r="C844" s="90"/>
      <c r="D844" s="91"/>
      <c r="E844" s="92"/>
      <c r="F844" s="89"/>
      <c r="G844" s="89"/>
      <c r="H844" s="89"/>
      <c r="I844" s="89"/>
      <c r="J844" s="89"/>
      <c r="K844" s="89"/>
      <c r="L844" s="93"/>
      <c r="M844" s="93"/>
      <c r="N844" s="93"/>
      <c r="O844" s="93"/>
      <c r="P844" s="93"/>
      <c r="Q844" s="93"/>
      <c r="R844" s="93"/>
      <c r="S844" s="93"/>
      <c r="T844" s="93"/>
      <c r="U844" s="93"/>
      <c r="V844" s="93"/>
      <c r="W844" s="93"/>
    </row>
    <row r="845" spans="2:23" s="14" customFormat="1" ht="17.100000000000001" customHeight="1">
      <c r="B845" s="89"/>
      <c r="C845" s="90"/>
      <c r="D845" s="91"/>
      <c r="E845" s="92"/>
      <c r="F845" s="89"/>
      <c r="G845" s="89"/>
      <c r="H845" s="89"/>
      <c r="I845" s="89"/>
      <c r="J845" s="89"/>
      <c r="K845" s="89"/>
      <c r="L845" s="93"/>
      <c r="M845" s="93"/>
      <c r="N845" s="93"/>
      <c r="O845" s="93"/>
      <c r="P845" s="93"/>
      <c r="Q845" s="93"/>
      <c r="R845" s="93"/>
      <c r="S845" s="93"/>
      <c r="T845" s="93"/>
      <c r="U845" s="93"/>
      <c r="V845" s="93"/>
      <c r="W845" s="93"/>
    </row>
    <row r="846" spans="2:23" s="14" customFormat="1" ht="17.100000000000001" customHeight="1">
      <c r="B846" s="89"/>
      <c r="C846" s="90"/>
      <c r="D846" s="91"/>
      <c r="E846" s="92"/>
      <c r="F846" s="89"/>
      <c r="G846" s="89"/>
      <c r="H846" s="89"/>
      <c r="I846" s="89"/>
      <c r="J846" s="89"/>
      <c r="K846" s="89"/>
      <c r="L846" s="93"/>
      <c r="M846" s="93"/>
      <c r="N846" s="93"/>
      <c r="O846" s="93"/>
      <c r="P846" s="93"/>
      <c r="Q846" s="93"/>
      <c r="R846" s="93"/>
      <c r="S846" s="93"/>
      <c r="T846" s="93"/>
      <c r="U846" s="93"/>
      <c r="V846" s="93"/>
      <c r="W846" s="93"/>
    </row>
    <row r="847" spans="2:23" s="14" customFormat="1" ht="17.100000000000001" customHeight="1">
      <c r="B847" s="89"/>
      <c r="C847" s="90"/>
      <c r="D847" s="91"/>
      <c r="E847" s="92"/>
      <c r="F847" s="89"/>
      <c r="G847" s="89"/>
      <c r="H847" s="89"/>
      <c r="I847" s="89"/>
      <c r="J847" s="89"/>
      <c r="K847" s="89"/>
      <c r="L847" s="93"/>
      <c r="M847" s="93"/>
      <c r="N847" s="93"/>
      <c r="O847" s="93"/>
      <c r="P847" s="93"/>
      <c r="Q847" s="93"/>
      <c r="R847" s="93"/>
      <c r="S847" s="93"/>
      <c r="T847" s="93"/>
      <c r="U847" s="93"/>
      <c r="V847" s="93"/>
      <c r="W847" s="93"/>
    </row>
    <row r="848" spans="2:23" s="14" customFormat="1" ht="17.100000000000001" customHeight="1">
      <c r="B848" s="89"/>
      <c r="C848" s="90"/>
      <c r="D848" s="91"/>
      <c r="E848" s="92"/>
      <c r="F848" s="89"/>
      <c r="G848" s="89"/>
      <c r="H848" s="89"/>
      <c r="I848" s="89"/>
      <c r="J848" s="89"/>
      <c r="K848" s="89"/>
      <c r="L848" s="93"/>
      <c r="M848" s="93"/>
      <c r="N848" s="93"/>
      <c r="O848" s="93"/>
      <c r="P848" s="93"/>
      <c r="Q848" s="93"/>
      <c r="R848" s="93"/>
      <c r="S848" s="93"/>
      <c r="T848" s="93"/>
      <c r="U848" s="93"/>
      <c r="V848" s="93"/>
      <c r="W848" s="93"/>
    </row>
    <row r="849" spans="2:23" s="14" customFormat="1" ht="17.100000000000001" customHeight="1">
      <c r="B849" s="89"/>
      <c r="C849" s="90"/>
      <c r="D849" s="91"/>
      <c r="E849" s="92"/>
      <c r="F849" s="89"/>
      <c r="G849" s="89"/>
      <c r="H849" s="89"/>
      <c r="I849" s="89"/>
      <c r="J849" s="89"/>
      <c r="K849" s="89"/>
      <c r="L849" s="93"/>
      <c r="M849" s="93"/>
      <c r="N849" s="93"/>
      <c r="O849" s="93"/>
      <c r="P849" s="93"/>
      <c r="Q849" s="93"/>
      <c r="R849" s="93"/>
      <c r="S849" s="93"/>
      <c r="T849" s="93"/>
      <c r="U849" s="93"/>
      <c r="V849" s="93"/>
      <c r="W849" s="93"/>
    </row>
    <row r="850" spans="2:23" s="14" customFormat="1" ht="17.100000000000001" customHeight="1">
      <c r="B850" s="89"/>
      <c r="C850" s="90"/>
      <c r="D850" s="91"/>
      <c r="E850" s="92"/>
      <c r="F850" s="89"/>
      <c r="G850" s="89"/>
      <c r="H850" s="89"/>
      <c r="I850" s="89"/>
      <c r="J850" s="89"/>
      <c r="K850" s="89"/>
      <c r="L850" s="93"/>
      <c r="M850" s="93"/>
      <c r="N850" s="93"/>
      <c r="O850" s="93"/>
      <c r="P850" s="93"/>
      <c r="Q850" s="93"/>
      <c r="R850" s="93"/>
      <c r="S850" s="93"/>
      <c r="T850" s="93"/>
      <c r="U850" s="93"/>
      <c r="V850" s="93"/>
      <c r="W850" s="93"/>
    </row>
    <row r="851" spans="2:23" s="14" customFormat="1" ht="17.100000000000001" customHeight="1">
      <c r="B851" s="89"/>
      <c r="C851" s="90"/>
      <c r="D851" s="91"/>
      <c r="E851" s="92"/>
      <c r="F851" s="89"/>
      <c r="G851" s="89"/>
      <c r="H851" s="89"/>
      <c r="I851" s="89"/>
      <c r="J851" s="89"/>
      <c r="K851" s="89"/>
      <c r="L851" s="93"/>
      <c r="M851" s="93"/>
      <c r="N851" s="93"/>
      <c r="O851" s="93"/>
      <c r="P851" s="93"/>
      <c r="Q851" s="93"/>
      <c r="R851" s="93"/>
      <c r="S851" s="93"/>
      <c r="T851" s="93"/>
      <c r="U851" s="93"/>
      <c r="V851" s="93"/>
      <c r="W851" s="93"/>
    </row>
    <row r="852" spans="2:23" s="14" customFormat="1" ht="17.100000000000001" customHeight="1">
      <c r="B852" s="89"/>
      <c r="C852" s="90"/>
      <c r="D852" s="91"/>
      <c r="E852" s="92"/>
      <c r="F852" s="89"/>
      <c r="G852" s="89"/>
      <c r="H852" s="89"/>
      <c r="I852" s="89"/>
      <c r="J852" s="89"/>
      <c r="K852" s="89"/>
      <c r="L852" s="93"/>
      <c r="M852" s="93"/>
      <c r="N852" s="93"/>
      <c r="O852" s="93"/>
      <c r="P852" s="93"/>
      <c r="Q852" s="93"/>
      <c r="R852" s="93"/>
      <c r="S852" s="93"/>
      <c r="T852" s="93"/>
      <c r="U852" s="93"/>
      <c r="V852" s="93"/>
      <c r="W852" s="93"/>
    </row>
    <row r="853" spans="2:23" s="14" customFormat="1" ht="17.100000000000001" customHeight="1">
      <c r="B853" s="89"/>
      <c r="C853" s="90"/>
      <c r="D853" s="91"/>
      <c r="E853" s="92"/>
      <c r="F853" s="89"/>
      <c r="G853" s="89"/>
      <c r="H853" s="89"/>
      <c r="I853" s="89"/>
      <c r="J853" s="89"/>
      <c r="K853" s="89"/>
      <c r="L853" s="93"/>
      <c r="M853" s="93"/>
      <c r="N853" s="93"/>
      <c r="O853" s="93"/>
      <c r="P853" s="93"/>
      <c r="Q853" s="93"/>
      <c r="R853" s="93"/>
      <c r="S853" s="93"/>
      <c r="T853" s="93"/>
      <c r="U853" s="93"/>
      <c r="V853" s="93"/>
      <c r="W853" s="93"/>
    </row>
    <row r="854" spans="2:23" s="14" customFormat="1" ht="17.100000000000001" customHeight="1">
      <c r="B854" s="89"/>
      <c r="C854" s="90"/>
      <c r="D854" s="91"/>
      <c r="E854" s="92"/>
      <c r="F854" s="89"/>
      <c r="G854" s="89"/>
      <c r="H854" s="89"/>
      <c r="I854" s="89"/>
      <c r="J854" s="89"/>
      <c r="K854" s="89"/>
      <c r="L854" s="93"/>
      <c r="M854" s="93"/>
      <c r="N854" s="93"/>
      <c r="O854" s="93"/>
      <c r="P854" s="93"/>
      <c r="Q854" s="93"/>
      <c r="R854" s="93"/>
      <c r="S854" s="93"/>
      <c r="T854" s="93"/>
      <c r="U854" s="93"/>
      <c r="V854" s="93"/>
      <c r="W854" s="93"/>
    </row>
    <row r="855" spans="2:23" s="14" customFormat="1" ht="17.100000000000001" customHeight="1">
      <c r="B855" s="89"/>
      <c r="C855" s="90"/>
      <c r="D855" s="91"/>
      <c r="E855" s="92"/>
      <c r="F855" s="89"/>
      <c r="G855" s="89"/>
      <c r="H855" s="89"/>
      <c r="I855" s="89"/>
      <c r="J855" s="89"/>
      <c r="K855" s="89"/>
      <c r="L855" s="93"/>
      <c r="M855" s="93"/>
      <c r="N855" s="93"/>
      <c r="O855" s="93"/>
      <c r="P855" s="93"/>
      <c r="Q855" s="93"/>
      <c r="R855" s="93"/>
      <c r="S855" s="93"/>
      <c r="T855" s="93"/>
      <c r="U855" s="93"/>
      <c r="V855" s="93"/>
      <c r="W855" s="93"/>
    </row>
    <row r="856" spans="2:23" s="14" customFormat="1" ht="17.100000000000001" customHeight="1">
      <c r="B856" s="89"/>
      <c r="C856" s="90"/>
      <c r="D856" s="91"/>
      <c r="E856" s="92"/>
      <c r="F856" s="89"/>
      <c r="G856" s="89"/>
      <c r="H856" s="89"/>
      <c r="I856" s="89"/>
      <c r="J856" s="89"/>
      <c r="K856" s="89"/>
      <c r="L856" s="93"/>
      <c r="M856" s="93"/>
      <c r="N856" s="93"/>
      <c r="O856" s="93"/>
      <c r="P856" s="93"/>
      <c r="Q856" s="93"/>
      <c r="R856" s="93"/>
      <c r="S856" s="93"/>
      <c r="T856" s="93"/>
      <c r="U856" s="93"/>
      <c r="V856" s="93"/>
      <c r="W856" s="93"/>
    </row>
    <row r="857" spans="2:23" s="14" customFormat="1" ht="17.100000000000001" customHeight="1">
      <c r="B857" s="89"/>
      <c r="C857" s="90"/>
      <c r="D857" s="91"/>
      <c r="E857" s="92"/>
      <c r="F857" s="89"/>
      <c r="G857" s="89"/>
      <c r="H857" s="89"/>
      <c r="I857" s="89"/>
      <c r="J857" s="89"/>
      <c r="K857" s="89"/>
      <c r="L857" s="93"/>
      <c r="M857" s="93"/>
      <c r="N857" s="93"/>
      <c r="O857" s="93"/>
      <c r="P857" s="93"/>
      <c r="Q857" s="93"/>
      <c r="R857" s="93"/>
      <c r="S857" s="93"/>
      <c r="T857" s="93"/>
      <c r="U857" s="93"/>
      <c r="V857" s="93"/>
      <c r="W857" s="93"/>
    </row>
    <row r="858" spans="2:23" s="14" customFormat="1" ht="17.100000000000001" customHeight="1">
      <c r="B858" s="89"/>
      <c r="C858" s="90"/>
      <c r="D858" s="91"/>
      <c r="E858" s="92"/>
      <c r="F858" s="89"/>
      <c r="G858" s="89"/>
      <c r="H858" s="89"/>
      <c r="I858" s="89"/>
      <c r="J858" s="89"/>
      <c r="K858" s="89"/>
      <c r="L858" s="93"/>
      <c r="M858" s="93"/>
      <c r="N858" s="93"/>
      <c r="O858" s="93"/>
      <c r="P858" s="93"/>
      <c r="Q858" s="93"/>
      <c r="R858" s="93"/>
      <c r="S858" s="93"/>
      <c r="T858" s="93"/>
      <c r="U858" s="93"/>
      <c r="V858" s="93"/>
      <c r="W858" s="93"/>
    </row>
    <row r="859" spans="2:23" s="14" customFormat="1" ht="17.100000000000001" customHeight="1">
      <c r="B859" s="89"/>
      <c r="C859" s="90"/>
      <c r="D859" s="91"/>
      <c r="E859" s="92"/>
      <c r="F859" s="89"/>
      <c r="G859" s="89"/>
      <c r="H859" s="89"/>
      <c r="I859" s="89"/>
      <c r="J859" s="89"/>
      <c r="K859" s="89"/>
      <c r="L859" s="93"/>
      <c r="M859" s="93"/>
      <c r="N859" s="93"/>
      <c r="O859" s="93"/>
      <c r="P859" s="93"/>
      <c r="Q859" s="93"/>
      <c r="R859" s="93"/>
      <c r="S859" s="93"/>
      <c r="T859" s="93"/>
      <c r="U859" s="93"/>
      <c r="V859" s="93"/>
      <c r="W859" s="93"/>
    </row>
    <row r="860" spans="2:23" s="14" customFormat="1" ht="17.100000000000001" customHeight="1">
      <c r="B860" s="89"/>
      <c r="C860" s="90"/>
      <c r="D860" s="91"/>
      <c r="E860" s="92"/>
      <c r="F860" s="89"/>
      <c r="G860" s="89"/>
      <c r="H860" s="89"/>
      <c r="I860" s="89"/>
      <c r="J860" s="89"/>
      <c r="K860" s="89"/>
      <c r="L860" s="93"/>
      <c r="M860" s="93"/>
      <c r="N860" s="93"/>
      <c r="O860" s="93"/>
      <c r="P860" s="93"/>
      <c r="Q860" s="93"/>
      <c r="R860" s="93"/>
      <c r="S860" s="93"/>
      <c r="T860" s="93"/>
      <c r="U860" s="93"/>
      <c r="V860" s="93"/>
      <c r="W860" s="93"/>
    </row>
    <row r="861" spans="2:23" s="14" customFormat="1" ht="17.100000000000001" customHeight="1">
      <c r="B861" s="89"/>
      <c r="C861" s="90"/>
      <c r="D861" s="91"/>
      <c r="E861" s="92"/>
      <c r="F861" s="89"/>
      <c r="G861" s="89"/>
      <c r="H861" s="89"/>
      <c r="I861" s="89"/>
      <c r="J861" s="89"/>
      <c r="K861" s="89"/>
      <c r="L861" s="93"/>
      <c r="M861" s="93"/>
      <c r="N861" s="93"/>
      <c r="O861" s="93"/>
      <c r="P861" s="93"/>
      <c r="Q861" s="93"/>
      <c r="R861" s="93"/>
      <c r="S861" s="93"/>
      <c r="T861" s="93"/>
      <c r="U861" s="93"/>
      <c r="V861" s="93"/>
      <c r="W861" s="93"/>
    </row>
    <row r="862" spans="2:23" s="14" customFormat="1" ht="17.100000000000001" customHeight="1">
      <c r="B862" s="89"/>
      <c r="C862" s="90"/>
      <c r="D862" s="91"/>
      <c r="E862" s="92"/>
      <c r="F862" s="89"/>
      <c r="G862" s="89"/>
      <c r="H862" s="89"/>
      <c r="I862" s="89"/>
      <c r="J862" s="89"/>
      <c r="K862" s="89"/>
      <c r="L862" s="93"/>
      <c r="M862" s="93"/>
      <c r="N862" s="93"/>
      <c r="O862" s="93"/>
      <c r="P862" s="93"/>
      <c r="Q862" s="93"/>
      <c r="R862" s="93"/>
      <c r="S862" s="93"/>
      <c r="T862" s="93"/>
      <c r="U862" s="93"/>
      <c r="V862" s="93"/>
      <c r="W862" s="93"/>
    </row>
    <row r="863" spans="2:23" s="14" customFormat="1" ht="17.100000000000001" customHeight="1">
      <c r="B863" s="89"/>
      <c r="C863" s="90"/>
      <c r="D863" s="91"/>
      <c r="E863" s="92"/>
      <c r="F863" s="89"/>
      <c r="G863" s="89"/>
      <c r="H863" s="89"/>
      <c r="I863" s="89"/>
      <c r="J863" s="89"/>
      <c r="K863" s="89"/>
      <c r="L863" s="93"/>
      <c r="M863" s="93"/>
      <c r="N863" s="93"/>
      <c r="O863" s="93"/>
      <c r="P863" s="93"/>
      <c r="Q863" s="93"/>
      <c r="R863" s="93"/>
      <c r="S863" s="93"/>
      <c r="T863" s="93"/>
      <c r="U863" s="93"/>
      <c r="V863" s="93"/>
      <c r="W863" s="93"/>
    </row>
    <row r="864" spans="2:23" s="14" customFormat="1" ht="17.100000000000001" customHeight="1">
      <c r="B864" s="89"/>
      <c r="C864" s="90"/>
      <c r="D864" s="91"/>
      <c r="E864" s="92"/>
      <c r="F864" s="89"/>
      <c r="G864" s="89"/>
      <c r="H864" s="89"/>
      <c r="I864" s="89"/>
      <c r="J864" s="89"/>
      <c r="K864" s="89"/>
      <c r="L864" s="93"/>
      <c r="M864" s="93"/>
      <c r="N864" s="93"/>
      <c r="O864" s="93"/>
      <c r="P864" s="93"/>
      <c r="Q864" s="93"/>
      <c r="R864" s="93"/>
      <c r="S864" s="93"/>
      <c r="T864" s="93"/>
      <c r="U864" s="93"/>
      <c r="V864" s="93"/>
      <c r="W864" s="93"/>
    </row>
    <row r="865" spans="2:23" s="14" customFormat="1" ht="17.100000000000001" customHeight="1">
      <c r="B865" s="89"/>
      <c r="C865" s="90"/>
      <c r="D865" s="91"/>
      <c r="E865" s="92"/>
      <c r="F865" s="89"/>
      <c r="G865" s="89"/>
      <c r="H865" s="89"/>
      <c r="I865" s="89"/>
      <c r="J865" s="89"/>
      <c r="K865" s="89"/>
      <c r="L865" s="93"/>
      <c r="M865" s="93"/>
      <c r="N865" s="93"/>
      <c r="O865" s="93"/>
      <c r="P865" s="93"/>
      <c r="Q865" s="93"/>
      <c r="R865" s="93"/>
      <c r="S865" s="93"/>
      <c r="T865" s="93"/>
      <c r="U865" s="93"/>
      <c r="V865" s="93"/>
      <c r="W865" s="93"/>
    </row>
    <row r="866" spans="2:23" s="14" customFormat="1" ht="17.100000000000001" customHeight="1">
      <c r="B866" s="89"/>
      <c r="C866" s="90"/>
      <c r="D866" s="91"/>
      <c r="E866" s="92"/>
      <c r="F866" s="89"/>
      <c r="G866" s="89"/>
      <c r="H866" s="89"/>
      <c r="I866" s="89"/>
      <c r="J866" s="89"/>
      <c r="K866" s="89"/>
      <c r="L866" s="93"/>
      <c r="M866" s="93"/>
      <c r="N866" s="93"/>
      <c r="O866" s="93"/>
      <c r="P866" s="93"/>
      <c r="Q866" s="93"/>
      <c r="R866" s="93"/>
      <c r="S866" s="93"/>
      <c r="T866" s="93"/>
      <c r="U866" s="93"/>
      <c r="V866" s="93"/>
      <c r="W866" s="93"/>
    </row>
    <row r="867" spans="2:23" s="14" customFormat="1" ht="17.100000000000001" customHeight="1">
      <c r="B867" s="89"/>
      <c r="C867" s="90"/>
      <c r="D867" s="91"/>
      <c r="E867" s="92"/>
      <c r="F867" s="89"/>
      <c r="G867" s="89"/>
      <c r="H867" s="89"/>
      <c r="I867" s="89"/>
      <c r="J867" s="89"/>
      <c r="K867" s="89"/>
      <c r="L867" s="93"/>
      <c r="M867" s="93"/>
      <c r="N867" s="93"/>
      <c r="O867" s="93"/>
      <c r="P867" s="93"/>
      <c r="Q867" s="93"/>
      <c r="R867" s="93"/>
      <c r="S867" s="93"/>
      <c r="T867" s="93"/>
      <c r="U867" s="93"/>
      <c r="V867" s="93"/>
      <c r="W867" s="93"/>
    </row>
    <row r="868" spans="2:23" s="14" customFormat="1" ht="17.100000000000001" customHeight="1">
      <c r="B868" s="89"/>
      <c r="C868" s="90"/>
      <c r="D868" s="91"/>
      <c r="E868" s="92"/>
      <c r="F868" s="89"/>
      <c r="G868" s="89"/>
      <c r="H868" s="89"/>
      <c r="I868" s="89"/>
      <c r="J868" s="89"/>
      <c r="K868" s="89"/>
      <c r="L868" s="93"/>
      <c r="M868" s="93"/>
      <c r="N868" s="93"/>
      <c r="O868" s="93"/>
      <c r="P868" s="93"/>
      <c r="Q868" s="93"/>
      <c r="R868" s="93"/>
      <c r="S868" s="93"/>
      <c r="T868" s="93"/>
      <c r="U868" s="93"/>
      <c r="V868" s="93"/>
      <c r="W868" s="93"/>
    </row>
    <row r="869" spans="2:23" s="14" customFormat="1" ht="17.100000000000001" customHeight="1">
      <c r="B869" s="89"/>
      <c r="C869" s="90"/>
      <c r="D869" s="91"/>
      <c r="E869" s="92"/>
      <c r="F869" s="89"/>
      <c r="G869" s="89"/>
      <c r="H869" s="89"/>
      <c r="I869" s="89"/>
      <c r="J869" s="89"/>
      <c r="K869" s="89"/>
      <c r="L869" s="93"/>
      <c r="M869" s="93"/>
      <c r="N869" s="93"/>
      <c r="O869" s="93"/>
      <c r="P869" s="93"/>
      <c r="Q869" s="93"/>
      <c r="R869" s="93"/>
      <c r="S869" s="93"/>
      <c r="T869" s="93"/>
      <c r="U869" s="93"/>
      <c r="V869" s="93"/>
      <c r="W869" s="93"/>
    </row>
    <row r="870" spans="2:23" s="14" customFormat="1" ht="17.100000000000001" customHeight="1">
      <c r="B870" s="89"/>
      <c r="C870" s="90"/>
      <c r="D870" s="91"/>
      <c r="E870" s="92"/>
      <c r="F870" s="89"/>
      <c r="G870" s="89"/>
      <c r="H870" s="89"/>
      <c r="I870" s="89"/>
      <c r="J870" s="89"/>
      <c r="K870" s="89"/>
      <c r="L870" s="93"/>
      <c r="M870" s="93"/>
      <c r="N870" s="93"/>
      <c r="O870" s="93"/>
      <c r="P870" s="93"/>
      <c r="Q870" s="93"/>
      <c r="R870" s="93"/>
      <c r="S870" s="93"/>
      <c r="T870" s="93"/>
      <c r="U870" s="93"/>
      <c r="V870" s="93"/>
      <c r="W870" s="93"/>
    </row>
    <row r="871" spans="2:23" s="14" customFormat="1" ht="17.100000000000001" customHeight="1">
      <c r="B871" s="89"/>
      <c r="C871" s="90"/>
      <c r="D871" s="91"/>
      <c r="E871" s="92"/>
      <c r="F871" s="89"/>
      <c r="G871" s="89"/>
      <c r="H871" s="89"/>
      <c r="I871" s="89"/>
      <c r="J871" s="89"/>
      <c r="K871" s="89"/>
      <c r="L871" s="93"/>
      <c r="M871" s="93"/>
      <c r="N871" s="93"/>
      <c r="O871" s="93"/>
      <c r="P871" s="93"/>
      <c r="Q871" s="93"/>
      <c r="R871" s="93"/>
      <c r="S871" s="93"/>
      <c r="T871" s="93"/>
      <c r="U871" s="93"/>
      <c r="V871" s="93"/>
      <c r="W871" s="93"/>
    </row>
    <row r="872" spans="2:23" s="14" customFormat="1" ht="17.100000000000001" customHeight="1">
      <c r="B872" s="89"/>
      <c r="C872" s="90"/>
      <c r="D872" s="91"/>
      <c r="E872" s="92"/>
      <c r="F872" s="89"/>
      <c r="G872" s="89"/>
      <c r="H872" s="89"/>
      <c r="I872" s="89"/>
      <c r="J872" s="89"/>
      <c r="K872" s="89"/>
      <c r="L872" s="93"/>
      <c r="M872" s="93"/>
      <c r="N872" s="93"/>
      <c r="O872" s="93"/>
      <c r="P872" s="93"/>
      <c r="Q872" s="93"/>
      <c r="R872" s="93"/>
      <c r="S872" s="93"/>
      <c r="T872" s="93"/>
      <c r="U872" s="93"/>
      <c r="V872" s="93"/>
      <c r="W872" s="93"/>
    </row>
    <row r="873" spans="2:23" s="14" customFormat="1" ht="17.100000000000001" customHeight="1">
      <c r="B873" s="89"/>
      <c r="C873" s="90"/>
      <c r="D873" s="91"/>
      <c r="E873" s="92"/>
      <c r="F873" s="89"/>
      <c r="G873" s="89"/>
      <c r="H873" s="89"/>
      <c r="I873" s="89"/>
      <c r="J873" s="89"/>
      <c r="K873" s="89"/>
      <c r="L873" s="93"/>
      <c r="M873" s="93"/>
      <c r="N873" s="93"/>
      <c r="O873" s="93"/>
      <c r="P873" s="93"/>
      <c r="Q873" s="93"/>
      <c r="R873" s="93"/>
      <c r="S873" s="93"/>
      <c r="T873" s="93"/>
      <c r="U873" s="93"/>
      <c r="V873" s="93"/>
      <c r="W873" s="93"/>
    </row>
    <row r="874" spans="2:23" s="14" customFormat="1" ht="17.100000000000001" customHeight="1">
      <c r="B874" s="89"/>
      <c r="C874" s="90"/>
      <c r="D874" s="91"/>
      <c r="E874" s="92"/>
      <c r="F874" s="89"/>
      <c r="G874" s="89"/>
      <c r="H874" s="89"/>
      <c r="I874" s="89"/>
      <c r="J874" s="89"/>
      <c r="K874" s="89"/>
      <c r="L874" s="93"/>
      <c r="M874" s="93"/>
      <c r="N874" s="93"/>
      <c r="O874" s="93"/>
      <c r="P874" s="93"/>
      <c r="Q874" s="93"/>
      <c r="R874" s="93"/>
      <c r="S874" s="93"/>
      <c r="T874" s="93"/>
      <c r="U874" s="93"/>
      <c r="V874" s="93"/>
      <c r="W874" s="93"/>
    </row>
    <row r="875" spans="2:23" s="14" customFormat="1" ht="17.100000000000001" customHeight="1">
      <c r="B875" s="89"/>
      <c r="C875" s="90"/>
      <c r="D875" s="91"/>
      <c r="E875" s="92"/>
      <c r="F875" s="89"/>
      <c r="G875" s="89"/>
      <c r="H875" s="89"/>
      <c r="I875" s="89"/>
      <c r="J875" s="89"/>
      <c r="K875" s="89"/>
      <c r="L875" s="93"/>
      <c r="M875" s="93"/>
      <c r="N875" s="93"/>
      <c r="O875" s="93"/>
      <c r="P875" s="93"/>
      <c r="Q875" s="93"/>
      <c r="R875" s="93"/>
      <c r="S875" s="93"/>
      <c r="T875" s="93"/>
      <c r="U875" s="93"/>
      <c r="V875" s="93"/>
      <c r="W875" s="93"/>
    </row>
    <row r="876" spans="2:23" s="14" customFormat="1" ht="17.100000000000001" customHeight="1">
      <c r="B876" s="89"/>
      <c r="C876" s="90"/>
      <c r="D876" s="91"/>
      <c r="E876" s="92"/>
      <c r="F876" s="89"/>
      <c r="G876" s="89"/>
      <c r="H876" s="89"/>
      <c r="I876" s="89"/>
      <c r="J876" s="89"/>
      <c r="K876" s="89"/>
      <c r="L876" s="93"/>
      <c r="M876" s="93"/>
      <c r="N876" s="93"/>
      <c r="O876" s="93"/>
      <c r="P876" s="93"/>
      <c r="Q876" s="93"/>
      <c r="R876" s="93"/>
      <c r="S876" s="93"/>
      <c r="T876" s="93"/>
      <c r="U876" s="93"/>
      <c r="V876" s="93"/>
      <c r="W876" s="93"/>
    </row>
    <row r="877" spans="2:23" s="14" customFormat="1" ht="17.100000000000001" customHeight="1">
      <c r="B877" s="89"/>
      <c r="C877" s="90"/>
      <c r="D877" s="91"/>
      <c r="E877" s="92"/>
      <c r="F877" s="89"/>
      <c r="G877" s="89"/>
      <c r="H877" s="89"/>
      <c r="I877" s="89"/>
      <c r="J877" s="89"/>
      <c r="K877" s="89"/>
      <c r="L877" s="93"/>
      <c r="M877" s="93"/>
      <c r="N877" s="93"/>
      <c r="O877" s="93"/>
      <c r="P877" s="93"/>
      <c r="Q877" s="93"/>
      <c r="R877" s="93"/>
      <c r="S877" s="93"/>
      <c r="T877" s="93"/>
      <c r="U877" s="93"/>
      <c r="V877" s="93"/>
      <c r="W877" s="93"/>
    </row>
    <row r="878" spans="2:23" s="14" customFormat="1" ht="17.100000000000001" customHeight="1">
      <c r="B878" s="89"/>
      <c r="C878" s="90"/>
      <c r="D878" s="91"/>
      <c r="E878" s="92"/>
      <c r="F878" s="89"/>
      <c r="G878" s="89"/>
      <c r="H878" s="89"/>
      <c r="I878" s="89"/>
      <c r="J878" s="89"/>
      <c r="K878" s="89"/>
      <c r="L878" s="93"/>
      <c r="M878" s="93"/>
      <c r="N878" s="93"/>
      <c r="O878" s="93"/>
      <c r="P878" s="93"/>
      <c r="Q878" s="93"/>
      <c r="R878" s="93"/>
      <c r="S878" s="93"/>
      <c r="T878" s="93"/>
      <c r="U878" s="93"/>
      <c r="V878" s="93"/>
      <c r="W878" s="93"/>
    </row>
    <row r="879" spans="2:23" s="14" customFormat="1" ht="17.100000000000001" customHeight="1">
      <c r="B879" s="89"/>
      <c r="C879" s="90"/>
      <c r="D879" s="91"/>
      <c r="E879" s="92"/>
      <c r="F879" s="89"/>
      <c r="G879" s="89"/>
      <c r="H879" s="89"/>
      <c r="I879" s="89"/>
      <c r="J879" s="89"/>
      <c r="K879" s="89"/>
      <c r="L879" s="93"/>
      <c r="M879" s="93"/>
      <c r="N879" s="93"/>
      <c r="O879" s="93"/>
      <c r="P879" s="93"/>
      <c r="Q879" s="93"/>
      <c r="R879" s="93"/>
      <c r="S879" s="93"/>
      <c r="T879" s="93"/>
      <c r="U879" s="93"/>
      <c r="V879" s="93"/>
      <c r="W879" s="93"/>
    </row>
    <row r="880" spans="2:23" s="14" customFormat="1" ht="17.100000000000001" customHeight="1">
      <c r="B880" s="89"/>
      <c r="C880" s="90"/>
      <c r="D880" s="91"/>
      <c r="E880" s="92"/>
      <c r="F880" s="89"/>
      <c r="G880" s="89"/>
      <c r="H880" s="89"/>
      <c r="I880" s="89"/>
      <c r="J880" s="89"/>
      <c r="K880" s="89"/>
      <c r="L880" s="93"/>
      <c r="M880" s="93"/>
      <c r="N880" s="93"/>
      <c r="O880" s="93"/>
      <c r="P880" s="93"/>
      <c r="Q880" s="93"/>
      <c r="R880" s="93"/>
      <c r="S880" s="93"/>
      <c r="T880" s="93"/>
      <c r="U880" s="93"/>
      <c r="V880" s="93"/>
      <c r="W880" s="93"/>
    </row>
    <row r="881" spans="2:23" s="14" customFormat="1" ht="17.100000000000001" customHeight="1">
      <c r="B881" s="89"/>
      <c r="C881" s="90"/>
      <c r="D881" s="91"/>
      <c r="E881" s="92"/>
      <c r="F881" s="89"/>
      <c r="G881" s="89"/>
      <c r="H881" s="89"/>
      <c r="I881" s="89"/>
      <c r="J881" s="89"/>
      <c r="K881" s="89"/>
      <c r="L881" s="93"/>
      <c r="M881" s="93"/>
      <c r="N881" s="93"/>
      <c r="O881" s="93"/>
      <c r="P881" s="93"/>
      <c r="Q881" s="93"/>
      <c r="R881" s="93"/>
      <c r="S881" s="93"/>
      <c r="T881" s="93"/>
      <c r="U881" s="93"/>
      <c r="V881" s="93"/>
      <c r="W881" s="93"/>
    </row>
    <row r="882" spans="2:23" s="14" customFormat="1" ht="17.100000000000001" customHeight="1">
      <c r="B882" s="89"/>
      <c r="C882" s="90"/>
      <c r="D882" s="91"/>
      <c r="E882" s="92"/>
      <c r="F882" s="89"/>
      <c r="G882" s="89"/>
      <c r="H882" s="89"/>
      <c r="I882" s="89"/>
      <c r="J882" s="89"/>
      <c r="K882" s="89"/>
      <c r="L882" s="93"/>
      <c r="M882" s="93"/>
      <c r="N882" s="93"/>
      <c r="O882" s="93"/>
      <c r="P882" s="93"/>
      <c r="Q882" s="93"/>
      <c r="R882" s="93"/>
      <c r="S882" s="93"/>
      <c r="T882" s="93"/>
      <c r="U882" s="93"/>
      <c r="V882" s="93"/>
      <c r="W882" s="93"/>
    </row>
    <row r="883" spans="2:23" s="14" customFormat="1" ht="17.100000000000001" customHeight="1">
      <c r="B883" s="89"/>
      <c r="C883" s="90"/>
      <c r="D883" s="91"/>
      <c r="E883" s="92"/>
      <c r="F883" s="89"/>
      <c r="G883" s="89"/>
      <c r="H883" s="89"/>
      <c r="I883" s="89"/>
      <c r="J883" s="89"/>
      <c r="K883" s="89"/>
      <c r="L883" s="93"/>
      <c r="M883" s="93"/>
      <c r="N883" s="93"/>
      <c r="O883" s="93"/>
      <c r="P883" s="93"/>
      <c r="Q883" s="93"/>
      <c r="R883" s="93"/>
      <c r="S883" s="93"/>
      <c r="T883" s="93"/>
      <c r="U883" s="93"/>
      <c r="V883" s="93"/>
      <c r="W883" s="93"/>
    </row>
    <row r="884" spans="2:23" s="14" customFormat="1" ht="17.100000000000001" customHeight="1">
      <c r="B884" s="89"/>
      <c r="C884" s="90"/>
      <c r="D884" s="91"/>
      <c r="E884" s="92"/>
      <c r="F884" s="89"/>
      <c r="G884" s="89"/>
      <c r="H884" s="89"/>
      <c r="I884" s="89"/>
      <c r="J884" s="89"/>
      <c r="K884" s="89"/>
      <c r="L884" s="93"/>
      <c r="M884" s="93"/>
      <c r="N884" s="93"/>
      <c r="O884" s="93"/>
      <c r="P884" s="93"/>
      <c r="Q884" s="93"/>
      <c r="R884" s="93"/>
      <c r="S884" s="93"/>
      <c r="T884" s="93"/>
      <c r="U884" s="93"/>
      <c r="V884" s="93"/>
      <c r="W884" s="93"/>
    </row>
    <row r="885" spans="2:23" s="14" customFormat="1" ht="17.100000000000001" customHeight="1">
      <c r="B885" s="89"/>
      <c r="C885" s="90"/>
      <c r="D885" s="91"/>
      <c r="E885" s="92"/>
      <c r="F885" s="89"/>
      <c r="G885" s="89"/>
      <c r="H885" s="89"/>
      <c r="I885" s="89"/>
      <c r="J885" s="89"/>
      <c r="K885" s="89"/>
      <c r="L885" s="93"/>
      <c r="M885" s="93"/>
      <c r="N885" s="93"/>
      <c r="O885" s="93"/>
      <c r="P885" s="93"/>
      <c r="Q885" s="93"/>
      <c r="R885" s="93"/>
      <c r="S885" s="93"/>
      <c r="T885" s="93"/>
      <c r="U885" s="93"/>
      <c r="V885" s="93"/>
      <c r="W885" s="93"/>
    </row>
    <row r="886" spans="2:23" s="14" customFormat="1" ht="17.100000000000001" customHeight="1">
      <c r="B886" s="89"/>
      <c r="C886" s="90"/>
      <c r="D886" s="91"/>
      <c r="E886" s="92"/>
      <c r="F886" s="89"/>
      <c r="G886" s="89"/>
      <c r="H886" s="89"/>
      <c r="I886" s="89"/>
      <c r="J886" s="89"/>
      <c r="K886" s="89"/>
      <c r="L886" s="93"/>
      <c r="M886" s="93"/>
      <c r="N886" s="93"/>
      <c r="O886" s="93"/>
      <c r="P886" s="93"/>
      <c r="Q886" s="93"/>
      <c r="R886" s="93"/>
      <c r="S886" s="93"/>
      <c r="T886" s="93"/>
      <c r="U886" s="93"/>
      <c r="V886" s="93"/>
      <c r="W886" s="93"/>
    </row>
    <row r="887" spans="2:23" s="14" customFormat="1" ht="17.100000000000001" customHeight="1">
      <c r="B887" s="89"/>
      <c r="C887" s="90"/>
      <c r="D887" s="91"/>
      <c r="E887" s="92"/>
      <c r="F887" s="89"/>
      <c r="G887" s="89"/>
      <c r="H887" s="89"/>
      <c r="I887" s="89"/>
      <c r="J887" s="89"/>
      <c r="K887" s="89"/>
      <c r="L887" s="93"/>
      <c r="M887" s="93"/>
      <c r="N887" s="93"/>
      <c r="O887" s="93"/>
      <c r="P887" s="93"/>
      <c r="Q887" s="93"/>
      <c r="R887" s="93"/>
      <c r="S887" s="93"/>
      <c r="T887" s="93"/>
      <c r="U887" s="93"/>
      <c r="V887" s="93"/>
      <c r="W887" s="93"/>
    </row>
    <row r="888" spans="2:23" s="14" customFormat="1" ht="17.100000000000001" customHeight="1">
      <c r="B888" s="89"/>
      <c r="C888" s="90"/>
      <c r="D888" s="91"/>
      <c r="E888" s="92"/>
      <c r="F888" s="89"/>
      <c r="G888" s="89"/>
      <c r="H888" s="89"/>
      <c r="I888" s="89"/>
      <c r="J888" s="89"/>
      <c r="K888" s="89"/>
      <c r="L888" s="93"/>
      <c r="M888" s="93"/>
      <c r="N888" s="93"/>
      <c r="O888" s="93"/>
      <c r="P888" s="93"/>
      <c r="Q888" s="93"/>
      <c r="R888" s="93"/>
      <c r="S888" s="93"/>
      <c r="T888" s="93"/>
      <c r="U888" s="93"/>
      <c r="V888" s="93"/>
      <c r="W888" s="93"/>
    </row>
    <row r="889" spans="2:23" s="14" customFormat="1" ht="17.100000000000001" customHeight="1">
      <c r="B889" s="89"/>
      <c r="C889" s="90"/>
      <c r="D889" s="91"/>
      <c r="E889" s="92"/>
      <c r="F889" s="89"/>
      <c r="G889" s="89"/>
      <c r="H889" s="89"/>
      <c r="I889" s="89"/>
      <c r="J889" s="89"/>
      <c r="K889" s="89"/>
      <c r="L889" s="93"/>
      <c r="M889" s="93"/>
      <c r="N889" s="93"/>
      <c r="O889" s="93"/>
      <c r="P889" s="93"/>
      <c r="Q889" s="93"/>
      <c r="R889" s="93"/>
      <c r="S889" s="93"/>
      <c r="T889" s="93"/>
      <c r="U889" s="93"/>
      <c r="V889" s="93"/>
      <c r="W889" s="93"/>
    </row>
    <row r="890" spans="2:23" s="14" customFormat="1" ht="17.100000000000001" customHeight="1">
      <c r="B890" s="89"/>
      <c r="C890" s="90"/>
      <c r="D890" s="91"/>
      <c r="E890" s="92"/>
      <c r="F890" s="89"/>
      <c r="G890" s="89"/>
      <c r="H890" s="89"/>
      <c r="I890" s="89"/>
      <c r="J890" s="89"/>
      <c r="K890" s="89"/>
      <c r="L890" s="93"/>
      <c r="M890" s="93"/>
      <c r="N890" s="93"/>
      <c r="O890" s="93"/>
      <c r="P890" s="93"/>
      <c r="Q890" s="93"/>
      <c r="R890" s="93"/>
      <c r="S890" s="93"/>
      <c r="T890" s="93"/>
      <c r="U890" s="93"/>
      <c r="V890" s="93"/>
      <c r="W890" s="93"/>
    </row>
    <row r="891" spans="2:23" s="14" customFormat="1" ht="17.100000000000001" customHeight="1">
      <c r="B891" s="89"/>
      <c r="C891" s="90"/>
      <c r="D891" s="91"/>
      <c r="E891" s="92"/>
      <c r="F891" s="89"/>
      <c r="G891" s="89"/>
      <c r="H891" s="89"/>
      <c r="I891" s="89"/>
      <c r="J891" s="89"/>
      <c r="K891" s="89"/>
      <c r="L891" s="93"/>
      <c r="M891" s="93"/>
      <c r="N891" s="93"/>
      <c r="O891" s="93"/>
      <c r="P891" s="93"/>
      <c r="Q891" s="93"/>
      <c r="R891" s="93"/>
      <c r="S891" s="93"/>
      <c r="T891" s="93"/>
      <c r="U891" s="93"/>
      <c r="V891" s="93"/>
      <c r="W891" s="93"/>
    </row>
    <row r="892" spans="2:23" s="14" customFormat="1" ht="17.100000000000001" customHeight="1">
      <c r="B892" s="89"/>
      <c r="C892" s="90"/>
      <c r="D892" s="91"/>
      <c r="E892" s="92"/>
      <c r="F892" s="89"/>
      <c r="G892" s="89"/>
      <c r="H892" s="89"/>
      <c r="I892" s="89"/>
      <c r="J892" s="89"/>
      <c r="K892" s="89"/>
      <c r="L892" s="93"/>
      <c r="M892" s="93"/>
      <c r="N892" s="93"/>
      <c r="O892" s="93"/>
      <c r="P892" s="93"/>
      <c r="Q892" s="93"/>
      <c r="R892" s="93"/>
      <c r="S892" s="93"/>
      <c r="T892" s="93"/>
      <c r="U892" s="93"/>
      <c r="V892" s="93"/>
      <c r="W892" s="93"/>
    </row>
    <row r="893" spans="2:23" s="14" customFormat="1" ht="17.100000000000001" customHeight="1">
      <c r="B893" s="89"/>
      <c r="C893" s="90"/>
      <c r="D893" s="91"/>
      <c r="E893" s="92"/>
      <c r="F893" s="89"/>
      <c r="G893" s="89"/>
      <c r="H893" s="89"/>
      <c r="I893" s="89"/>
      <c r="J893" s="89"/>
      <c r="K893" s="89"/>
      <c r="L893" s="93"/>
      <c r="M893" s="93"/>
      <c r="N893" s="93"/>
      <c r="O893" s="93"/>
      <c r="P893" s="93"/>
      <c r="Q893" s="93"/>
      <c r="R893" s="93"/>
      <c r="S893" s="93"/>
      <c r="T893" s="93"/>
      <c r="U893" s="93"/>
      <c r="V893" s="93"/>
      <c r="W893" s="93"/>
    </row>
    <row r="894" spans="2:23" s="14" customFormat="1" ht="17.100000000000001" customHeight="1">
      <c r="B894" s="89"/>
      <c r="C894" s="90"/>
      <c r="D894" s="91"/>
      <c r="E894" s="92"/>
      <c r="F894" s="89"/>
      <c r="G894" s="89"/>
      <c r="H894" s="89"/>
      <c r="I894" s="89"/>
      <c r="J894" s="89"/>
      <c r="K894" s="89"/>
      <c r="L894" s="93"/>
      <c r="M894" s="93"/>
      <c r="N894" s="93"/>
      <c r="O894" s="93"/>
      <c r="P894" s="93"/>
      <c r="Q894" s="93"/>
      <c r="R894" s="93"/>
      <c r="S894" s="93"/>
      <c r="T894" s="93"/>
      <c r="U894" s="93"/>
      <c r="V894" s="93"/>
      <c r="W894" s="93"/>
    </row>
    <row r="895" spans="2:23" s="14" customFormat="1" ht="17.100000000000001" customHeight="1">
      <c r="B895" s="89"/>
      <c r="C895" s="90"/>
      <c r="D895" s="91"/>
      <c r="E895" s="92"/>
      <c r="F895" s="89"/>
      <c r="G895" s="89"/>
      <c r="H895" s="89"/>
      <c r="I895" s="89"/>
      <c r="J895" s="89"/>
      <c r="K895" s="89"/>
      <c r="L895" s="93"/>
      <c r="M895" s="93"/>
      <c r="N895" s="93"/>
      <c r="O895" s="93"/>
      <c r="P895" s="93"/>
      <c r="Q895" s="93"/>
      <c r="R895" s="93"/>
      <c r="S895" s="93"/>
      <c r="T895" s="93"/>
      <c r="U895" s="93"/>
      <c r="V895" s="93"/>
      <c r="W895" s="93"/>
    </row>
    <row r="896" spans="2:23" s="14" customFormat="1" ht="17.100000000000001" customHeight="1">
      <c r="B896" s="89"/>
      <c r="C896" s="90"/>
      <c r="D896" s="91"/>
      <c r="E896" s="92"/>
      <c r="F896" s="89"/>
      <c r="G896" s="89"/>
      <c r="H896" s="89"/>
      <c r="I896" s="89"/>
      <c r="J896" s="89"/>
      <c r="K896" s="89"/>
      <c r="L896" s="93"/>
      <c r="M896" s="93"/>
      <c r="N896" s="93"/>
      <c r="O896" s="93"/>
      <c r="P896" s="93"/>
      <c r="Q896" s="93"/>
      <c r="R896" s="93"/>
      <c r="S896" s="93"/>
      <c r="T896" s="93"/>
      <c r="U896" s="93"/>
      <c r="V896" s="93"/>
      <c r="W896" s="93"/>
    </row>
    <row r="897" spans="2:23" s="14" customFormat="1" ht="17.100000000000001" customHeight="1">
      <c r="B897" s="89"/>
      <c r="C897" s="90"/>
      <c r="D897" s="91"/>
      <c r="E897" s="92"/>
      <c r="F897" s="89"/>
      <c r="G897" s="89"/>
      <c r="H897" s="89"/>
      <c r="I897" s="89"/>
      <c r="J897" s="89"/>
      <c r="K897" s="89"/>
      <c r="L897" s="93"/>
      <c r="M897" s="93"/>
      <c r="N897" s="93"/>
      <c r="O897" s="93"/>
      <c r="P897" s="93"/>
      <c r="Q897" s="93"/>
      <c r="R897" s="93"/>
      <c r="S897" s="93"/>
      <c r="T897" s="93"/>
      <c r="U897" s="93"/>
      <c r="V897" s="93"/>
      <c r="W897" s="93"/>
    </row>
    <row r="898" spans="2:23" s="14" customFormat="1" ht="17.100000000000001" customHeight="1">
      <c r="B898" s="89"/>
      <c r="C898" s="90"/>
      <c r="D898" s="91"/>
      <c r="E898" s="92"/>
      <c r="F898" s="89"/>
      <c r="G898" s="89"/>
      <c r="H898" s="89"/>
      <c r="I898" s="89"/>
      <c r="J898" s="89"/>
      <c r="K898" s="89"/>
      <c r="L898" s="93"/>
      <c r="M898" s="93"/>
      <c r="N898" s="93"/>
      <c r="O898" s="93"/>
      <c r="P898" s="93"/>
      <c r="Q898" s="93"/>
      <c r="R898" s="93"/>
      <c r="S898" s="93"/>
      <c r="T898" s="93"/>
      <c r="U898" s="93"/>
      <c r="V898" s="93"/>
      <c r="W898" s="93"/>
    </row>
    <row r="899" spans="2:23" s="14" customFormat="1" ht="17.100000000000001" customHeight="1">
      <c r="B899" s="89"/>
      <c r="C899" s="90"/>
      <c r="D899" s="91"/>
      <c r="E899" s="92"/>
      <c r="F899" s="89"/>
      <c r="G899" s="89"/>
      <c r="H899" s="89"/>
      <c r="I899" s="89"/>
      <c r="J899" s="89"/>
      <c r="K899" s="89"/>
      <c r="L899" s="93"/>
      <c r="M899" s="93"/>
      <c r="N899" s="93"/>
      <c r="O899" s="93"/>
      <c r="P899" s="93"/>
      <c r="Q899" s="93"/>
      <c r="R899" s="93"/>
      <c r="S899" s="93"/>
      <c r="T899" s="93"/>
      <c r="U899" s="93"/>
      <c r="V899" s="93"/>
      <c r="W899" s="93"/>
    </row>
    <row r="900" spans="2:23" s="14" customFormat="1" ht="17.100000000000001" customHeight="1">
      <c r="B900" s="89"/>
      <c r="C900" s="90"/>
      <c r="D900" s="91"/>
      <c r="E900" s="92"/>
      <c r="F900" s="89"/>
      <c r="G900" s="89"/>
      <c r="H900" s="89"/>
      <c r="I900" s="89"/>
      <c r="J900" s="89"/>
      <c r="K900" s="89"/>
      <c r="L900" s="93"/>
      <c r="M900" s="93"/>
      <c r="N900" s="93"/>
      <c r="O900" s="93"/>
      <c r="P900" s="93"/>
      <c r="Q900" s="93"/>
      <c r="R900" s="93"/>
      <c r="S900" s="93"/>
      <c r="T900" s="93"/>
      <c r="U900" s="93"/>
      <c r="V900" s="93"/>
      <c r="W900" s="93"/>
    </row>
    <row r="901" spans="2:23" s="14" customFormat="1" ht="17.100000000000001" customHeight="1">
      <c r="B901" s="89"/>
      <c r="C901" s="90"/>
      <c r="D901" s="91"/>
      <c r="E901" s="92"/>
      <c r="F901" s="89"/>
      <c r="G901" s="89"/>
      <c r="H901" s="89"/>
      <c r="I901" s="89"/>
      <c r="J901" s="89"/>
      <c r="K901" s="89"/>
      <c r="L901" s="93"/>
      <c r="M901" s="93"/>
      <c r="N901" s="93"/>
      <c r="O901" s="93"/>
      <c r="P901" s="93"/>
      <c r="Q901" s="93"/>
      <c r="R901" s="93"/>
      <c r="S901" s="93"/>
      <c r="T901" s="93"/>
      <c r="U901" s="93"/>
      <c r="V901" s="93"/>
      <c r="W901" s="93"/>
    </row>
    <row r="902" spans="2:23" s="14" customFormat="1" ht="17.100000000000001" customHeight="1">
      <c r="B902" s="89"/>
      <c r="C902" s="90"/>
      <c r="D902" s="91"/>
      <c r="E902" s="92"/>
      <c r="F902" s="89"/>
      <c r="G902" s="89"/>
      <c r="H902" s="89"/>
      <c r="I902" s="89"/>
      <c r="J902" s="89"/>
      <c r="K902" s="89"/>
      <c r="L902" s="93"/>
      <c r="M902" s="93"/>
      <c r="N902" s="93"/>
      <c r="O902" s="93"/>
      <c r="P902" s="93"/>
      <c r="Q902" s="93"/>
      <c r="R902" s="93"/>
      <c r="S902" s="93"/>
      <c r="T902" s="93"/>
      <c r="U902" s="93"/>
      <c r="V902" s="93"/>
      <c r="W902" s="93"/>
    </row>
    <row r="903" spans="2:23" s="14" customFormat="1" ht="17.100000000000001" customHeight="1">
      <c r="B903" s="89"/>
      <c r="C903" s="90"/>
      <c r="D903" s="91"/>
      <c r="E903" s="92"/>
      <c r="F903" s="89"/>
      <c r="G903" s="89"/>
      <c r="H903" s="89"/>
      <c r="I903" s="89"/>
      <c r="J903" s="89"/>
      <c r="K903" s="89"/>
      <c r="L903" s="93"/>
      <c r="M903" s="93"/>
      <c r="N903" s="93"/>
      <c r="O903" s="93"/>
      <c r="P903" s="93"/>
      <c r="Q903" s="93"/>
      <c r="R903" s="93"/>
      <c r="S903" s="93"/>
      <c r="T903" s="93"/>
      <c r="U903" s="93"/>
      <c r="V903" s="93"/>
      <c r="W903" s="93"/>
    </row>
    <row r="904" spans="2:23" s="14" customFormat="1" ht="17.100000000000001" customHeight="1">
      <c r="B904" s="89"/>
      <c r="C904" s="90"/>
      <c r="D904" s="91"/>
      <c r="E904" s="92"/>
      <c r="F904" s="89"/>
      <c r="G904" s="89"/>
      <c r="H904" s="89"/>
      <c r="I904" s="89"/>
      <c r="J904" s="89"/>
      <c r="K904" s="89"/>
      <c r="L904" s="93"/>
      <c r="M904" s="93"/>
      <c r="N904" s="93"/>
      <c r="O904" s="93"/>
      <c r="P904" s="93"/>
      <c r="Q904" s="93"/>
      <c r="R904" s="93"/>
      <c r="S904" s="93"/>
      <c r="T904" s="93"/>
      <c r="U904" s="93"/>
      <c r="V904" s="93"/>
      <c r="W904" s="93"/>
    </row>
    <row r="905" spans="2:23" s="14" customFormat="1" ht="17.100000000000001" customHeight="1">
      <c r="B905" s="89"/>
      <c r="C905" s="90"/>
      <c r="D905" s="91"/>
      <c r="E905" s="92"/>
      <c r="F905" s="89"/>
      <c r="G905" s="89"/>
      <c r="H905" s="89"/>
      <c r="I905" s="89"/>
      <c r="J905" s="89"/>
      <c r="K905" s="89"/>
      <c r="L905" s="93"/>
      <c r="M905" s="93"/>
      <c r="N905" s="93"/>
      <c r="O905" s="93"/>
      <c r="P905" s="93"/>
      <c r="Q905" s="93"/>
      <c r="R905" s="93"/>
      <c r="S905" s="93"/>
      <c r="T905" s="93"/>
      <c r="U905" s="93"/>
      <c r="V905" s="93"/>
      <c r="W905" s="93"/>
    </row>
    <row r="906" spans="2:23" s="14" customFormat="1" ht="17.100000000000001" customHeight="1">
      <c r="B906" s="89"/>
      <c r="C906" s="90"/>
      <c r="D906" s="91"/>
      <c r="E906" s="92"/>
      <c r="F906" s="89"/>
      <c r="G906" s="89"/>
      <c r="H906" s="89"/>
      <c r="I906" s="89"/>
      <c r="J906" s="89"/>
      <c r="K906" s="89"/>
      <c r="L906" s="93"/>
      <c r="M906" s="93"/>
      <c r="N906" s="93"/>
      <c r="O906" s="93"/>
      <c r="P906" s="93"/>
      <c r="Q906" s="93"/>
      <c r="R906" s="93"/>
      <c r="S906" s="93"/>
      <c r="T906" s="93"/>
      <c r="U906" s="93"/>
      <c r="V906" s="93"/>
      <c r="W906" s="93"/>
    </row>
    <row r="907" spans="2:23" s="14" customFormat="1" ht="17.100000000000001" customHeight="1">
      <c r="B907" s="89"/>
      <c r="C907" s="90"/>
      <c r="D907" s="91"/>
      <c r="E907" s="92"/>
      <c r="F907" s="89"/>
      <c r="G907" s="89"/>
      <c r="H907" s="89"/>
      <c r="I907" s="89"/>
      <c r="J907" s="89"/>
      <c r="K907" s="89"/>
      <c r="L907" s="93"/>
      <c r="M907" s="93"/>
      <c r="N907" s="93"/>
      <c r="O907" s="93"/>
      <c r="P907" s="93"/>
      <c r="Q907" s="93"/>
      <c r="R907" s="93"/>
      <c r="S907" s="93"/>
      <c r="T907" s="93"/>
      <c r="U907" s="93"/>
      <c r="V907" s="93"/>
      <c r="W907" s="93"/>
    </row>
    <row r="908" spans="2:23" s="14" customFormat="1" ht="17.100000000000001" customHeight="1">
      <c r="B908" s="89"/>
      <c r="C908" s="90"/>
      <c r="D908" s="91"/>
      <c r="E908" s="92"/>
      <c r="F908" s="89"/>
      <c r="G908" s="89"/>
      <c r="H908" s="89"/>
      <c r="I908" s="89"/>
      <c r="J908" s="89"/>
      <c r="K908" s="89"/>
      <c r="L908" s="93"/>
      <c r="M908" s="93"/>
      <c r="N908" s="93"/>
      <c r="O908" s="93"/>
      <c r="P908" s="93"/>
      <c r="Q908" s="93"/>
      <c r="R908" s="93"/>
      <c r="S908" s="93"/>
      <c r="T908" s="93"/>
      <c r="U908" s="93"/>
      <c r="V908" s="93"/>
      <c r="W908" s="93"/>
    </row>
    <row r="909" spans="2:23" s="14" customFormat="1" ht="17.100000000000001" customHeight="1">
      <c r="B909" s="89"/>
      <c r="C909" s="90"/>
      <c r="D909" s="91"/>
      <c r="E909" s="92"/>
      <c r="F909" s="89"/>
      <c r="G909" s="89"/>
      <c r="H909" s="89"/>
      <c r="I909" s="89"/>
      <c r="J909" s="89"/>
      <c r="K909" s="89"/>
      <c r="L909" s="93"/>
      <c r="M909" s="93"/>
      <c r="N909" s="93"/>
      <c r="O909" s="93"/>
      <c r="P909" s="93"/>
      <c r="Q909" s="93"/>
      <c r="R909" s="93"/>
      <c r="S909" s="93"/>
      <c r="T909" s="93"/>
      <c r="U909" s="93"/>
      <c r="V909" s="93"/>
      <c r="W909" s="93"/>
    </row>
    <row r="910" spans="2:23" s="14" customFormat="1" ht="17.100000000000001" customHeight="1">
      <c r="B910" s="89"/>
      <c r="C910" s="90"/>
      <c r="D910" s="91"/>
      <c r="E910" s="92"/>
      <c r="F910" s="89"/>
      <c r="G910" s="89"/>
      <c r="H910" s="89"/>
      <c r="I910" s="89"/>
      <c r="J910" s="89"/>
      <c r="K910" s="89"/>
      <c r="L910" s="93"/>
      <c r="M910" s="93"/>
      <c r="N910" s="93"/>
      <c r="O910" s="93"/>
      <c r="P910" s="93"/>
      <c r="Q910" s="93"/>
      <c r="R910" s="93"/>
      <c r="S910" s="93"/>
      <c r="T910" s="93"/>
      <c r="U910" s="93"/>
      <c r="V910" s="93"/>
      <c r="W910" s="93"/>
    </row>
    <row r="911" spans="2:23" s="14" customFormat="1" ht="17.100000000000001" customHeight="1">
      <c r="B911" s="89"/>
      <c r="C911" s="90"/>
      <c r="D911" s="91"/>
      <c r="E911" s="92"/>
      <c r="F911" s="89"/>
      <c r="G911" s="89"/>
      <c r="H911" s="89"/>
      <c r="I911" s="89"/>
      <c r="J911" s="89"/>
      <c r="K911" s="89"/>
      <c r="L911" s="93"/>
      <c r="M911" s="93"/>
      <c r="N911" s="93"/>
      <c r="O911" s="93"/>
      <c r="P911" s="93"/>
      <c r="Q911" s="93"/>
      <c r="R911" s="93"/>
      <c r="S911" s="93"/>
      <c r="T911" s="93"/>
      <c r="U911" s="93"/>
      <c r="V911" s="93"/>
      <c r="W911" s="93"/>
    </row>
    <row r="912" spans="2:23" s="14" customFormat="1" ht="17.100000000000001" customHeight="1">
      <c r="B912" s="89"/>
      <c r="C912" s="90"/>
      <c r="D912" s="91"/>
      <c r="E912" s="92"/>
      <c r="F912" s="89"/>
      <c r="G912" s="89"/>
      <c r="H912" s="89"/>
      <c r="I912" s="89"/>
      <c r="J912" s="89"/>
      <c r="K912" s="89"/>
      <c r="L912" s="93"/>
      <c r="M912" s="93"/>
      <c r="N912" s="93"/>
      <c r="O912" s="93"/>
      <c r="P912" s="93"/>
      <c r="Q912" s="93"/>
      <c r="R912" s="93"/>
      <c r="S912" s="93"/>
      <c r="T912" s="93"/>
      <c r="U912" s="93"/>
      <c r="V912" s="93"/>
      <c r="W912" s="93"/>
    </row>
    <row r="913" spans="2:23" s="14" customFormat="1" ht="17.100000000000001" customHeight="1">
      <c r="B913" s="89"/>
      <c r="C913" s="90"/>
      <c r="D913" s="91"/>
      <c r="E913" s="92"/>
      <c r="F913" s="89"/>
      <c r="G913" s="89"/>
      <c r="H913" s="89"/>
      <c r="I913" s="89"/>
      <c r="J913" s="89"/>
      <c r="K913" s="89"/>
      <c r="L913" s="93"/>
      <c r="M913" s="93"/>
      <c r="N913" s="93"/>
      <c r="O913" s="93"/>
      <c r="P913" s="93"/>
      <c r="Q913" s="93"/>
      <c r="R913" s="93"/>
      <c r="S913" s="93"/>
      <c r="T913" s="93"/>
      <c r="U913" s="93"/>
      <c r="V913" s="93"/>
      <c r="W913" s="93"/>
    </row>
    <row r="914" spans="2:23" s="14" customFormat="1" ht="17.100000000000001" customHeight="1">
      <c r="B914" s="89"/>
      <c r="C914" s="90"/>
      <c r="D914" s="91"/>
      <c r="E914" s="92"/>
      <c r="F914" s="89"/>
      <c r="G914" s="89"/>
      <c r="H914" s="89"/>
      <c r="I914" s="89"/>
      <c r="J914" s="89"/>
      <c r="K914" s="89"/>
      <c r="L914" s="93"/>
      <c r="M914" s="93"/>
      <c r="N914" s="93"/>
      <c r="O914" s="93"/>
      <c r="P914" s="93"/>
      <c r="Q914" s="93"/>
      <c r="R914" s="93"/>
      <c r="S914" s="93"/>
      <c r="T914" s="93"/>
      <c r="U914" s="93"/>
      <c r="V914" s="93"/>
      <c r="W914" s="93"/>
    </row>
    <row r="915" spans="2:23" s="14" customFormat="1" ht="17.100000000000001" customHeight="1">
      <c r="B915" s="89"/>
      <c r="C915" s="90"/>
      <c r="D915" s="91"/>
      <c r="E915" s="92"/>
      <c r="F915" s="89"/>
      <c r="G915" s="89"/>
      <c r="H915" s="89"/>
      <c r="I915" s="89"/>
      <c r="J915" s="89"/>
      <c r="K915" s="89"/>
      <c r="L915" s="93"/>
      <c r="M915" s="93"/>
      <c r="N915" s="93"/>
      <c r="O915" s="93"/>
      <c r="P915" s="93"/>
      <c r="Q915" s="93"/>
      <c r="R915" s="93"/>
      <c r="S915" s="93"/>
      <c r="T915" s="93"/>
      <c r="U915" s="93"/>
      <c r="V915" s="93"/>
      <c r="W915" s="93"/>
    </row>
    <row r="916" spans="2:23" s="14" customFormat="1" ht="17.100000000000001" customHeight="1">
      <c r="B916" s="89"/>
      <c r="C916" s="90"/>
      <c r="D916" s="91"/>
      <c r="E916" s="92"/>
      <c r="F916" s="89"/>
      <c r="G916" s="89"/>
      <c r="H916" s="89"/>
      <c r="I916" s="89"/>
      <c r="J916" s="89"/>
      <c r="K916" s="89"/>
      <c r="L916" s="93"/>
      <c r="M916" s="93"/>
      <c r="N916" s="93"/>
      <c r="O916" s="93"/>
      <c r="P916" s="93"/>
      <c r="Q916" s="93"/>
      <c r="R916" s="93"/>
      <c r="S916" s="93"/>
      <c r="T916" s="93"/>
      <c r="U916" s="93"/>
      <c r="V916" s="93"/>
      <c r="W916" s="93"/>
    </row>
    <row r="917" spans="2:23" s="14" customFormat="1" ht="17.100000000000001" customHeight="1">
      <c r="B917" s="89"/>
      <c r="C917" s="90"/>
      <c r="D917" s="91"/>
      <c r="E917" s="92"/>
      <c r="F917" s="89"/>
      <c r="G917" s="89"/>
      <c r="H917" s="89"/>
      <c r="I917" s="89"/>
      <c r="J917" s="89"/>
      <c r="K917" s="89"/>
      <c r="L917" s="93"/>
      <c r="M917" s="93"/>
      <c r="N917" s="93"/>
      <c r="O917" s="93"/>
      <c r="P917" s="93"/>
      <c r="Q917" s="93"/>
      <c r="R917" s="93"/>
      <c r="S917" s="93"/>
      <c r="T917" s="93"/>
      <c r="U917" s="93"/>
      <c r="V917" s="93"/>
      <c r="W917" s="93"/>
    </row>
    <row r="918" spans="2:23" s="14" customFormat="1" ht="17.100000000000001" customHeight="1">
      <c r="B918" s="89"/>
      <c r="C918" s="90"/>
      <c r="D918" s="91"/>
      <c r="E918" s="92"/>
      <c r="F918" s="89"/>
      <c r="G918" s="89"/>
      <c r="H918" s="89"/>
      <c r="I918" s="89"/>
      <c r="J918" s="89"/>
      <c r="K918" s="89"/>
      <c r="L918" s="93"/>
      <c r="M918" s="93"/>
      <c r="N918" s="93"/>
      <c r="O918" s="93"/>
      <c r="P918" s="93"/>
      <c r="Q918" s="93"/>
      <c r="R918" s="93"/>
      <c r="S918" s="93"/>
      <c r="T918" s="93"/>
      <c r="U918" s="93"/>
      <c r="V918" s="93"/>
      <c r="W918" s="93"/>
    </row>
    <row r="919" spans="2:23" s="14" customFormat="1" ht="17.100000000000001" customHeight="1">
      <c r="B919" s="89"/>
      <c r="C919" s="90"/>
      <c r="D919" s="91"/>
      <c r="E919" s="92"/>
      <c r="F919" s="89"/>
      <c r="G919" s="89"/>
      <c r="H919" s="89"/>
      <c r="I919" s="89"/>
      <c r="J919" s="89"/>
      <c r="K919" s="89"/>
      <c r="L919" s="93"/>
      <c r="M919" s="93"/>
      <c r="N919" s="93"/>
      <c r="O919" s="93"/>
      <c r="P919" s="93"/>
      <c r="Q919" s="93"/>
      <c r="R919" s="93"/>
      <c r="S919" s="93"/>
      <c r="T919" s="93"/>
      <c r="U919" s="93"/>
      <c r="V919" s="93"/>
      <c r="W919" s="93"/>
    </row>
    <row r="920" spans="2:23" s="14" customFormat="1" ht="17.100000000000001" customHeight="1">
      <c r="B920" s="89"/>
      <c r="C920" s="90"/>
      <c r="D920" s="91"/>
      <c r="E920" s="92"/>
      <c r="F920" s="89"/>
      <c r="G920" s="89"/>
      <c r="H920" s="89"/>
      <c r="I920" s="89"/>
      <c r="J920" s="89"/>
      <c r="K920" s="89"/>
      <c r="L920" s="93"/>
      <c r="M920" s="93"/>
      <c r="N920" s="93"/>
      <c r="O920" s="93"/>
      <c r="P920" s="93"/>
      <c r="Q920" s="93"/>
      <c r="R920" s="93"/>
      <c r="S920" s="93"/>
      <c r="T920" s="93"/>
      <c r="U920" s="93"/>
      <c r="V920" s="93"/>
      <c r="W920" s="93"/>
    </row>
    <row r="921" spans="2:23" s="14" customFormat="1" ht="17.100000000000001" customHeight="1">
      <c r="B921" s="89"/>
      <c r="C921" s="90"/>
      <c r="D921" s="91"/>
      <c r="E921" s="92"/>
      <c r="F921" s="89"/>
      <c r="G921" s="89"/>
      <c r="H921" s="89"/>
      <c r="I921" s="89"/>
      <c r="J921" s="89"/>
      <c r="K921" s="89"/>
      <c r="L921" s="93"/>
      <c r="M921" s="93"/>
      <c r="N921" s="93"/>
      <c r="O921" s="93"/>
      <c r="P921" s="93"/>
      <c r="Q921" s="93"/>
      <c r="R921" s="93"/>
      <c r="S921" s="93"/>
      <c r="T921" s="93"/>
      <c r="U921" s="93"/>
      <c r="V921" s="93"/>
      <c r="W921" s="93"/>
    </row>
    <row r="922" spans="2:23" s="14" customFormat="1" ht="17.100000000000001" customHeight="1">
      <c r="B922" s="89"/>
      <c r="C922" s="90"/>
      <c r="D922" s="91"/>
      <c r="E922" s="92"/>
      <c r="F922" s="89"/>
      <c r="G922" s="89"/>
      <c r="H922" s="89"/>
      <c r="I922" s="89"/>
      <c r="J922" s="89"/>
      <c r="K922" s="89"/>
      <c r="L922" s="93"/>
      <c r="M922" s="93"/>
      <c r="N922" s="93"/>
      <c r="O922" s="93"/>
      <c r="P922" s="93"/>
      <c r="Q922" s="93"/>
      <c r="R922" s="93"/>
      <c r="S922" s="93"/>
      <c r="T922" s="93"/>
      <c r="U922" s="93"/>
      <c r="V922" s="93"/>
      <c r="W922" s="93"/>
    </row>
    <row r="923" spans="2:23" s="14" customFormat="1" ht="17.100000000000001" customHeight="1">
      <c r="B923" s="89"/>
      <c r="C923" s="90"/>
      <c r="D923" s="91"/>
      <c r="E923" s="92"/>
      <c r="F923" s="89"/>
      <c r="G923" s="89"/>
      <c r="H923" s="89"/>
      <c r="I923" s="89"/>
      <c r="J923" s="89"/>
      <c r="K923" s="89"/>
      <c r="L923" s="93"/>
      <c r="M923" s="93"/>
      <c r="N923" s="93"/>
      <c r="O923" s="93"/>
      <c r="P923" s="93"/>
      <c r="Q923" s="93"/>
      <c r="R923" s="93"/>
      <c r="S923" s="93"/>
      <c r="T923" s="93"/>
      <c r="U923" s="93"/>
      <c r="V923" s="93"/>
      <c r="W923" s="93"/>
    </row>
    <row r="924" spans="2:23" s="14" customFormat="1" ht="17.100000000000001" customHeight="1">
      <c r="B924" s="89"/>
      <c r="C924" s="90"/>
      <c r="D924" s="91"/>
      <c r="E924" s="92"/>
      <c r="F924" s="89"/>
      <c r="G924" s="89"/>
      <c r="H924" s="89"/>
      <c r="I924" s="89"/>
      <c r="J924" s="89"/>
      <c r="K924" s="89"/>
      <c r="L924" s="93"/>
      <c r="M924" s="93"/>
      <c r="N924" s="93"/>
      <c r="O924" s="93"/>
      <c r="P924" s="93"/>
      <c r="Q924" s="93"/>
      <c r="R924" s="93"/>
      <c r="S924" s="93"/>
      <c r="T924" s="93"/>
      <c r="U924" s="93"/>
      <c r="V924" s="93"/>
      <c r="W924" s="93"/>
    </row>
    <row r="925" spans="2:23" s="14" customFormat="1" ht="17.100000000000001" customHeight="1">
      <c r="B925" s="89"/>
      <c r="C925" s="90"/>
      <c r="D925" s="91"/>
      <c r="E925" s="92"/>
      <c r="F925" s="89"/>
      <c r="G925" s="89"/>
      <c r="H925" s="89"/>
      <c r="I925" s="89"/>
      <c r="J925" s="89"/>
      <c r="K925" s="89"/>
      <c r="L925" s="93"/>
      <c r="M925" s="93"/>
      <c r="N925" s="93"/>
      <c r="O925" s="93"/>
      <c r="P925" s="93"/>
      <c r="Q925" s="93"/>
      <c r="R925" s="93"/>
      <c r="S925" s="93"/>
      <c r="T925" s="93"/>
      <c r="U925" s="93"/>
      <c r="V925" s="93"/>
      <c r="W925" s="93"/>
    </row>
    <row r="926" spans="2:23" s="14" customFormat="1" ht="17.100000000000001" customHeight="1">
      <c r="B926" s="89"/>
      <c r="C926" s="90"/>
      <c r="D926" s="91"/>
      <c r="E926" s="92"/>
      <c r="F926" s="89"/>
      <c r="G926" s="89"/>
      <c r="H926" s="89"/>
      <c r="I926" s="89"/>
      <c r="J926" s="89"/>
      <c r="K926" s="89"/>
      <c r="L926" s="93"/>
      <c r="M926" s="93"/>
      <c r="N926" s="93"/>
      <c r="O926" s="93"/>
      <c r="P926" s="93"/>
      <c r="Q926" s="93"/>
      <c r="R926" s="93"/>
      <c r="S926" s="93"/>
      <c r="T926" s="93"/>
      <c r="U926" s="93"/>
      <c r="V926" s="93"/>
      <c r="W926" s="93"/>
    </row>
    <row r="927" spans="2:23" s="14" customFormat="1" ht="17.100000000000001" customHeight="1">
      <c r="B927" s="89"/>
      <c r="C927" s="90"/>
      <c r="D927" s="91"/>
      <c r="E927" s="92"/>
      <c r="F927" s="89"/>
      <c r="G927" s="89"/>
      <c r="H927" s="89"/>
      <c r="I927" s="89"/>
      <c r="J927" s="89"/>
      <c r="K927" s="89"/>
      <c r="L927" s="93"/>
      <c r="M927" s="93"/>
      <c r="N927" s="93"/>
      <c r="O927" s="93"/>
      <c r="P927" s="93"/>
      <c r="Q927" s="93"/>
      <c r="R927" s="93"/>
      <c r="S927" s="93"/>
      <c r="T927" s="93"/>
      <c r="U927" s="93"/>
      <c r="V927" s="93"/>
      <c r="W927" s="93"/>
    </row>
    <row r="928" spans="2:23" s="14" customFormat="1" ht="17.100000000000001" customHeight="1">
      <c r="B928" s="89"/>
      <c r="C928" s="90"/>
      <c r="D928" s="91"/>
      <c r="E928" s="92"/>
      <c r="F928" s="89"/>
      <c r="G928" s="89"/>
      <c r="H928" s="89"/>
      <c r="I928" s="89"/>
      <c r="J928" s="89"/>
      <c r="K928" s="89"/>
      <c r="L928" s="93"/>
      <c r="M928" s="93"/>
      <c r="N928" s="93"/>
      <c r="O928" s="93"/>
      <c r="P928" s="93"/>
      <c r="Q928" s="93"/>
      <c r="R928" s="93"/>
      <c r="S928" s="93"/>
      <c r="T928" s="93"/>
      <c r="U928" s="93"/>
      <c r="V928" s="93"/>
      <c r="W928" s="93"/>
    </row>
    <row r="929" spans="2:23" s="14" customFormat="1" ht="17.100000000000001" customHeight="1">
      <c r="B929" s="89"/>
      <c r="C929" s="90"/>
      <c r="D929" s="91"/>
      <c r="E929" s="92"/>
      <c r="F929" s="89"/>
      <c r="G929" s="89"/>
      <c r="H929" s="89"/>
      <c r="I929" s="89"/>
      <c r="J929" s="89"/>
      <c r="K929" s="89"/>
      <c r="L929" s="93"/>
      <c r="M929" s="93"/>
      <c r="N929" s="93"/>
      <c r="O929" s="93"/>
      <c r="P929" s="93"/>
      <c r="Q929" s="93"/>
      <c r="R929" s="93"/>
      <c r="S929" s="93"/>
      <c r="T929" s="93"/>
      <c r="U929" s="93"/>
      <c r="V929" s="93"/>
      <c r="W929" s="93"/>
    </row>
    <row r="930" spans="2:23" s="14" customFormat="1" ht="17.100000000000001" customHeight="1">
      <c r="B930" s="89"/>
      <c r="C930" s="90"/>
      <c r="D930" s="91"/>
      <c r="E930" s="92"/>
      <c r="F930" s="89"/>
      <c r="G930" s="89"/>
      <c r="H930" s="89"/>
      <c r="I930" s="89"/>
      <c r="J930" s="89"/>
      <c r="K930" s="89"/>
      <c r="L930" s="93"/>
      <c r="M930" s="93"/>
      <c r="N930" s="93"/>
      <c r="O930" s="93"/>
      <c r="P930" s="93"/>
      <c r="Q930" s="93"/>
      <c r="R930" s="93"/>
      <c r="S930" s="93"/>
      <c r="T930" s="93"/>
      <c r="U930" s="93"/>
      <c r="V930" s="93"/>
      <c r="W930" s="93"/>
    </row>
    <row r="931" spans="2:23" s="14" customFormat="1" ht="17.100000000000001" customHeight="1">
      <c r="B931" s="89"/>
      <c r="C931" s="90"/>
      <c r="D931" s="91"/>
      <c r="E931" s="92"/>
      <c r="F931" s="89"/>
      <c r="G931" s="89"/>
      <c r="H931" s="89"/>
      <c r="I931" s="89"/>
      <c r="J931" s="89"/>
      <c r="K931" s="89"/>
      <c r="L931" s="93"/>
      <c r="M931" s="93"/>
      <c r="N931" s="93"/>
      <c r="O931" s="93"/>
      <c r="P931" s="93"/>
      <c r="Q931" s="93"/>
      <c r="R931" s="93"/>
      <c r="S931" s="93"/>
      <c r="T931" s="93"/>
      <c r="U931" s="93"/>
      <c r="V931" s="93"/>
      <c r="W931" s="93"/>
    </row>
    <row r="932" spans="2:23" s="14" customFormat="1" ht="17.100000000000001" customHeight="1">
      <c r="B932" s="89"/>
      <c r="C932" s="90"/>
      <c r="D932" s="91"/>
      <c r="E932" s="92"/>
      <c r="F932" s="89"/>
      <c r="G932" s="89"/>
      <c r="H932" s="89"/>
      <c r="I932" s="89"/>
      <c r="J932" s="89"/>
      <c r="K932" s="89"/>
      <c r="L932" s="93"/>
      <c r="M932" s="93"/>
      <c r="N932" s="93"/>
      <c r="O932" s="93"/>
      <c r="P932" s="93"/>
      <c r="Q932" s="93"/>
      <c r="R932" s="93"/>
      <c r="S932" s="93"/>
      <c r="T932" s="93"/>
      <c r="U932" s="93"/>
      <c r="V932" s="93"/>
      <c r="W932" s="93"/>
    </row>
    <row r="933" spans="2:23" s="14" customFormat="1" ht="17.100000000000001" customHeight="1">
      <c r="B933" s="89"/>
      <c r="C933" s="90"/>
      <c r="D933" s="91"/>
      <c r="E933" s="92"/>
      <c r="F933" s="89"/>
      <c r="G933" s="89"/>
      <c r="H933" s="89"/>
      <c r="I933" s="89"/>
      <c r="J933" s="89"/>
      <c r="K933" s="89"/>
      <c r="L933" s="93"/>
      <c r="M933" s="93"/>
      <c r="N933" s="93"/>
      <c r="O933" s="93"/>
      <c r="P933" s="93"/>
      <c r="Q933" s="93"/>
      <c r="R933" s="93"/>
      <c r="S933" s="93"/>
      <c r="T933" s="93"/>
      <c r="U933" s="93"/>
      <c r="V933" s="93"/>
      <c r="W933" s="93"/>
    </row>
    <row r="934" spans="2:23" s="14" customFormat="1" ht="17.100000000000001" customHeight="1">
      <c r="B934" s="89"/>
      <c r="C934" s="90"/>
      <c r="D934" s="91"/>
      <c r="E934" s="92"/>
      <c r="F934" s="89"/>
      <c r="G934" s="89"/>
      <c r="H934" s="89"/>
      <c r="I934" s="89"/>
      <c r="J934" s="89"/>
      <c r="K934" s="89"/>
      <c r="L934" s="93"/>
      <c r="M934" s="93"/>
      <c r="N934" s="93"/>
      <c r="O934" s="93"/>
      <c r="P934" s="93"/>
      <c r="Q934" s="93"/>
      <c r="R934" s="93"/>
      <c r="S934" s="93"/>
      <c r="T934" s="93"/>
      <c r="U934" s="93"/>
      <c r="V934" s="93"/>
      <c r="W934" s="93"/>
    </row>
    <row r="935" spans="2:23" s="14" customFormat="1" ht="17.100000000000001" customHeight="1">
      <c r="B935" s="89"/>
      <c r="C935" s="90"/>
      <c r="D935" s="91"/>
      <c r="E935" s="92"/>
      <c r="F935" s="89"/>
      <c r="G935" s="89"/>
      <c r="H935" s="89"/>
      <c r="I935" s="89"/>
      <c r="J935" s="89"/>
      <c r="K935" s="89"/>
      <c r="L935" s="93"/>
      <c r="M935" s="93"/>
      <c r="N935" s="93"/>
      <c r="O935" s="93"/>
      <c r="P935" s="93"/>
      <c r="Q935" s="93"/>
      <c r="R935" s="93"/>
      <c r="S935" s="93"/>
      <c r="T935" s="93"/>
      <c r="U935" s="93"/>
      <c r="V935" s="93"/>
      <c r="W935" s="93"/>
    </row>
    <row r="936" spans="2:23" s="14" customFormat="1" ht="17.100000000000001" customHeight="1">
      <c r="B936" s="89"/>
      <c r="C936" s="90"/>
      <c r="D936" s="91"/>
      <c r="E936" s="92"/>
      <c r="F936" s="89"/>
      <c r="G936" s="89"/>
      <c r="H936" s="89"/>
      <c r="I936" s="89"/>
      <c r="J936" s="89"/>
      <c r="K936" s="89"/>
      <c r="L936" s="93"/>
      <c r="M936" s="93"/>
      <c r="N936" s="93"/>
      <c r="O936" s="93"/>
      <c r="P936" s="93"/>
      <c r="Q936" s="93"/>
      <c r="R936" s="93"/>
      <c r="S936" s="93"/>
      <c r="T936" s="93"/>
      <c r="U936" s="93"/>
      <c r="V936" s="93"/>
      <c r="W936" s="93"/>
    </row>
    <row r="937" spans="2:23" s="14" customFormat="1" ht="17.100000000000001" customHeight="1">
      <c r="B937" s="89"/>
      <c r="C937" s="90"/>
      <c r="D937" s="91"/>
      <c r="E937" s="92"/>
      <c r="F937" s="89"/>
      <c r="G937" s="89"/>
      <c r="H937" s="89"/>
      <c r="I937" s="89"/>
      <c r="J937" s="89"/>
      <c r="K937" s="89"/>
      <c r="L937" s="93"/>
      <c r="M937" s="93"/>
      <c r="N937" s="93"/>
      <c r="O937" s="93"/>
      <c r="P937" s="93"/>
      <c r="Q937" s="93"/>
      <c r="R937" s="93"/>
      <c r="S937" s="93"/>
      <c r="T937" s="93"/>
      <c r="U937" s="93"/>
      <c r="V937" s="93"/>
      <c r="W937" s="93"/>
    </row>
    <row r="938" spans="2:23" s="14" customFormat="1" ht="17.100000000000001" customHeight="1">
      <c r="B938" s="89"/>
      <c r="C938" s="90"/>
      <c r="D938" s="91"/>
      <c r="E938" s="92"/>
      <c r="F938" s="89"/>
      <c r="G938" s="89"/>
      <c r="H938" s="89"/>
      <c r="I938" s="89"/>
      <c r="J938" s="89"/>
      <c r="K938" s="89"/>
      <c r="L938" s="93"/>
      <c r="M938" s="93"/>
      <c r="N938" s="93"/>
      <c r="O938" s="93"/>
      <c r="P938" s="93"/>
      <c r="Q938" s="93"/>
      <c r="R938" s="93"/>
      <c r="S938" s="93"/>
      <c r="T938" s="93"/>
      <c r="U938" s="93"/>
      <c r="V938" s="93"/>
      <c r="W938" s="93"/>
    </row>
    <row r="939" spans="2:23" s="14" customFormat="1" ht="17.100000000000001" customHeight="1">
      <c r="B939" s="89"/>
      <c r="C939" s="90"/>
      <c r="D939" s="91"/>
      <c r="E939" s="92"/>
      <c r="F939" s="89"/>
      <c r="G939" s="89"/>
      <c r="H939" s="89"/>
      <c r="I939" s="89"/>
      <c r="J939" s="89"/>
      <c r="K939" s="89"/>
      <c r="L939" s="93"/>
      <c r="M939" s="93"/>
      <c r="N939" s="93"/>
      <c r="O939" s="93"/>
      <c r="P939" s="93"/>
      <c r="Q939" s="93"/>
      <c r="R939" s="93"/>
      <c r="S939" s="93"/>
      <c r="T939" s="93"/>
      <c r="U939" s="93"/>
      <c r="V939" s="93"/>
      <c r="W939" s="93"/>
    </row>
    <row r="940" spans="2:23" s="14" customFormat="1" ht="17.100000000000001" customHeight="1">
      <c r="B940" s="89"/>
      <c r="C940" s="90"/>
      <c r="D940" s="91"/>
      <c r="E940" s="92"/>
      <c r="F940" s="89"/>
      <c r="G940" s="89"/>
      <c r="H940" s="89"/>
      <c r="I940" s="89"/>
      <c r="J940" s="89"/>
      <c r="K940" s="89"/>
      <c r="L940" s="93"/>
      <c r="M940" s="93"/>
      <c r="N940" s="93"/>
      <c r="O940" s="93"/>
      <c r="P940" s="93"/>
      <c r="Q940" s="93"/>
      <c r="R940" s="93"/>
      <c r="S940" s="93"/>
      <c r="T940" s="93"/>
      <c r="U940" s="93"/>
      <c r="V940" s="93"/>
      <c r="W940" s="93"/>
    </row>
    <row r="941" spans="2:23" s="14" customFormat="1" ht="17.100000000000001" customHeight="1">
      <c r="B941" s="89"/>
      <c r="C941" s="90"/>
      <c r="D941" s="91"/>
      <c r="E941" s="92"/>
      <c r="F941" s="89"/>
      <c r="G941" s="89"/>
      <c r="H941" s="89"/>
      <c r="I941" s="89"/>
      <c r="J941" s="89"/>
      <c r="K941" s="89"/>
      <c r="L941" s="93"/>
      <c r="M941" s="93"/>
      <c r="N941" s="93"/>
      <c r="O941" s="93"/>
      <c r="P941" s="93"/>
      <c r="Q941" s="93"/>
      <c r="R941" s="93"/>
      <c r="S941" s="93"/>
      <c r="T941" s="93"/>
      <c r="U941" s="93"/>
      <c r="V941" s="93"/>
      <c r="W941" s="93"/>
    </row>
    <row r="942" spans="2:23" s="14" customFormat="1" ht="17.100000000000001" customHeight="1">
      <c r="B942" s="89"/>
      <c r="C942" s="90"/>
      <c r="D942" s="91"/>
      <c r="E942" s="92"/>
      <c r="F942" s="89"/>
      <c r="G942" s="89"/>
      <c r="H942" s="89"/>
      <c r="I942" s="89"/>
      <c r="J942" s="89"/>
      <c r="K942" s="89"/>
      <c r="L942" s="93"/>
      <c r="M942" s="93"/>
      <c r="N942" s="93"/>
      <c r="O942" s="93"/>
      <c r="P942" s="93"/>
      <c r="Q942" s="93"/>
      <c r="R942" s="93"/>
      <c r="S942" s="93"/>
      <c r="T942" s="93"/>
      <c r="U942" s="93"/>
      <c r="V942" s="93"/>
      <c r="W942" s="93"/>
    </row>
    <row r="943" spans="2:23" s="14" customFormat="1" ht="17.100000000000001" customHeight="1">
      <c r="B943" s="89"/>
      <c r="C943" s="90"/>
      <c r="D943" s="91"/>
      <c r="E943" s="92"/>
      <c r="F943" s="89"/>
      <c r="G943" s="89"/>
      <c r="H943" s="89"/>
      <c r="I943" s="89"/>
      <c r="J943" s="89"/>
      <c r="K943" s="89"/>
      <c r="L943" s="93"/>
      <c r="M943" s="93"/>
      <c r="N943" s="93"/>
      <c r="O943" s="93"/>
      <c r="P943" s="93"/>
      <c r="Q943" s="93"/>
      <c r="R943" s="93"/>
      <c r="S943" s="93"/>
      <c r="T943" s="93"/>
      <c r="U943" s="93"/>
      <c r="V943" s="93"/>
      <c r="W943" s="93"/>
    </row>
    <row r="944" spans="2:23" s="14" customFormat="1" ht="17.100000000000001" customHeight="1">
      <c r="B944" s="89"/>
      <c r="C944" s="90"/>
      <c r="D944" s="91"/>
      <c r="E944" s="92"/>
      <c r="F944" s="89"/>
      <c r="G944" s="89"/>
      <c r="H944" s="89"/>
      <c r="I944" s="89"/>
      <c r="J944" s="89"/>
      <c r="K944" s="89"/>
      <c r="L944" s="93"/>
      <c r="M944" s="93"/>
      <c r="N944" s="93"/>
      <c r="O944" s="93"/>
      <c r="P944" s="93"/>
      <c r="Q944" s="93"/>
      <c r="R944" s="93"/>
      <c r="S944" s="93"/>
      <c r="T944" s="93"/>
      <c r="U944" s="93"/>
      <c r="V944" s="93"/>
      <c r="W944" s="93"/>
    </row>
    <row r="945" spans="2:23" s="14" customFormat="1" ht="17.100000000000001" customHeight="1">
      <c r="B945" s="89"/>
      <c r="C945" s="90"/>
      <c r="D945" s="91"/>
      <c r="E945" s="92"/>
      <c r="F945" s="89"/>
      <c r="G945" s="89"/>
      <c r="H945" s="89"/>
      <c r="I945" s="89"/>
      <c r="J945" s="89"/>
      <c r="K945" s="89"/>
      <c r="L945" s="93"/>
      <c r="M945" s="93"/>
      <c r="N945" s="93"/>
      <c r="O945" s="93"/>
      <c r="P945" s="93"/>
      <c r="Q945" s="93"/>
      <c r="R945" s="93"/>
      <c r="S945" s="93"/>
      <c r="T945" s="93"/>
      <c r="U945" s="93"/>
      <c r="V945" s="93"/>
      <c r="W945" s="93"/>
    </row>
    <row r="946" spans="2:23" s="14" customFormat="1" ht="17.100000000000001" customHeight="1">
      <c r="B946" s="89"/>
      <c r="C946" s="90"/>
      <c r="D946" s="91"/>
      <c r="E946" s="92"/>
      <c r="F946" s="89"/>
      <c r="G946" s="89"/>
      <c r="H946" s="89"/>
      <c r="I946" s="89"/>
      <c r="J946" s="89"/>
      <c r="K946" s="89"/>
      <c r="L946" s="93"/>
      <c r="M946" s="93"/>
      <c r="N946" s="93"/>
      <c r="O946" s="93"/>
      <c r="P946" s="93"/>
      <c r="Q946" s="93"/>
      <c r="R946" s="93"/>
      <c r="S946" s="93"/>
      <c r="T946" s="93"/>
      <c r="U946" s="93"/>
      <c r="V946" s="93"/>
      <c r="W946" s="93"/>
    </row>
    <row r="947" spans="2:23" s="14" customFormat="1" ht="17.100000000000001" customHeight="1">
      <c r="B947" s="89"/>
      <c r="C947" s="90"/>
      <c r="D947" s="91"/>
      <c r="E947" s="92"/>
      <c r="F947" s="89"/>
      <c r="G947" s="89"/>
      <c r="H947" s="89"/>
      <c r="I947" s="89"/>
      <c r="J947" s="89"/>
      <c r="K947" s="89"/>
      <c r="L947" s="93"/>
      <c r="M947" s="93"/>
      <c r="N947" s="93"/>
      <c r="O947" s="93"/>
      <c r="P947" s="93"/>
      <c r="Q947" s="93"/>
      <c r="R947" s="93"/>
      <c r="S947" s="93"/>
      <c r="T947" s="93"/>
      <c r="U947" s="93"/>
      <c r="V947" s="93"/>
      <c r="W947" s="93"/>
    </row>
    <row r="948" spans="2:23" s="14" customFormat="1" ht="17.100000000000001" customHeight="1">
      <c r="B948" s="89"/>
      <c r="C948" s="90"/>
      <c r="D948" s="91"/>
      <c r="E948" s="92"/>
      <c r="F948" s="89"/>
      <c r="G948" s="89"/>
      <c r="H948" s="89"/>
      <c r="I948" s="89"/>
      <c r="J948" s="89"/>
      <c r="K948" s="89"/>
      <c r="L948" s="93"/>
      <c r="M948" s="93"/>
      <c r="N948" s="93"/>
      <c r="O948" s="93"/>
      <c r="P948" s="93"/>
      <c r="Q948" s="93"/>
      <c r="R948" s="93"/>
      <c r="S948" s="93"/>
      <c r="T948" s="93"/>
      <c r="U948" s="93"/>
      <c r="V948" s="93"/>
      <c r="W948" s="93"/>
    </row>
    <row r="949" spans="2:23" s="14" customFormat="1" ht="17.100000000000001" customHeight="1">
      <c r="B949" s="89"/>
      <c r="C949" s="90"/>
      <c r="D949" s="91"/>
      <c r="E949" s="92"/>
      <c r="F949" s="89"/>
      <c r="G949" s="89"/>
      <c r="H949" s="89"/>
      <c r="I949" s="89"/>
      <c r="J949" s="89"/>
      <c r="K949" s="89"/>
      <c r="L949" s="93"/>
      <c r="M949" s="93"/>
      <c r="N949" s="93"/>
      <c r="O949" s="93"/>
      <c r="P949" s="93"/>
      <c r="Q949" s="93"/>
      <c r="R949" s="93"/>
      <c r="S949" s="93"/>
      <c r="T949" s="93"/>
      <c r="U949" s="93"/>
      <c r="V949" s="93"/>
      <c r="W949" s="93"/>
    </row>
    <row r="950" spans="2:23" s="14" customFormat="1" ht="17.100000000000001" customHeight="1">
      <c r="B950" s="89"/>
      <c r="C950" s="90"/>
      <c r="D950" s="91"/>
      <c r="E950" s="92"/>
      <c r="F950" s="89"/>
      <c r="G950" s="89"/>
      <c r="H950" s="89"/>
      <c r="I950" s="89"/>
      <c r="J950" s="89"/>
      <c r="K950" s="89"/>
      <c r="L950" s="93"/>
      <c r="M950" s="93"/>
      <c r="N950" s="93"/>
      <c r="O950" s="93"/>
      <c r="P950" s="93"/>
      <c r="Q950" s="93"/>
      <c r="R950" s="93"/>
      <c r="S950" s="93"/>
      <c r="T950" s="93"/>
      <c r="U950" s="93"/>
      <c r="V950" s="93"/>
      <c r="W950" s="93"/>
    </row>
    <row r="951" spans="2:23" s="14" customFormat="1" ht="17.100000000000001" customHeight="1">
      <c r="B951" s="89"/>
      <c r="C951" s="90"/>
      <c r="D951" s="91"/>
      <c r="E951" s="92"/>
      <c r="F951" s="89"/>
      <c r="G951" s="89"/>
      <c r="H951" s="89"/>
      <c r="I951" s="89"/>
      <c r="J951" s="89"/>
      <c r="K951" s="89"/>
      <c r="L951" s="93"/>
      <c r="M951" s="93"/>
      <c r="N951" s="93"/>
      <c r="O951" s="93"/>
      <c r="P951" s="93"/>
      <c r="Q951" s="93"/>
      <c r="R951" s="93"/>
      <c r="S951" s="93"/>
      <c r="T951" s="93"/>
      <c r="U951" s="93"/>
      <c r="V951" s="93"/>
      <c r="W951" s="93"/>
    </row>
    <row r="952" spans="2:23" s="14" customFormat="1" ht="17.100000000000001" customHeight="1">
      <c r="B952" s="89"/>
      <c r="C952" s="90"/>
      <c r="D952" s="91"/>
      <c r="E952" s="92"/>
      <c r="F952" s="89"/>
      <c r="G952" s="89"/>
      <c r="H952" s="89"/>
      <c r="I952" s="89"/>
      <c r="J952" s="89"/>
      <c r="K952" s="89"/>
      <c r="L952" s="93"/>
      <c r="M952" s="93"/>
      <c r="N952" s="93"/>
      <c r="O952" s="93"/>
      <c r="P952" s="93"/>
      <c r="Q952" s="93"/>
      <c r="R952" s="93"/>
      <c r="S952" s="93"/>
      <c r="T952" s="93"/>
      <c r="U952" s="93"/>
      <c r="V952" s="93"/>
      <c r="W952" s="93"/>
    </row>
    <row r="953" spans="2:23" s="14" customFormat="1" ht="17.100000000000001" customHeight="1">
      <c r="B953" s="89"/>
      <c r="C953" s="90"/>
      <c r="D953" s="91"/>
      <c r="E953" s="92"/>
      <c r="F953" s="89"/>
      <c r="G953" s="89"/>
      <c r="H953" s="89"/>
      <c r="I953" s="89"/>
      <c r="J953" s="89"/>
      <c r="K953" s="89"/>
      <c r="L953" s="93"/>
      <c r="M953" s="93"/>
      <c r="N953" s="93"/>
      <c r="O953" s="93"/>
      <c r="P953" s="93"/>
      <c r="Q953" s="93"/>
      <c r="R953" s="93"/>
      <c r="S953" s="93"/>
      <c r="T953" s="93"/>
      <c r="U953" s="93"/>
      <c r="V953" s="93"/>
      <c r="W953" s="93"/>
    </row>
    <row r="954" spans="2:23" s="14" customFormat="1" ht="17.100000000000001" customHeight="1">
      <c r="B954" s="89"/>
      <c r="C954" s="90"/>
      <c r="D954" s="91"/>
      <c r="E954" s="92"/>
      <c r="F954" s="89"/>
      <c r="G954" s="89"/>
      <c r="H954" s="89"/>
      <c r="I954" s="89"/>
      <c r="J954" s="89"/>
      <c r="K954" s="89"/>
      <c r="L954" s="93"/>
      <c r="M954" s="93"/>
      <c r="N954" s="93"/>
      <c r="O954" s="93"/>
      <c r="P954" s="93"/>
      <c r="Q954" s="93"/>
      <c r="R954" s="93"/>
      <c r="S954" s="93"/>
      <c r="T954" s="93"/>
      <c r="U954" s="93"/>
      <c r="V954" s="93"/>
      <c r="W954" s="93"/>
    </row>
    <row r="955" spans="2:23" s="14" customFormat="1" ht="17.100000000000001" customHeight="1">
      <c r="B955" s="89"/>
      <c r="C955" s="90"/>
      <c r="D955" s="91"/>
      <c r="E955" s="92"/>
      <c r="F955" s="89"/>
      <c r="G955" s="89"/>
      <c r="H955" s="89"/>
      <c r="I955" s="89"/>
      <c r="J955" s="89"/>
      <c r="K955" s="89"/>
      <c r="L955" s="93"/>
      <c r="M955" s="93"/>
      <c r="N955" s="93"/>
      <c r="O955" s="93"/>
      <c r="P955" s="93"/>
      <c r="Q955" s="93"/>
      <c r="R955" s="93"/>
      <c r="S955" s="93"/>
      <c r="T955" s="93"/>
      <c r="U955" s="93"/>
      <c r="V955" s="93"/>
      <c r="W955" s="93"/>
    </row>
    <row r="956" spans="2:23" s="14" customFormat="1" ht="17.100000000000001" customHeight="1">
      <c r="B956" s="89"/>
      <c r="C956" s="90"/>
      <c r="D956" s="91"/>
      <c r="E956" s="92"/>
      <c r="F956" s="89"/>
      <c r="G956" s="89"/>
      <c r="H956" s="89"/>
      <c r="I956" s="89"/>
      <c r="J956" s="89"/>
      <c r="K956" s="89"/>
      <c r="L956" s="93"/>
      <c r="M956" s="93"/>
      <c r="N956" s="93"/>
      <c r="O956" s="93"/>
      <c r="P956" s="93"/>
      <c r="Q956" s="93"/>
      <c r="R956" s="93"/>
      <c r="S956" s="93"/>
      <c r="T956" s="93"/>
      <c r="U956" s="93"/>
      <c r="V956" s="93"/>
      <c r="W956" s="93"/>
    </row>
    <row r="957" spans="2:23" s="14" customFormat="1" ht="17.100000000000001" customHeight="1">
      <c r="B957" s="89"/>
      <c r="C957" s="90"/>
      <c r="D957" s="91"/>
      <c r="E957" s="92"/>
      <c r="F957" s="89"/>
      <c r="G957" s="89"/>
      <c r="H957" s="89"/>
      <c r="I957" s="89"/>
      <c r="J957" s="89"/>
      <c r="K957" s="89"/>
      <c r="L957" s="93"/>
      <c r="M957" s="93"/>
      <c r="N957" s="93"/>
      <c r="O957" s="93"/>
      <c r="P957" s="93"/>
      <c r="Q957" s="93"/>
      <c r="R957" s="93"/>
      <c r="S957" s="93"/>
      <c r="T957" s="93"/>
      <c r="U957" s="93"/>
      <c r="V957" s="93"/>
      <c r="W957" s="93"/>
    </row>
    <row r="958" spans="2:23" s="14" customFormat="1" ht="17.100000000000001" customHeight="1">
      <c r="B958" s="89"/>
      <c r="C958" s="90"/>
      <c r="D958" s="91"/>
      <c r="E958" s="92"/>
      <c r="F958" s="89"/>
      <c r="G958" s="89"/>
      <c r="H958" s="89"/>
      <c r="I958" s="89"/>
      <c r="J958" s="89"/>
      <c r="K958" s="89"/>
      <c r="L958" s="93"/>
      <c r="M958" s="93"/>
      <c r="N958" s="93"/>
      <c r="O958" s="93"/>
      <c r="P958" s="93"/>
      <c r="Q958" s="93"/>
      <c r="R958" s="93"/>
      <c r="S958" s="93"/>
      <c r="T958" s="93"/>
      <c r="U958" s="93"/>
      <c r="V958" s="93"/>
      <c r="W958" s="93"/>
    </row>
    <row r="959" spans="2:23" s="14" customFormat="1" ht="17.100000000000001" customHeight="1">
      <c r="B959" s="89"/>
      <c r="C959" s="90"/>
      <c r="D959" s="91"/>
      <c r="E959" s="92"/>
      <c r="F959" s="89"/>
      <c r="G959" s="89"/>
      <c r="H959" s="89"/>
      <c r="I959" s="89"/>
      <c r="J959" s="89"/>
      <c r="K959" s="89"/>
      <c r="L959" s="93"/>
      <c r="M959" s="93"/>
      <c r="N959" s="93"/>
      <c r="O959" s="93"/>
      <c r="P959" s="93"/>
      <c r="Q959" s="93"/>
      <c r="R959" s="93"/>
      <c r="S959" s="93"/>
      <c r="T959" s="93"/>
      <c r="U959" s="93"/>
      <c r="V959" s="93"/>
      <c r="W959" s="93"/>
    </row>
    <row r="960" spans="2:23" s="14" customFormat="1" ht="17.100000000000001" customHeight="1">
      <c r="B960" s="89"/>
      <c r="C960" s="90"/>
      <c r="D960" s="91"/>
      <c r="E960" s="92"/>
      <c r="F960" s="89"/>
      <c r="G960" s="89"/>
      <c r="H960" s="89"/>
      <c r="I960" s="89"/>
      <c r="J960" s="89"/>
      <c r="K960" s="89"/>
      <c r="L960" s="93"/>
      <c r="M960" s="93"/>
      <c r="N960" s="93"/>
      <c r="O960" s="93"/>
      <c r="P960" s="93"/>
      <c r="Q960" s="93"/>
      <c r="R960" s="93"/>
      <c r="S960" s="93"/>
      <c r="T960" s="93"/>
      <c r="U960" s="93"/>
      <c r="V960" s="93"/>
      <c r="W960" s="93"/>
    </row>
    <row r="961" spans="2:23" s="14" customFormat="1" ht="17.100000000000001" customHeight="1">
      <c r="B961" s="89"/>
      <c r="C961" s="90"/>
      <c r="D961" s="91"/>
      <c r="E961" s="92"/>
      <c r="F961" s="89"/>
      <c r="G961" s="89"/>
      <c r="H961" s="89"/>
      <c r="I961" s="89"/>
      <c r="J961" s="89"/>
      <c r="K961" s="89"/>
      <c r="L961" s="93"/>
      <c r="M961" s="93"/>
      <c r="N961" s="93"/>
      <c r="O961" s="93"/>
      <c r="P961" s="93"/>
      <c r="Q961" s="93"/>
      <c r="R961" s="93"/>
      <c r="S961" s="93"/>
      <c r="T961" s="93"/>
      <c r="U961" s="93"/>
      <c r="V961" s="93"/>
      <c r="W961" s="93"/>
    </row>
    <row r="962" spans="2:23" s="14" customFormat="1" ht="17.100000000000001" customHeight="1">
      <c r="B962" s="89"/>
      <c r="C962" s="90"/>
      <c r="D962" s="91"/>
      <c r="E962" s="92"/>
      <c r="F962" s="89"/>
      <c r="G962" s="89"/>
      <c r="H962" s="89"/>
      <c r="I962" s="89"/>
      <c r="J962" s="89"/>
      <c r="K962" s="89"/>
      <c r="L962" s="93"/>
      <c r="M962" s="93"/>
      <c r="N962" s="93"/>
      <c r="O962" s="93"/>
      <c r="P962" s="93"/>
      <c r="Q962" s="93"/>
      <c r="R962" s="93"/>
      <c r="S962" s="93"/>
      <c r="T962" s="93"/>
      <c r="U962" s="93"/>
      <c r="V962" s="93"/>
      <c r="W962" s="93"/>
    </row>
    <row r="963" spans="2:23" s="14" customFormat="1" ht="17.100000000000001" customHeight="1">
      <c r="B963" s="89"/>
      <c r="C963" s="90"/>
      <c r="D963" s="91"/>
      <c r="E963" s="92"/>
      <c r="F963" s="89"/>
      <c r="G963" s="89"/>
      <c r="H963" s="89"/>
      <c r="I963" s="89"/>
      <c r="J963" s="89"/>
      <c r="K963" s="89"/>
      <c r="L963" s="93"/>
      <c r="M963" s="93"/>
      <c r="N963" s="93"/>
      <c r="O963" s="93"/>
      <c r="P963" s="93"/>
      <c r="Q963" s="93"/>
      <c r="R963" s="93"/>
      <c r="S963" s="93"/>
      <c r="T963" s="93"/>
      <c r="U963" s="93"/>
      <c r="V963" s="93"/>
      <c r="W963" s="93"/>
    </row>
    <row r="964" spans="2:23" s="14" customFormat="1" ht="17.100000000000001" customHeight="1">
      <c r="B964" s="89"/>
      <c r="C964" s="90"/>
      <c r="D964" s="91"/>
      <c r="E964" s="92"/>
      <c r="F964" s="89"/>
      <c r="G964" s="89"/>
      <c r="H964" s="89"/>
      <c r="I964" s="89"/>
      <c r="J964" s="89"/>
      <c r="K964" s="89"/>
      <c r="L964" s="93"/>
      <c r="M964" s="93"/>
      <c r="N964" s="93"/>
      <c r="O964" s="93"/>
      <c r="P964" s="93"/>
      <c r="Q964" s="93"/>
      <c r="R964" s="93"/>
      <c r="S964" s="93"/>
      <c r="T964" s="93"/>
      <c r="U964" s="93"/>
      <c r="V964" s="93"/>
      <c r="W964" s="93"/>
    </row>
    <row r="965" spans="2:23" s="14" customFormat="1" ht="17.100000000000001" customHeight="1">
      <c r="B965" s="89"/>
      <c r="C965" s="90"/>
      <c r="D965" s="91"/>
      <c r="E965" s="92"/>
      <c r="F965" s="89"/>
      <c r="G965" s="89"/>
      <c r="H965" s="89"/>
      <c r="I965" s="89"/>
      <c r="J965" s="89"/>
      <c r="K965" s="89"/>
      <c r="L965" s="93"/>
      <c r="M965" s="93"/>
      <c r="N965" s="93"/>
      <c r="O965" s="93"/>
      <c r="P965" s="93"/>
      <c r="Q965" s="93"/>
      <c r="R965" s="93"/>
      <c r="S965" s="93"/>
      <c r="T965" s="93"/>
      <c r="U965" s="93"/>
      <c r="V965" s="93"/>
      <c r="W965" s="93"/>
    </row>
    <row r="966" spans="2:23" s="14" customFormat="1" ht="17.100000000000001" customHeight="1">
      <c r="B966" s="89"/>
      <c r="C966" s="90"/>
      <c r="D966" s="91"/>
      <c r="E966" s="92"/>
      <c r="F966" s="89"/>
      <c r="G966" s="89"/>
      <c r="H966" s="89"/>
      <c r="I966" s="89"/>
      <c r="J966" s="89"/>
      <c r="K966" s="89"/>
      <c r="L966" s="93"/>
      <c r="M966" s="93"/>
      <c r="N966" s="93"/>
      <c r="O966" s="93"/>
      <c r="P966" s="93"/>
      <c r="Q966" s="93"/>
      <c r="R966" s="93"/>
      <c r="S966" s="93"/>
      <c r="T966" s="93"/>
      <c r="U966" s="93"/>
      <c r="V966" s="93"/>
      <c r="W966" s="93"/>
    </row>
    <row r="967" spans="2:23" s="14" customFormat="1" ht="17.100000000000001" customHeight="1">
      <c r="B967" s="89"/>
      <c r="C967" s="90"/>
      <c r="D967" s="91"/>
      <c r="E967" s="92"/>
      <c r="F967" s="89"/>
      <c r="G967" s="89"/>
      <c r="H967" s="89"/>
      <c r="I967" s="89"/>
      <c r="J967" s="89"/>
      <c r="K967" s="89"/>
      <c r="L967" s="93"/>
      <c r="M967" s="93"/>
      <c r="N967" s="93"/>
      <c r="O967" s="93"/>
      <c r="P967" s="93"/>
      <c r="Q967" s="93"/>
      <c r="R967" s="93"/>
      <c r="S967" s="93"/>
      <c r="T967" s="93"/>
      <c r="U967" s="93"/>
      <c r="V967" s="93"/>
      <c r="W967" s="93"/>
    </row>
    <row r="968" spans="2:23" s="14" customFormat="1" ht="17.100000000000001" customHeight="1">
      <c r="B968" s="89"/>
      <c r="C968" s="90"/>
      <c r="D968" s="91"/>
      <c r="E968" s="92"/>
      <c r="F968" s="89"/>
      <c r="G968" s="89"/>
      <c r="H968" s="89"/>
      <c r="I968" s="89"/>
      <c r="J968" s="89"/>
      <c r="K968" s="89"/>
      <c r="L968" s="93"/>
      <c r="M968" s="93"/>
      <c r="N968" s="93"/>
      <c r="O968" s="93"/>
      <c r="P968" s="93"/>
      <c r="Q968" s="93"/>
      <c r="R968" s="93"/>
      <c r="S968" s="93"/>
      <c r="T968" s="93"/>
      <c r="U968" s="93"/>
      <c r="V968" s="93"/>
      <c r="W968" s="93"/>
    </row>
    <row r="969" spans="2:23" s="14" customFormat="1" ht="17.100000000000001" customHeight="1">
      <c r="B969" s="89"/>
      <c r="C969" s="90"/>
      <c r="D969" s="91"/>
      <c r="E969" s="92"/>
      <c r="F969" s="89"/>
      <c r="G969" s="89"/>
      <c r="H969" s="89"/>
      <c r="I969" s="89"/>
      <c r="J969" s="89"/>
      <c r="K969" s="89"/>
      <c r="L969" s="93"/>
      <c r="M969" s="93"/>
      <c r="N969" s="93"/>
      <c r="O969" s="93"/>
      <c r="P969" s="93"/>
      <c r="Q969" s="93"/>
      <c r="R969" s="93"/>
      <c r="S969" s="93"/>
      <c r="T969" s="93"/>
      <c r="U969" s="93"/>
      <c r="V969" s="93"/>
      <c r="W969" s="93"/>
    </row>
    <row r="970" spans="2:23" s="14" customFormat="1" ht="17.100000000000001" customHeight="1">
      <c r="B970" s="89"/>
      <c r="C970" s="90"/>
      <c r="D970" s="91"/>
      <c r="E970" s="92"/>
      <c r="F970" s="89"/>
      <c r="G970" s="89"/>
      <c r="H970" s="89"/>
      <c r="I970" s="89"/>
      <c r="J970" s="89"/>
      <c r="K970" s="89"/>
      <c r="L970" s="93"/>
      <c r="M970" s="93"/>
      <c r="N970" s="93"/>
      <c r="O970" s="93"/>
      <c r="P970" s="93"/>
      <c r="Q970" s="93"/>
      <c r="R970" s="93"/>
      <c r="S970" s="93"/>
      <c r="T970" s="93"/>
      <c r="U970" s="93"/>
      <c r="V970" s="93"/>
      <c r="W970" s="93"/>
    </row>
    <row r="971" spans="2:23" s="14" customFormat="1" ht="17.100000000000001" customHeight="1">
      <c r="B971" s="89"/>
      <c r="C971" s="90"/>
      <c r="D971" s="91"/>
      <c r="E971" s="92"/>
      <c r="F971" s="89"/>
      <c r="G971" s="89"/>
      <c r="H971" s="89"/>
      <c r="I971" s="89"/>
      <c r="J971" s="89"/>
      <c r="K971" s="89"/>
      <c r="L971" s="93"/>
      <c r="M971" s="93"/>
      <c r="N971" s="93"/>
      <c r="O971" s="93"/>
      <c r="P971" s="93"/>
      <c r="Q971" s="93"/>
      <c r="R971" s="93"/>
      <c r="S971" s="93"/>
      <c r="T971" s="93"/>
      <c r="U971" s="93"/>
      <c r="V971" s="93"/>
      <c r="W971" s="93"/>
    </row>
    <row r="972" spans="2:23" s="14" customFormat="1" ht="17.100000000000001" customHeight="1">
      <c r="B972" s="89"/>
      <c r="C972" s="90"/>
      <c r="D972" s="91"/>
      <c r="E972" s="92"/>
      <c r="F972" s="89"/>
      <c r="G972" s="89"/>
      <c r="H972" s="89"/>
      <c r="I972" s="89"/>
      <c r="J972" s="89"/>
      <c r="K972" s="89"/>
      <c r="L972" s="93"/>
      <c r="M972" s="93"/>
      <c r="N972" s="93"/>
      <c r="O972" s="93"/>
      <c r="P972" s="93"/>
      <c r="Q972" s="93"/>
      <c r="R972" s="93"/>
      <c r="S972" s="93"/>
      <c r="T972" s="93"/>
      <c r="U972" s="93"/>
      <c r="V972" s="93"/>
      <c r="W972" s="93"/>
    </row>
    <row r="973" spans="2:23" s="14" customFormat="1" ht="17.100000000000001" customHeight="1">
      <c r="B973" s="89"/>
      <c r="C973" s="90"/>
      <c r="D973" s="91"/>
      <c r="E973" s="92"/>
      <c r="F973" s="89"/>
      <c r="G973" s="89"/>
      <c r="H973" s="89"/>
      <c r="I973" s="89"/>
      <c r="J973" s="89"/>
      <c r="K973" s="89"/>
      <c r="L973" s="93"/>
      <c r="M973" s="93"/>
      <c r="N973" s="93"/>
      <c r="O973" s="93"/>
      <c r="P973" s="93"/>
      <c r="Q973" s="93"/>
      <c r="R973" s="93"/>
      <c r="S973" s="93"/>
      <c r="T973" s="93"/>
      <c r="U973" s="93"/>
      <c r="V973" s="93"/>
      <c r="W973" s="93"/>
    </row>
    <row r="974" spans="2:23" s="14" customFormat="1" ht="17.100000000000001" customHeight="1">
      <c r="B974" s="89"/>
      <c r="C974" s="90"/>
      <c r="D974" s="91"/>
      <c r="E974" s="92"/>
      <c r="F974" s="89"/>
      <c r="G974" s="89"/>
      <c r="H974" s="89"/>
      <c r="I974" s="89"/>
      <c r="J974" s="89"/>
      <c r="K974" s="89"/>
      <c r="L974" s="93"/>
      <c r="M974" s="93"/>
      <c r="N974" s="93"/>
      <c r="O974" s="93"/>
      <c r="P974" s="93"/>
      <c r="Q974" s="93"/>
      <c r="R974" s="93"/>
      <c r="S974" s="93"/>
      <c r="T974" s="93"/>
      <c r="U974" s="93"/>
      <c r="V974" s="93"/>
      <c r="W974" s="93"/>
    </row>
    <row r="975" spans="2:23" s="14" customFormat="1" ht="17.100000000000001" customHeight="1">
      <c r="B975" s="89"/>
      <c r="C975" s="90"/>
      <c r="D975" s="91"/>
      <c r="E975" s="92"/>
      <c r="F975" s="89"/>
      <c r="G975" s="89"/>
      <c r="H975" s="89"/>
      <c r="I975" s="89"/>
      <c r="J975" s="89"/>
      <c r="K975" s="89"/>
      <c r="L975" s="93"/>
      <c r="M975" s="93"/>
      <c r="N975" s="93"/>
      <c r="O975" s="93"/>
      <c r="P975" s="93"/>
      <c r="Q975" s="93"/>
      <c r="R975" s="93"/>
      <c r="S975" s="93"/>
      <c r="T975" s="93"/>
      <c r="U975" s="93"/>
      <c r="V975" s="93"/>
      <c r="W975" s="93"/>
    </row>
    <row r="976" spans="2:23" s="14" customFormat="1" ht="17.100000000000001" customHeight="1">
      <c r="B976" s="89"/>
      <c r="C976" s="90"/>
      <c r="D976" s="91"/>
      <c r="E976" s="92"/>
      <c r="F976" s="89"/>
      <c r="G976" s="89"/>
      <c r="H976" s="89"/>
      <c r="I976" s="89"/>
      <c r="J976" s="89"/>
      <c r="K976" s="89"/>
      <c r="L976" s="93"/>
      <c r="M976" s="93"/>
      <c r="N976" s="93"/>
      <c r="O976" s="93"/>
      <c r="P976" s="93"/>
      <c r="Q976" s="93"/>
      <c r="R976" s="93"/>
      <c r="S976" s="93"/>
      <c r="T976" s="93"/>
      <c r="U976" s="93"/>
      <c r="V976" s="93"/>
      <c r="W976" s="93"/>
    </row>
    <row r="977" spans="2:23" s="14" customFormat="1" ht="17.100000000000001" customHeight="1">
      <c r="B977" s="89"/>
      <c r="C977" s="90"/>
      <c r="D977" s="91"/>
      <c r="E977" s="92"/>
      <c r="F977" s="89"/>
      <c r="G977" s="89"/>
      <c r="H977" s="89"/>
      <c r="I977" s="89"/>
      <c r="J977" s="89"/>
      <c r="K977" s="89"/>
      <c r="L977" s="93"/>
      <c r="M977" s="93"/>
      <c r="N977" s="93"/>
      <c r="O977" s="93"/>
      <c r="P977" s="93"/>
      <c r="Q977" s="93"/>
      <c r="R977" s="93"/>
      <c r="S977" s="93"/>
      <c r="T977" s="93"/>
      <c r="U977" s="93"/>
      <c r="V977" s="93"/>
      <c r="W977" s="93"/>
    </row>
    <row r="978" spans="2:23" s="14" customFormat="1" ht="17.100000000000001" customHeight="1">
      <c r="B978" s="89"/>
      <c r="C978" s="90"/>
      <c r="D978" s="91"/>
      <c r="E978" s="92"/>
      <c r="F978" s="89"/>
      <c r="G978" s="89"/>
      <c r="H978" s="89"/>
      <c r="I978" s="89"/>
      <c r="J978" s="89"/>
      <c r="K978" s="89"/>
      <c r="L978" s="93"/>
      <c r="M978" s="93"/>
      <c r="N978" s="93"/>
      <c r="O978" s="93"/>
      <c r="P978" s="93"/>
      <c r="Q978" s="93"/>
      <c r="R978" s="93"/>
      <c r="S978" s="93"/>
      <c r="T978" s="93"/>
      <c r="U978" s="93"/>
      <c r="V978" s="93"/>
      <c r="W978" s="93"/>
    </row>
    <row r="979" spans="2:23" s="14" customFormat="1" ht="17.100000000000001" customHeight="1">
      <c r="B979" s="89"/>
      <c r="C979" s="90"/>
      <c r="D979" s="91"/>
      <c r="E979" s="92"/>
      <c r="F979" s="89"/>
      <c r="G979" s="89"/>
      <c r="H979" s="89"/>
      <c r="I979" s="89"/>
      <c r="J979" s="89"/>
      <c r="K979" s="89"/>
      <c r="L979" s="93"/>
      <c r="M979" s="93"/>
      <c r="N979" s="93"/>
      <c r="O979" s="93"/>
      <c r="P979" s="93"/>
      <c r="Q979" s="93"/>
      <c r="R979" s="93"/>
      <c r="S979" s="93"/>
      <c r="T979" s="93"/>
      <c r="U979" s="93"/>
      <c r="V979" s="93"/>
      <c r="W979" s="93"/>
    </row>
    <row r="980" spans="2:23" s="14" customFormat="1" ht="17.100000000000001" customHeight="1">
      <c r="B980" s="89"/>
      <c r="C980" s="90"/>
      <c r="D980" s="91"/>
      <c r="E980" s="92"/>
      <c r="F980" s="89"/>
      <c r="G980" s="89"/>
      <c r="H980" s="89"/>
      <c r="I980" s="89"/>
      <c r="J980" s="89"/>
      <c r="K980" s="89"/>
      <c r="L980" s="93"/>
      <c r="M980" s="93"/>
      <c r="N980" s="93"/>
      <c r="O980" s="93"/>
      <c r="P980" s="93"/>
      <c r="Q980" s="93"/>
      <c r="R980" s="93"/>
      <c r="S980" s="93"/>
      <c r="T980" s="93"/>
      <c r="U980" s="93"/>
      <c r="V980" s="93"/>
      <c r="W980" s="93"/>
    </row>
    <row r="981" spans="2:23" s="14" customFormat="1" ht="17.100000000000001" customHeight="1">
      <c r="B981" s="89"/>
      <c r="C981" s="90"/>
      <c r="D981" s="91"/>
      <c r="E981" s="92"/>
      <c r="F981" s="89"/>
      <c r="G981" s="89"/>
      <c r="H981" s="89"/>
      <c r="I981" s="89"/>
      <c r="J981" s="89"/>
      <c r="K981" s="89"/>
      <c r="L981" s="93"/>
      <c r="M981" s="93"/>
      <c r="N981" s="93"/>
      <c r="O981" s="93"/>
      <c r="P981" s="93"/>
      <c r="Q981" s="93"/>
      <c r="R981" s="93"/>
      <c r="S981" s="93"/>
      <c r="T981" s="93"/>
      <c r="U981" s="93"/>
      <c r="V981" s="93"/>
      <c r="W981" s="93"/>
    </row>
    <row r="982" spans="2:23" s="14" customFormat="1" ht="17.100000000000001" customHeight="1">
      <c r="B982" s="89"/>
      <c r="C982" s="90"/>
      <c r="D982" s="91"/>
      <c r="E982" s="92"/>
      <c r="F982" s="89"/>
      <c r="G982" s="89"/>
      <c r="H982" s="89"/>
      <c r="I982" s="89"/>
      <c r="J982" s="89"/>
      <c r="K982" s="89"/>
      <c r="L982" s="93"/>
      <c r="M982" s="93"/>
      <c r="N982" s="93"/>
      <c r="O982" s="93"/>
      <c r="P982" s="93"/>
      <c r="Q982" s="93"/>
      <c r="R982" s="93"/>
      <c r="S982" s="93"/>
      <c r="T982" s="93"/>
      <c r="U982" s="93"/>
      <c r="V982" s="93"/>
      <c r="W982" s="93"/>
    </row>
    <row r="983" spans="2:23" s="14" customFormat="1" ht="17.100000000000001" customHeight="1">
      <c r="B983" s="89"/>
      <c r="C983" s="90"/>
      <c r="D983" s="91"/>
      <c r="E983" s="92"/>
      <c r="F983" s="89"/>
      <c r="G983" s="89"/>
      <c r="H983" s="89"/>
      <c r="I983" s="89"/>
      <c r="J983" s="89"/>
      <c r="K983" s="89"/>
      <c r="L983" s="93"/>
      <c r="M983" s="93"/>
      <c r="N983" s="93"/>
      <c r="O983" s="93"/>
      <c r="P983" s="93"/>
      <c r="Q983" s="93"/>
      <c r="R983" s="93"/>
      <c r="S983" s="93"/>
      <c r="T983" s="93"/>
      <c r="U983" s="93"/>
      <c r="V983" s="93"/>
      <c r="W983" s="93"/>
    </row>
    <row r="984" spans="2:23" s="14" customFormat="1" ht="17.100000000000001" customHeight="1">
      <c r="B984" s="89"/>
      <c r="C984" s="90"/>
      <c r="D984" s="91"/>
      <c r="E984" s="92"/>
      <c r="F984" s="89"/>
      <c r="G984" s="89"/>
      <c r="H984" s="89"/>
      <c r="I984" s="89"/>
      <c r="J984" s="89"/>
      <c r="K984" s="89"/>
      <c r="L984" s="93"/>
      <c r="M984" s="93"/>
      <c r="N984" s="93"/>
      <c r="O984" s="93"/>
      <c r="P984" s="93"/>
      <c r="Q984" s="93"/>
      <c r="R984" s="93"/>
      <c r="S984" s="93"/>
      <c r="T984" s="93"/>
      <c r="U984" s="93"/>
      <c r="V984" s="93"/>
      <c r="W984" s="93"/>
    </row>
    <row r="985" spans="2:23" s="14" customFormat="1" ht="17.100000000000001" customHeight="1">
      <c r="B985" s="89"/>
      <c r="C985" s="90"/>
      <c r="D985" s="91"/>
      <c r="E985" s="92"/>
      <c r="F985" s="89"/>
      <c r="G985" s="89"/>
      <c r="H985" s="89"/>
      <c r="I985" s="89"/>
      <c r="J985" s="89"/>
      <c r="K985" s="89"/>
      <c r="L985" s="93"/>
      <c r="M985" s="93"/>
      <c r="N985" s="93"/>
      <c r="O985" s="93"/>
      <c r="P985" s="93"/>
      <c r="Q985" s="93"/>
      <c r="R985" s="93"/>
      <c r="S985" s="93"/>
      <c r="T985" s="93"/>
      <c r="U985" s="93"/>
      <c r="V985" s="93"/>
      <c r="W985" s="93"/>
    </row>
    <row r="986" spans="2:23" s="14" customFormat="1" ht="17.100000000000001" customHeight="1">
      <c r="B986" s="89"/>
      <c r="C986" s="90"/>
      <c r="D986" s="91"/>
      <c r="E986" s="92"/>
      <c r="F986" s="89"/>
      <c r="G986" s="89"/>
      <c r="H986" s="89"/>
      <c r="I986" s="89"/>
      <c r="J986" s="89"/>
      <c r="K986" s="89"/>
      <c r="L986" s="93"/>
      <c r="M986" s="93"/>
      <c r="N986" s="93"/>
      <c r="O986" s="93"/>
      <c r="P986" s="93"/>
      <c r="Q986" s="93"/>
      <c r="R986" s="93"/>
      <c r="S986" s="93"/>
      <c r="T986" s="93"/>
      <c r="U986" s="93"/>
      <c r="V986" s="93"/>
      <c r="W986" s="93"/>
    </row>
    <row r="987" spans="2:23" s="14" customFormat="1" ht="17.100000000000001" customHeight="1">
      <c r="B987" s="89"/>
      <c r="C987" s="90"/>
      <c r="D987" s="91"/>
      <c r="E987" s="92"/>
      <c r="F987" s="89"/>
      <c r="G987" s="89"/>
      <c r="H987" s="89"/>
      <c r="I987" s="89"/>
      <c r="J987" s="89"/>
      <c r="K987" s="89"/>
      <c r="L987" s="93"/>
      <c r="M987" s="93"/>
      <c r="N987" s="93"/>
      <c r="O987" s="93"/>
      <c r="P987" s="93"/>
      <c r="Q987" s="93"/>
      <c r="R987" s="93"/>
      <c r="S987" s="93"/>
      <c r="T987" s="93"/>
      <c r="U987" s="93"/>
      <c r="V987" s="93"/>
      <c r="W987" s="93"/>
    </row>
    <row r="988" spans="2:23" s="14" customFormat="1" ht="17.100000000000001" customHeight="1">
      <c r="B988" s="89"/>
      <c r="C988" s="90"/>
      <c r="D988" s="91"/>
      <c r="E988" s="92"/>
      <c r="F988" s="89"/>
      <c r="G988" s="89"/>
      <c r="H988" s="89"/>
      <c r="I988" s="89"/>
      <c r="J988" s="89"/>
      <c r="K988" s="89"/>
      <c r="L988" s="93"/>
      <c r="M988" s="93"/>
      <c r="N988" s="93"/>
      <c r="O988" s="93"/>
      <c r="P988" s="93"/>
      <c r="Q988" s="93"/>
      <c r="R988" s="93"/>
      <c r="S988" s="93"/>
      <c r="T988" s="93"/>
      <c r="U988" s="93"/>
      <c r="V988" s="93"/>
      <c r="W988" s="93"/>
    </row>
    <row r="989" spans="2:23" s="14" customFormat="1" ht="17.100000000000001" customHeight="1">
      <c r="B989" s="89"/>
      <c r="C989" s="90"/>
      <c r="D989" s="91"/>
      <c r="E989" s="92"/>
      <c r="F989" s="89"/>
      <c r="G989" s="89"/>
      <c r="H989" s="89"/>
      <c r="I989" s="89"/>
      <c r="J989" s="89"/>
      <c r="K989" s="89"/>
      <c r="L989" s="93"/>
      <c r="M989" s="93"/>
      <c r="N989" s="93"/>
      <c r="O989" s="93"/>
      <c r="P989" s="93"/>
      <c r="Q989" s="93"/>
      <c r="R989" s="93"/>
      <c r="S989" s="93"/>
      <c r="T989" s="93"/>
      <c r="U989" s="93"/>
      <c r="V989" s="93"/>
      <c r="W989" s="93"/>
    </row>
    <row r="990" spans="2:23" s="14" customFormat="1" ht="17.100000000000001" customHeight="1">
      <c r="B990" s="89"/>
      <c r="C990" s="90"/>
      <c r="D990" s="91"/>
      <c r="E990" s="92"/>
      <c r="F990" s="89"/>
      <c r="G990" s="89"/>
      <c r="H990" s="89"/>
      <c r="I990" s="89"/>
      <c r="J990" s="89"/>
      <c r="K990" s="89"/>
      <c r="L990" s="93"/>
      <c r="M990" s="93"/>
      <c r="N990" s="93"/>
      <c r="O990" s="93"/>
      <c r="P990" s="93"/>
      <c r="Q990" s="93"/>
      <c r="R990" s="93"/>
      <c r="S990" s="93"/>
      <c r="T990" s="93"/>
      <c r="U990" s="93"/>
      <c r="V990" s="93"/>
      <c r="W990" s="93"/>
    </row>
    <row r="991" spans="2:23" s="14" customFormat="1" ht="17.100000000000001" customHeight="1">
      <c r="B991" s="89"/>
      <c r="C991" s="90"/>
      <c r="D991" s="91"/>
      <c r="E991" s="92"/>
      <c r="F991" s="89"/>
      <c r="G991" s="89"/>
      <c r="H991" s="89"/>
      <c r="I991" s="89"/>
      <c r="J991" s="89"/>
      <c r="K991" s="89"/>
      <c r="L991" s="93"/>
      <c r="M991" s="93"/>
      <c r="N991" s="93"/>
      <c r="O991" s="93"/>
      <c r="P991" s="93"/>
      <c r="Q991" s="93"/>
      <c r="R991" s="93"/>
      <c r="S991" s="93"/>
      <c r="T991" s="93"/>
      <c r="U991" s="93"/>
      <c r="V991" s="93"/>
      <c r="W991" s="93"/>
    </row>
    <row r="992" spans="2:23" s="14" customFormat="1" ht="17.100000000000001" customHeight="1">
      <c r="B992" s="89"/>
      <c r="C992" s="90"/>
      <c r="D992" s="91"/>
      <c r="E992" s="92"/>
      <c r="F992" s="89"/>
      <c r="G992" s="89"/>
      <c r="H992" s="89"/>
      <c r="I992" s="89"/>
      <c r="J992" s="89"/>
      <c r="K992" s="89"/>
      <c r="L992" s="93"/>
      <c r="M992" s="93"/>
      <c r="N992" s="93"/>
      <c r="O992" s="93"/>
      <c r="P992" s="93"/>
      <c r="Q992" s="93"/>
      <c r="R992" s="93"/>
      <c r="S992" s="93"/>
      <c r="T992" s="93"/>
      <c r="U992" s="93"/>
      <c r="V992" s="93"/>
      <c r="W992" s="93"/>
    </row>
    <row r="993" spans="2:23" s="14" customFormat="1" ht="17.100000000000001" customHeight="1">
      <c r="B993" s="89"/>
      <c r="C993" s="90"/>
      <c r="D993" s="91"/>
      <c r="E993" s="92"/>
      <c r="F993" s="89"/>
      <c r="G993" s="89"/>
      <c r="H993" s="89"/>
      <c r="I993" s="89"/>
      <c r="J993" s="89"/>
      <c r="K993" s="89"/>
      <c r="L993" s="93"/>
      <c r="M993" s="93"/>
      <c r="N993" s="93"/>
      <c r="O993" s="93"/>
      <c r="P993" s="93"/>
      <c r="Q993" s="93"/>
      <c r="R993" s="93"/>
      <c r="S993" s="93"/>
      <c r="T993" s="93"/>
      <c r="U993" s="93"/>
      <c r="V993" s="93"/>
      <c r="W993" s="93"/>
    </row>
    <row r="994" spans="2:23" s="14" customFormat="1" ht="17.100000000000001" customHeight="1">
      <c r="B994" s="89"/>
      <c r="C994" s="90"/>
      <c r="D994" s="91"/>
      <c r="E994" s="92"/>
      <c r="F994" s="89"/>
      <c r="G994" s="89"/>
      <c r="H994" s="89"/>
      <c r="I994" s="89"/>
      <c r="J994" s="89"/>
      <c r="K994" s="89"/>
      <c r="L994" s="93"/>
      <c r="M994" s="93"/>
      <c r="N994" s="93"/>
      <c r="O994" s="93"/>
      <c r="P994" s="93"/>
      <c r="Q994" s="93"/>
      <c r="R994" s="93"/>
      <c r="S994" s="93"/>
      <c r="T994" s="93"/>
      <c r="U994" s="93"/>
      <c r="V994" s="93"/>
      <c r="W994" s="93"/>
    </row>
    <row r="995" spans="2:23" s="14" customFormat="1" ht="17.100000000000001" customHeight="1">
      <c r="B995" s="89"/>
      <c r="C995" s="90"/>
      <c r="D995" s="91"/>
      <c r="E995" s="92"/>
      <c r="F995" s="89"/>
      <c r="G995" s="89"/>
      <c r="H995" s="89"/>
      <c r="I995" s="89"/>
      <c r="J995" s="89"/>
      <c r="K995" s="89"/>
      <c r="L995" s="93"/>
      <c r="M995" s="93"/>
      <c r="N995" s="93"/>
      <c r="O995" s="93"/>
      <c r="P995" s="93"/>
      <c r="Q995" s="93"/>
      <c r="R995" s="93"/>
      <c r="S995" s="93"/>
      <c r="T995" s="93"/>
      <c r="U995" s="93"/>
      <c r="V995" s="93"/>
      <c r="W995" s="93"/>
    </row>
    <row r="996" spans="2:23" s="14" customFormat="1" ht="17.100000000000001" customHeight="1">
      <c r="B996" s="89"/>
      <c r="C996" s="90"/>
      <c r="D996" s="91"/>
      <c r="E996" s="92"/>
      <c r="F996" s="89"/>
      <c r="G996" s="89"/>
      <c r="H996" s="89"/>
      <c r="I996" s="89"/>
      <c r="J996" s="89"/>
      <c r="K996" s="89"/>
      <c r="L996" s="93"/>
      <c r="M996" s="93"/>
      <c r="N996" s="93"/>
      <c r="O996" s="93"/>
      <c r="P996" s="93"/>
      <c r="Q996" s="93"/>
      <c r="R996" s="93"/>
      <c r="S996" s="93"/>
      <c r="T996" s="93"/>
      <c r="U996" s="93"/>
      <c r="V996" s="93"/>
      <c r="W996" s="93"/>
    </row>
    <row r="997" spans="2:23" s="14" customFormat="1" ht="17.100000000000001" customHeight="1">
      <c r="B997" s="89"/>
      <c r="C997" s="90"/>
      <c r="D997" s="91"/>
      <c r="E997" s="92"/>
      <c r="F997" s="89"/>
      <c r="G997" s="89"/>
      <c r="H997" s="89"/>
      <c r="I997" s="89"/>
      <c r="J997" s="89"/>
      <c r="K997" s="89"/>
      <c r="L997" s="93"/>
      <c r="M997" s="93"/>
      <c r="N997" s="93"/>
      <c r="O997" s="93"/>
      <c r="P997" s="93"/>
      <c r="Q997" s="93"/>
      <c r="R997" s="93"/>
      <c r="S997" s="93"/>
      <c r="T997" s="93"/>
      <c r="U997" s="93"/>
      <c r="V997" s="93"/>
      <c r="W997" s="93"/>
    </row>
    <row r="998" spans="2:23" s="14" customFormat="1" ht="17.100000000000001" customHeight="1">
      <c r="B998" s="89"/>
      <c r="C998" s="90"/>
      <c r="D998" s="91"/>
      <c r="E998" s="92"/>
      <c r="F998" s="89"/>
      <c r="G998" s="89"/>
      <c r="H998" s="89"/>
      <c r="I998" s="89"/>
      <c r="J998" s="89"/>
      <c r="K998" s="89"/>
      <c r="L998" s="93"/>
      <c r="M998" s="93"/>
      <c r="N998" s="93"/>
      <c r="O998" s="93"/>
      <c r="P998" s="93"/>
      <c r="Q998" s="93"/>
      <c r="R998" s="93"/>
      <c r="S998" s="93"/>
      <c r="T998" s="93"/>
      <c r="U998" s="93"/>
      <c r="V998" s="93"/>
      <c r="W998" s="93"/>
    </row>
    <row r="999" spans="2:23" s="14" customFormat="1" ht="17.100000000000001" customHeight="1">
      <c r="B999" s="89"/>
      <c r="C999" s="90"/>
      <c r="D999" s="91"/>
      <c r="E999" s="92"/>
      <c r="F999" s="89"/>
      <c r="G999" s="89"/>
      <c r="H999" s="89"/>
      <c r="I999" s="89"/>
      <c r="J999" s="89"/>
      <c r="K999" s="89"/>
      <c r="L999" s="93"/>
      <c r="M999" s="93"/>
      <c r="N999" s="93"/>
      <c r="O999" s="93"/>
      <c r="P999" s="93"/>
      <c r="Q999" s="93"/>
      <c r="R999" s="93"/>
      <c r="S999" s="93"/>
      <c r="T999" s="93"/>
      <c r="U999" s="93"/>
      <c r="V999" s="93"/>
      <c r="W999" s="93"/>
    </row>
    <row r="1000" spans="2:23" s="14" customFormat="1" ht="17.100000000000001" customHeight="1">
      <c r="B1000" s="89"/>
      <c r="C1000" s="90"/>
      <c r="D1000" s="91"/>
      <c r="E1000" s="92"/>
      <c r="F1000" s="89"/>
      <c r="G1000" s="89"/>
      <c r="H1000" s="89"/>
      <c r="I1000" s="89"/>
      <c r="J1000" s="89"/>
      <c r="K1000" s="89"/>
      <c r="L1000" s="93"/>
      <c r="M1000" s="93"/>
      <c r="N1000" s="93"/>
      <c r="O1000" s="93"/>
      <c r="P1000" s="93"/>
      <c r="Q1000" s="93"/>
      <c r="R1000" s="93"/>
      <c r="S1000" s="93"/>
      <c r="T1000" s="93"/>
      <c r="U1000" s="93"/>
      <c r="V1000" s="93"/>
      <c r="W1000" s="93"/>
    </row>
    <row r="1001" spans="2:23" s="14" customFormat="1" ht="17.100000000000001" customHeight="1">
      <c r="B1001" s="89"/>
      <c r="C1001" s="90"/>
      <c r="D1001" s="91"/>
      <c r="E1001" s="92"/>
      <c r="F1001" s="89"/>
      <c r="G1001" s="89"/>
      <c r="H1001" s="89"/>
      <c r="I1001" s="89"/>
      <c r="J1001" s="89"/>
      <c r="K1001" s="89"/>
      <c r="L1001" s="93"/>
      <c r="M1001" s="93"/>
      <c r="N1001" s="93"/>
      <c r="O1001" s="93"/>
      <c r="P1001" s="93"/>
      <c r="Q1001" s="93"/>
      <c r="R1001" s="93"/>
      <c r="S1001" s="93"/>
      <c r="T1001" s="93"/>
      <c r="U1001" s="93"/>
      <c r="V1001" s="93"/>
      <c r="W1001" s="93"/>
    </row>
    <row r="1002" spans="2:23" s="14" customFormat="1" ht="17.100000000000001" customHeight="1">
      <c r="B1002" s="89"/>
      <c r="C1002" s="90"/>
      <c r="D1002" s="91"/>
      <c r="E1002" s="92"/>
      <c r="F1002" s="89"/>
      <c r="G1002" s="89"/>
      <c r="H1002" s="89"/>
      <c r="I1002" s="89"/>
      <c r="J1002" s="89"/>
      <c r="K1002" s="89"/>
      <c r="L1002" s="93"/>
      <c r="M1002" s="93"/>
      <c r="N1002" s="93"/>
      <c r="O1002" s="93"/>
      <c r="P1002" s="93"/>
      <c r="Q1002" s="93"/>
      <c r="R1002" s="93"/>
      <c r="S1002" s="93"/>
      <c r="T1002" s="93"/>
      <c r="U1002" s="93"/>
      <c r="V1002" s="93"/>
      <c r="W1002" s="93"/>
    </row>
    <row r="1003" spans="2:23" s="14" customFormat="1" ht="17.100000000000001" customHeight="1">
      <c r="B1003" s="89"/>
      <c r="C1003" s="90"/>
      <c r="D1003" s="91"/>
      <c r="E1003" s="92"/>
      <c r="F1003" s="89"/>
      <c r="G1003" s="89"/>
      <c r="H1003" s="89"/>
      <c r="I1003" s="89"/>
      <c r="J1003" s="89"/>
      <c r="K1003" s="89"/>
      <c r="L1003" s="93"/>
      <c r="M1003" s="93"/>
      <c r="N1003" s="93"/>
      <c r="O1003" s="93"/>
      <c r="P1003" s="93"/>
      <c r="Q1003" s="93"/>
      <c r="R1003" s="93"/>
      <c r="S1003" s="93"/>
      <c r="T1003" s="93"/>
      <c r="U1003" s="93"/>
      <c r="V1003" s="93"/>
      <c r="W1003" s="93"/>
    </row>
    <row r="1004" spans="2:23" s="14" customFormat="1" ht="17.100000000000001" customHeight="1">
      <c r="B1004" s="89"/>
      <c r="C1004" s="90"/>
      <c r="D1004" s="91"/>
      <c r="E1004" s="92"/>
      <c r="F1004" s="89"/>
      <c r="G1004" s="89"/>
      <c r="H1004" s="89"/>
      <c r="I1004" s="89"/>
      <c r="J1004" s="89"/>
      <c r="K1004" s="89"/>
      <c r="L1004" s="93"/>
      <c r="M1004" s="93"/>
      <c r="N1004" s="93"/>
      <c r="O1004" s="93"/>
      <c r="P1004" s="93"/>
      <c r="Q1004" s="93"/>
      <c r="R1004" s="93"/>
      <c r="S1004" s="93"/>
      <c r="T1004" s="93"/>
      <c r="U1004" s="93"/>
      <c r="V1004" s="93"/>
      <c r="W1004" s="93"/>
    </row>
    <row r="1005" spans="2:23" s="14" customFormat="1" ht="17.100000000000001" customHeight="1">
      <c r="B1005" s="89"/>
      <c r="C1005" s="90"/>
      <c r="D1005" s="91"/>
      <c r="E1005" s="92"/>
      <c r="F1005" s="89"/>
      <c r="G1005" s="89"/>
      <c r="H1005" s="89"/>
      <c r="I1005" s="89"/>
      <c r="J1005" s="89"/>
      <c r="K1005" s="89"/>
      <c r="L1005" s="93"/>
      <c r="M1005" s="93"/>
      <c r="N1005" s="93"/>
      <c r="O1005" s="93"/>
      <c r="P1005" s="93"/>
      <c r="Q1005" s="93"/>
      <c r="R1005" s="93"/>
      <c r="S1005" s="93"/>
      <c r="T1005" s="93"/>
      <c r="U1005" s="93"/>
      <c r="V1005" s="93"/>
      <c r="W1005" s="93"/>
    </row>
    <row r="1006" spans="2:23" s="14" customFormat="1" ht="17.100000000000001" customHeight="1">
      <c r="B1006" s="89"/>
      <c r="C1006" s="90"/>
      <c r="D1006" s="91"/>
      <c r="E1006" s="92"/>
      <c r="F1006" s="89"/>
      <c r="G1006" s="89"/>
      <c r="H1006" s="89"/>
      <c r="I1006" s="89"/>
      <c r="J1006" s="89"/>
      <c r="K1006" s="89"/>
      <c r="L1006" s="93"/>
      <c r="M1006" s="93"/>
      <c r="N1006" s="93"/>
      <c r="O1006" s="93"/>
      <c r="P1006" s="93"/>
      <c r="Q1006" s="93"/>
      <c r="R1006" s="93"/>
      <c r="S1006" s="93"/>
      <c r="T1006" s="93"/>
      <c r="U1006" s="93"/>
      <c r="V1006" s="93"/>
      <c r="W1006" s="93"/>
    </row>
    <row r="1007" spans="2:23" s="14" customFormat="1" ht="17.100000000000001" customHeight="1">
      <c r="B1007" s="89"/>
      <c r="C1007" s="90"/>
      <c r="D1007" s="91"/>
      <c r="E1007" s="92"/>
      <c r="F1007" s="89"/>
      <c r="G1007" s="89"/>
      <c r="H1007" s="89"/>
      <c r="I1007" s="89"/>
      <c r="J1007" s="89"/>
      <c r="K1007" s="89"/>
      <c r="L1007" s="93"/>
      <c r="M1007" s="93"/>
      <c r="N1007" s="93"/>
      <c r="O1007" s="93"/>
      <c r="P1007" s="93"/>
      <c r="Q1007" s="93"/>
      <c r="R1007" s="93"/>
      <c r="S1007" s="93"/>
      <c r="T1007" s="93"/>
      <c r="U1007" s="93"/>
      <c r="V1007" s="93"/>
      <c r="W1007" s="93"/>
    </row>
    <row r="1008" spans="2:23" s="14" customFormat="1" ht="17.100000000000001" customHeight="1">
      <c r="B1008" s="89"/>
      <c r="C1008" s="90"/>
      <c r="D1008" s="91"/>
      <c r="E1008" s="92"/>
      <c r="F1008" s="89"/>
      <c r="G1008" s="89"/>
      <c r="H1008" s="89"/>
      <c r="I1008" s="89"/>
      <c r="J1008" s="89"/>
      <c r="K1008" s="89"/>
      <c r="L1008" s="93"/>
      <c r="M1008" s="93"/>
      <c r="N1008" s="93"/>
      <c r="O1008" s="93"/>
      <c r="P1008" s="93"/>
      <c r="Q1008" s="93"/>
      <c r="R1008" s="93"/>
      <c r="S1008" s="93"/>
      <c r="T1008" s="93"/>
      <c r="U1008" s="93"/>
      <c r="V1008" s="93"/>
      <c r="W1008" s="93"/>
    </row>
    <row r="1009" spans="2:23" s="14" customFormat="1" ht="17.100000000000001" customHeight="1">
      <c r="B1009" s="89"/>
      <c r="C1009" s="90"/>
      <c r="D1009" s="91"/>
      <c r="E1009" s="92"/>
      <c r="F1009" s="89"/>
      <c r="G1009" s="89"/>
      <c r="H1009" s="89"/>
      <c r="I1009" s="89"/>
      <c r="J1009" s="89"/>
      <c r="K1009" s="89"/>
      <c r="L1009" s="93"/>
      <c r="M1009" s="93"/>
      <c r="N1009" s="93"/>
      <c r="O1009" s="93"/>
      <c r="P1009" s="93"/>
      <c r="Q1009" s="93"/>
      <c r="R1009" s="93"/>
      <c r="S1009" s="93"/>
      <c r="T1009" s="93"/>
      <c r="U1009" s="93"/>
      <c r="V1009" s="93"/>
      <c r="W1009" s="93"/>
    </row>
    <row r="1010" spans="2:23" s="14" customFormat="1" ht="17.100000000000001" customHeight="1">
      <c r="B1010" s="89"/>
      <c r="C1010" s="90"/>
      <c r="D1010" s="91"/>
      <c r="E1010" s="92"/>
      <c r="F1010" s="89"/>
      <c r="G1010" s="89"/>
      <c r="H1010" s="89"/>
      <c r="I1010" s="89"/>
      <c r="J1010" s="89"/>
      <c r="K1010" s="89"/>
      <c r="L1010" s="93"/>
      <c r="M1010" s="93"/>
      <c r="N1010" s="93"/>
      <c r="O1010" s="93"/>
      <c r="P1010" s="93"/>
      <c r="Q1010" s="93"/>
      <c r="R1010" s="93"/>
      <c r="S1010" s="93"/>
      <c r="T1010" s="93"/>
      <c r="U1010" s="93"/>
      <c r="V1010" s="93"/>
      <c r="W1010" s="93"/>
    </row>
    <row r="1011" spans="2:23" s="14" customFormat="1" ht="17.100000000000001" customHeight="1">
      <c r="B1011" s="89"/>
      <c r="C1011" s="90"/>
      <c r="D1011" s="91"/>
      <c r="E1011" s="92"/>
      <c r="F1011" s="89"/>
      <c r="G1011" s="89"/>
      <c r="H1011" s="89"/>
      <c r="I1011" s="89"/>
      <c r="J1011" s="89"/>
      <c r="K1011" s="89"/>
      <c r="L1011" s="93"/>
      <c r="M1011" s="93"/>
      <c r="N1011" s="93"/>
      <c r="O1011" s="93"/>
      <c r="P1011" s="93"/>
      <c r="Q1011" s="93"/>
      <c r="R1011" s="93"/>
      <c r="S1011" s="93"/>
      <c r="T1011" s="93"/>
      <c r="U1011" s="93"/>
      <c r="V1011" s="93"/>
      <c r="W1011" s="93"/>
    </row>
    <row r="1012" spans="2:23" s="14" customFormat="1" ht="17.100000000000001" customHeight="1">
      <c r="B1012" s="89"/>
      <c r="C1012" s="90"/>
      <c r="D1012" s="91"/>
      <c r="E1012" s="92"/>
      <c r="F1012" s="89"/>
      <c r="G1012" s="89"/>
      <c r="H1012" s="89"/>
      <c r="I1012" s="89"/>
      <c r="J1012" s="89"/>
      <c r="K1012" s="89"/>
      <c r="L1012" s="93"/>
      <c r="M1012" s="93"/>
      <c r="N1012" s="93"/>
      <c r="O1012" s="93"/>
      <c r="P1012" s="93"/>
      <c r="Q1012" s="93"/>
      <c r="R1012" s="93"/>
      <c r="S1012" s="93"/>
      <c r="T1012" s="93"/>
      <c r="U1012" s="93"/>
      <c r="V1012" s="93"/>
      <c r="W1012" s="93"/>
    </row>
    <row r="1013" spans="2:23" s="14" customFormat="1" ht="17.100000000000001" customHeight="1">
      <c r="B1013" s="89"/>
      <c r="C1013" s="90"/>
      <c r="D1013" s="91"/>
      <c r="E1013" s="92"/>
      <c r="F1013" s="89"/>
      <c r="G1013" s="89"/>
      <c r="H1013" s="89"/>
      <c r="I1013" s="89"/>
      <c r="J1013" s="89"/>
      <c r="K1013" s="89"/>
      <c r="L1013" s="93"/>
      <c r="M1013" s="93"/>
      <c r="N1013" s="93"/>
      <c r="O1013" s="93"/>
      <c r="P1013" s="93"/>
      <c r="Q1013" s="93"/>
      <c r="R1013" s="93"/>
      <c r="S1013" s="93"/>
      <c r="T1013" s="93"/>
      <c r="U1013" s="93"/>
      <c r="V1013" s="93"/>
      <c r="W1013" s="93"/>
    </row>
    <row r="1014" spans="2:23" s="14" customFormat="1" ht="17.100000000000001" customHeight="1">
      <c r="B1014" s="89"/>
      <c r="C1014" s="90"/>
      <c r="D1014" s="91"/>
      <c r="E1014" s="92"/>
      <c r="F1014" s="89"/>
      <c r="G1014" s="89"/>
      <c r="H1014" s="89"/>
      <c r="I1014" s="89"/>
      <c r="J1014" s="89"/>
      <c r="K1014" s="89"/>
      <c r="L1014" s="93"/>
      <c r="M1014" s="93"/>
      <c r="N1014" s="93"/>
      <c r="O1014" s="93"/>
      <c r="P1014" s="93"/>
      <c r="Q1014" s="93"/>
      <c r="R1014" s="93"/>
      <c r="S1014" s="93"/>
      <c r="T1014" s="93"/>
      <c r="U1014" s="93"/>
      <c r="V1014" s="93"/>
      <c r="W1014" s="93"/>
    </row>
    <row r="1015" spans="2:23" s="14" customFormat="1" ht="17.100000000000001" customHeight="1">
      <c r="B1015" s="89"/>
      <c r="C1015" s="90"/>
      <c r="D1015" s="91"/>
      <c r="E1015" s="92"/>
      <c r="F1015" s="89"/>
      <c r="G1015" s="89"/>
      <c r="H1015" s="89"/>
      <c r="I1015" s="89"/>
      <c r="J1015" s="89"/>
      <c r="K1015" s="89"/>
      <c r="L1015" s="93"/>
      <c r="M1015" s="93"/>
      <c r="N1015" s="93"/>
      <c r="O1015" s="93"/>
      <c r="P1015" s="93"/>
      <c r="Q1015" s="93"/>
      <c r="R1015" s="93"/>
      <c r="S1015" s="93"/>
      <c r="T1015" s="93"/>
      <c r="U1015" s="93"/>
      <c r="V1015" s="93"/>
      <c r="W1015" s="93"/>
    </row>
    <row r="1016" spans="2:23" s="14" customFormat="1" ht="17.100000000000001" customHeight="1">
      <c r="B1016" s="89"/>
      <c r="C1016" s="90"/>
      <c r="D1016" s="91"/>
      <c r="E1016" s="92"/>
      <c r="F1016" s="89"/>
      <c r="G1016" s="89"/>
      <c r="H1016" s="89"/>
      <c r="I1016" s="89"/>
      <c r="J1016" s="89"/>
      <c r="K1016" s="89"/>
      <c r="L1016" s="93"/>
      <c r="M1016" s="93"/>
      <c r="N1016" s="93"/>
      <c r="O1016" s="93"/>
      <c r="P1016" s="93"/>
      <c r="Q1016" s="93"/>
      <c r="R1016" s="93"/>
      <c r="S1016" s="93"/>
      <c r="T1016" s="93"/>
      <c r="U1016" s="93"/>
      <c r="V1016" s="93"/>
      <c r="W1016" s="93"/>
    </row>
    <row r="1017" spans="2:23" s="14" customFormat="1" ht="17.100000000000001" customHeight="1">
      <c r="B1017" s="89"/>
      <c r="C1017" s="90"/>
      <c r="D1017" s="91"/>
      <c r="E1017" s="92"/>
      <c r="F1017" s="89"/>
      <c r="G1017" s="89"/>
      <c r="H1017" s="89"/>
      <c r="I1017" s="89"/>
      <c r="J1017" s="89"/>
      <c r="K1017" s="89"/>
      <c r="L1017" s="93"/>
      <c r="M1017" s="93"/>
      <c r="N1017" s="93"/>
      <c r="O1017" s="93"/>
      <c r="P1017" s="93"/>
      <c r="Q1017" s="93"/>
      <c r="R1017" s="93"/>
      <c r="S1017" s="93"/>
      <c r="T1017" s="93"/>
      <c r="U1017" s="93"/>
      <c r="V1017" s="93"/>
      <c r="W1017" s="93"/>
    </row>
    <row r="1018" spans="2:23" s="14" customFormat="1" ht="17.100000000000001" customHeight="1">
      <c r="B1018" s="89"/>
      <c r="C1018" s="90"/>
      <c r="D1018" s="91"/>
      <c r="E1018" s="92"/>
      <c r="F1018" s="89"/>
      <c r="G1018" s="89"/>
      <c r="H1018" s="89"/>
      <c r="I1018" s="89"/>
      <c r="J1018" s="89"/>
      <c r="K1018" s="89"/>
      <c r="L1018" s="93"/>
      <c r="M1018" s="93"/>
      <c r="N1018" s="93"/>
      <c r="O1018" s="93"/>
      <c r="P1018" s="93"/>
      <c r="Q1018" s="93"/>
      <c r="R1018" s="93"/>
      <c r="S1018" s="93"/>
      <c r="T1018" s="93"/>
      <c r="U1018" s="93"/>
      <c r="V1018" s="93"/>
      <c r="W1018" s="93"/>
    </row>
    <row r="1019" spans="2:23" s="14" customFormat="1" ht="17.100000000000001" customHeight="1">
      <c r="B1019" s="89"/>
      <c r="C1019" s="90"/>
      <c r="D1019" s="91"/>
      <c r="E1019" s="92"/>
      <c r="F1019" s="89"/>
      <c r="G1019" s="89"/>
      <c r="H1019" s="89"/>
      <c r="I1019" s="89"/>
      <c r="J1019" s="89"/>
      <c r="K1019" s="89"/>
      <c r="L1019" s="93"/>
      <c r="M1019" s="93"/>
      <c r="N1019" s="93"/>
      <c r="O1019" s="93"/>
      <c r="P1019" s="93"/>
      <c r="Q1019" s="93"/>
      <c r="R1019" s="93"/>
      <c r="S1019" s="93"/>
      <c r="T1019" s="93"/>
      <c r="U1019" s="93"/>
      <c r="V1019" s="93"/>
      <c r="W1019" s="93"/>
    </row>
    <row r="1020" spans="2:23" s="14" customFormat="1" ht="17.100000000000001" customHeight="1">
      <c r="B1020" s="89"/>
      <c r="C1020" s="90"/>
      <c r="D1020" s="91"/>
      <c r="E1020" s="92"/>
      <c r="F1020" s="89"/>
      <c r="G1020" s="89"/>
      <c r="H1020" s="89"/>
      <c r="I1020" s="89"/>
      <c r="J1020" s="89"/>
      <c r="K1020" s="89"/>
      <c r="L1020" s="93"/>
      <c r="M1020" s="93"/>
      <c r="N1020" s="93"/>
      <c r="O1020" s="93"/>
      <c r="P1020" s="93"/>
      <c r="Q1020" s="93"/>
      <c r="R1020" s="93"/>
      <c r="S1020" s="93"/>
      <c r="T1020" s="93"/>
      <c r="U1020" s="93"/>
      <c r="V1020" s="93"/>
      <c r="W1020" s="93"/>
    </row>
    <row r="1021" spans="2:23" s="14" customFormat="1" ht="17.100000000000001" customHeight="1">
      <c r="B1021" s="89"/>
      <c r="C1021" s="90"/>
      <c r="D1021" s="91"/>
      <c r="E1021" s="92"/>
      <c r="F1021" s="89"/>
      <c r="G1021" s="89"/>
      <c r="H1021" s="89"/>
      <c r="I1021" s="89"/>
      <c r="J1021" s="89"/>
      <c r="K1021" s="89"/>
      <c r="L1021" s="93"/>
      <c r="M1021" s="93"/>
      <c r="N1021" s="93"/>
      <c r="O1021" s="93"/>
      <c r="P1021" s="93"/>
      <c r="Q1021" s="93"/>
      <c r="R1021" s="93"/>
      <c r="S1021" s="93"/>
      <c r="T1021" s="93"/>
      <c r="U1021" s="93"/>
      <c r="V1021" s="93"/>
      <c r="W1021" s="93"/>
    </row>
    <row r="1022" spans="2:23" s="14" customFormat="1" ht="17.100000000000001" customHeight="1">
      <c r="B1022" s="89"/>
      <c r="C1022" s="90"/>
      <c r="D1022" s="91"/>
      <c r="E1022" s="92"/>
      <c r="F1022" s="89"/>
      <c r="G1022" s="89"/>
      <c r="H1022" s="89"/>
      <c r="I1022" s="89"/>
      <c r="J1022" s="89"/>
      <c r="K1022" s="89"/>
      <c r="L1022" s="93"/>
      <c r="M1022" s="93"/>
      <c r="N1022" s="93"/>
      <c r="O1022" s="93"/>
      <c r="P1022" s="93"/>
      <c r="Q1022" s="93"/>
      <c r="R1022" s="93"/>
      <c r="S1022" s="93"/>
      <c r="T1022" s="93"/>
      <c r="U1022" s="93"/>
      <c r="V1022" s="93"/>
      <c r="W1022" s="93"/>
    </row>
    <row r="1023" spans="2:23" s="14" customFormat="1" ht="17.100000000000001" customHeight="1">
      <c r="B1023" s="89"/>
      <c r="C1023" s="90"/>
      <c r="D1023" s="91"/>
      <c r="E1023" s="92"/>
      <c r="F1023" s="89"/>
      <c r="G1023" s="89"/>
      <c r="H1023" s="89"/>
      <c r="I1023" s="89"/>
      <c r="J1023" s="89"/>
      <c r="K1023" s="89"/>
      <c r="L1023" s="93"/>
      <c r="M1023" s="93"/>
      <c r="N1023" s="93"/>
      <c r="O1023" s="93"/>
      <c r="P1023" s="93"/>
      <c r="Q1023" s="93"/>
      <c r="R1023" s="93"/>
      <c r="S1023" s="93"/>
      <c r="T1023" s="93"/>
      <c r="U1023" s="93"/>
      <c r="V1023" s="93"/>
      <c r="W1023" s="93"/>
    </row>
    <row r="1024" spans="2:23" s="14" customFormat="1" ht="17.100000000000001" customHeight="1">
      <c r="B1024" s="89"/>
      <c r="C1024" s="90"/>
      <c r="D1024" s="91"/>
      <c r="E1024" s="92"/>
      <c r="F1024" s="89"/>
      <c r="G1024" s="89"/>
      <c r="H1024" s="89"/>
      <c r="I1024" s="89"/>
      <c r="J1024" s="89"/>
      <c r="K1024" s="89"/>
      <c r="L1024" s="93"/>
      <c r="M1024" s="93"/>
      <c r="N1024" s="93"/>
      <c r="O1024" s="93"/>
      <c r="P1024" s="93"/>
      <c r="Q1024" s="93"/>
      <c r="R1024" s="93"/>
      <c r="S1024" s="93"/>
      <c r="T1024" s="93"/>
      <c r="U1024" s="93"/>
      <c r="V1024" s="93"/>
      <c r="W1024" s="93"/>
    </row>
    <row r="1025" spans="2:23" s="14" customFormat="1" ht="17.100000000000001" customHeight="1">
      <c r="B1025" s="89"/>
      <c r="C1025" s="90"/>
      <c r="D1025" s="91"/>
      <c r="E1025" s="92"/>
      <c r="F1025" s="89"/>
      <c r="G1025" s="89"/>
      <c r="H1025" s="89"/>
      <c r="I1025" s="89"/>
      <c r="J1025" s="89"/>
      <c r="K1025" s="89"/>
      <c r="L1025" s="93"/>
      <c r="M1025" s="93"/>
      <c r="N1025" s="93"/>
      <c r="O1025" s="93"/>
      <c r="P1025" s="93"/>
      <c r="Q1025" s="93"/>
      <c r="R1025" s="93"/>
      <c r="S1025" s="93"/>
      <c r="T1025" s="93"/>
      <c r="U1025" s="93"/>
      <c r="V1025" s="93"/>
      <c r="W1025" s="93"/>
    </row>
    <row r="1026" spans="2:23" s="14" customFormat="1" ht="17.100000000000001" customHeight="1">
      <c r="B1026" s="89"/>
      <c r="C1026" s="90"/>
      <c r="D1026" s="91"/>
      <c r="E1026" s="92"/>
      <c r="F1026" s="89"/>
      <c r="G1026" s="89"/>
      <c r="H1026" s="89"/>
      <c r="I1026" s="89"/>
      <c r="J1026" s="89"/>
      <c r="K1026" s="89"/>
      <c r="L1026" s="93"/>
      <c r="M1026" s="93"/>
      <c r="N1026" s="93"/>
      <c r="O1026" s="93"/>
      <c r="P1026" s="93"/>
      <c r="Q1026" s="93"/>
      <c r="R1026" s="93"/>
      <c r="S1026" s="93"/>
      <c r="T1026" s="93"/>
      <c r="U1026" s="93"/>
      <c r="V1026" s="93"/>
      <c r="W1026" s="93"/>
    </row>
    <row r="1027" spans="2:23" s="14" customFormat="1" ht="17.100000000000001" customHeight="1">
      <c r="B1027" s="89"/>
      <c r="C1027" s="90"/>
      <c r="D1027" s="91"/>
      <c r="E1027" s="92"/>
      <c r="F1027" s="89"/>
      <c r="G1027" s="89"/>
      <c r="H1027" s="89"/>
      <c r="I1027" s="89"/>
      <c r="J1027" s="89"/>
      <c r="K1027" s="89"/>
      <c r="L1027" s="93"/>
      <c r="M1027" s="93"/>
      <c r="N1027" s="93"/>
      <c r="O1027" s="93"/>
      <c r="P1027" s="93"/>
      <c r="Q1027" s="93"/>
      <c r="R1027" s="93"/>
      <c r="S1027" s="93"/>
      <c r="T1027" s="93"/>
      <c r="U1027" s="93"/>
      <c r="V1027" s="93"/>
      <c r="W1027" s="93"/>
    </row>
    <row r="1028" spans="2:23" s="14" customFormat="1" ht="17.100000000000001" customHeight="1">
      <c r="B1028" s="89"/>
      <c r="C1028" s="90"/>
      <c r="D1028" s="91"/>
      <c r="E1028" s="92"/>
      <c r="F1028" s="89"/>
      <c r="G1028" s="89"/>
      <c r="H1028" s="89"/>
      <c r="I1028" s="89"/>
      <c r="J1028" s="89"/>
      <c r="K1028" s="89"/>
      <c r="L1028" s="93"/>
      <c r="M1028" s="93"/>
      <c r="N1028" s="93"/>
      <c r="O1028" s="93"/>
      <c r="P1028" s="93"/>
      <c r="Q1028" s="93"/>
      <c r="R1028" s="93"/>
      <c r="S1028" s="93"/>
      <c r="T1028" s="93"/>
      <c r="U1028" s="93"/>
      <c r="V1028" s="93"/>
      <c r="W1028" s="93"/>
    </row>
    <row r="1029" spans="2:23" s="14" customFormat="1" ht="17.100000000000001" customHeight="1">
      <c r="B1029" s="89"/>
      <c r="C1029" s="90"/>
      <c r="D1029" s="91"/>
      <c r="E1029" s="92"/>
      <c r="F1029" s="89"/>
      <c r="G1029" s="89"/>
      <c r="H1029" s="89"/>
      <c r="I1029" s="89"/>
      <c r="J1029" s="89"/>
      <c r="K1029" s="89"/>
      <c r="L1029" s="93"/>
      <c r="M1029" s="93"/>
      <c r="N1029" s="93"/>
      <c r="O1029" s="93"/>
      <c r="P1029" s="93"/>
      <c r="Q1029" s="93"/>
      <c r="R1029" s="93"/>
      <c r="S1029" s="93"/>
      <c r="T1029" s="93"/>
      <c r="U1029" s="93"/>
      <c r="V1029" s="93"/>
      <c r="W1029" s="93"/>
    </row>
    <row r="1030" spans="2:23" s="14" customFormat="1" ht="17.100000000000001" customHeight="1">
      <c r="B1030" s="89"/>
      <c r="C1030" s="90"/>
      <c r="D1030" s="91"/>
      <c r="E1030" s="92"/>
      <c r="F1030" s="89"/>
      <c r="G1030" s="89"/>
      <c r="H1030" s="89"/>
      <c r="I1030" s="89"/>
      <c r="J1030" s="89"/>
      <c r="K1030" s="89"/>
      <c r="L1030" s="93"/>
      <c r="M1030" s="93"/>
      <c r="N1030" s="93"/>
      <c r="O1030" s="93"/>
      <c r="P1030" s="93"/>
      <c r="Q1030" s="93"/>
      <c r="R1030" s="93"/>
      <c r="S1030" s="93"/>
      <c r="T1030" s="93"/>
      <c r="U1030" s="93"/>
      <c r="V1030" s="93"/>
      <c r="W1030" s="93"/>
    </row>
    <row r="1031" spans="2:23" s="14" customFormat="1" ht="17.100000000000001" customHeight="1">
      <c r="B1031" s="89"/>
      <c r="C1031" s="90"/>
      <c r="D1031" s="91"/>
      <c r="E1031" s="92"/>
      <c r="F1031" s="89"/>
      <c r="G1031" s="89"/>
      <c r="H1031" s="89"/>
      <c r="I1031" s="89"/>
      <c r="J1031" s="89"/>
      <c r="K1031" s="89"/>
      <c r="L1031" s="93"/>
      <c r="M1031" s="93"/>
      <c r="N1031" s="93"/>
      <c r="O1031" s="93"/>
      <c r="P1031" s="93"/>
      <c r="Q1031" s="93"/>
      <c r="R1031" s="93"/>
      <c r="S1031" s="93"/>
      <c r="T1031" s="93"/>
      <c r="U1031" s="93"/>
      <c r="V1031" s="93"/>
      <c r="W1031" s="93"/>
    </row>
    <row r="1032" spans="2:23" s="14" customFormat="1" ht="17.100000000000001" customHeight="1">
      <c r="B1032" s="89"/>
      <c r="C1032" s="90"/>
      <c r="D1032" s="91"/>
      <c r="E1032" s="92"/>
      <c r="F1032" s="89"/>
      <c r="G1032" s="89"/>
      <c r="H1032" s="89"/>
      <c r="I1032" s="89"/>
      <c r="J1032" s="89"/>
      <c r="K1032" s="89"/>
      <c r="L1032" s="93"/>
      <c r="M1032" s="93"/>
      <c r="N1032" s="93"/>
      <c r="O1032" s="93"/>
      <c r="P1032" s="93"/>
      <c r="Q1032" s="93"/>
      <c r="R1032" s="93"/>
      <c r="S1032" s="93"/>
      <c r="T1032" s="93"/>
      <c r="U1032" s="93"/>
      <c r="V1032" s="93"/>
      <c r="W1032" s="93"/>
    </row>
    <row r="1033" spans="2:23" s="14" customFormat="1" ht="17.100000000000001" customHeight="1">
      <c r="B1033" s="89"/>
      <c r="C1033" s="90"/>
      <c r="D1033" s="91"/>
      <c r="E1033" s="92"/>
      <c r="F1033" s="89"/>
      <c r="G1033" s="89"/>
      <c r="H1033" s="89"/>
      <c r="I1033" s="89"/>
      <c r="J1033" s="89"/>
      <c r="K1033" s="89"/>
      <c r="L1033" s="93"/>
      <c r="M1033" s="93"/>
      <c r="N1033" s="93"/>
      <c r="O1033" s="93"/>
      <c r="P1033" s="93"/>
      <c r="Q1033" s="93"/>
      <c r="R1033" s="93"/>
      <c r="S1033" s="93"/>
      <c r="T1033" s="93"/>
      <c r="U1033" s="93"/>
      <c r="V1033" s="93"/>
      <c r="W1033" s="93"/>
    </row>
    <row r="1034" spans="2:23" s="14" customFormat="1" ht="17.100000000000001" customHeight="1">
      <c r="B1034" s="89"/>
      <c r="C1034" s="90"/>
      <c r="D1034" s="91"/>
      <c r="E1034" s="92"/>
      <c r="F1034" s="89"/>
      <c r="G1034" s="89"/>
      <c r="H1034" s="89"/>
      <c r="I1034" s="89"/>
      <c r="J1034" s="89"/>
      <c r="K1034" s="89"/>
      <c r="L1034" s="93"/>
      <c r="M1034" s="93"/>
      <c r="N1034" s="93"/>
      <c r="O1034" s="93"/>
      <c r="P1034" s="93"/>
      <c r="Q1034" s="93"/>
      <c r="R1034" s="93"/>
      <c r="S1034" s="93"/>
      <c r="T1034" s="93"/>
      <c r="U1034" s="93"/>
      <c r="V1034" s="93"/>
      <c r="W1034" s="93"/>
    </row>
    <row r="1035" spans="2:23" s="14" customFormat="1" ht="17.100000000000001" customHeight="1">
      <c r="B1035" s="89"/>
      <c r="C1035" s="90"/>
      <c r="D1035" s="91"/>
      <c r="E1035" s="92"/>
      <c r="F1035" s="89"/>
      <c r="G1035" s="89"/>
      <c r="H1035" s="89"/>
      <c r="I1035" s="89"/>
      <c r="J1035" s="89"/>
      <c r="K1035" s="89"/>
      <c r="L1035" s="93"/>
      <c r="M1035" s="93"/>
      <c r="N1035" s="93"/>
      <c r="O1035" s="93"/>
      <c r="P1035" s="93"/>
      <c r="Q1035" s="93"/>
      <c r="R1035" s="93"/>
      <c r="S1035" s="93"/>
      <c r="T1035" s="93"/>
      <c r="U1035" s="93"/>
      <c r="V1035" s="93"/>
      <c r="W1035" s="93"/>
    </row>
    <row r="1036" spans="2:23" s="14" customFormat="1" ht="17.100000000000001" customHeight="1">
      <c r="B1036" s="89"/>
      <c r="C1036" s="90"/>
      <c r="D1036" s="91"/>
      <c r="E1036" s="92"/>
      <c r="F1036" s="89"/>
      <c r="G1036" s="89"/>
      <c r="H1036" s="89"/>
      <c r="I1036" s="89"/>
      <c r="J1036" s="89"/>
      <c r="K1036" s="89"/>
      <c r="L1036" s="93"/>
      <c r="M1036" s="93"/>
      <c r="N1036" s="93"/>
      <c r="O1036" s="93"/>
      <c r="P1036" s="93"/>
      <c r="Q1036" s="93"/>
      <c r="R1036" s="93"/>
      <c r="S1036" s="93"/>
      <c r="T1036" s="93"/>
      <c r="U1036" s="93"/>
      <c r="V1036" s="93"/>
      <c r="W1036" s="93"/>
    </row>
    <row r="1037" spans="2:23" s="14" customFormat="1" ht="17.100000000000001" customHeight="1">
      <c r="B1037" s="89"/>
      <c r="C1037" s="90"/>
      <c r="D1037" s="91"/>
      <c r="E1037" s="92"/>
      <c r="F1037" s="89"/>
      <c r="G1037" s="89"/>
      <c r="H1037" s="89"/>
      <c r="I1037" s="89"/>
      <c r="J1037" s="89"/>
      <c r="K1037" s="89"/>
      <c r="L1037" s="93"/>
      <c r="M1037" s="93"/>
      <c r="N1037" s="93"/>
      <c r="O1037" s="93"/>
      <c r="P1037" s="93"/>
      <c r="Q1037" s="93"/>
      <c r="R1037" s="93"/>
      <c r="S1037" s="93"/>
      <c r="T1037" s="93"/>
      <c r="U1037" s="93"/>
      <c r="V1037" s="93"/>
      <c r="W1037" s="93"/>
    </row>
    <row r="1038" spans="2:23" s="14" customFormat="1" ht="17.100000000000001" customHeight="1">
      <c r="B1038" s="89"/>
      <c r="C1038" s="90"/>
      <c r="D1038" s="91"/>
      <c r="E1038" s="92"/>
      <c r="F1038" s="89"/>
      <c r="G1038" s="89"/>
      <c r="H1038" s="89"/>
      <c r="I1038" s="89"/>
      <c r="J1038" s="89"/>
      <c r="K1038" s="89"/>
      <c r="L1038" s="93"/>
      <c r="M1038" s="93"/>
      <c r="N1038" s="93"/>
      <c r="O1038" s="93"/>
      <c r="P1038" s="93"/>
      <c r="Q1038" s="93"/>
      <c r="R1038" s="93"/>
      <c r="S1038" s="93"/>
      <c r="T1038" s="93"/>
      <c r="U1038" s="93"/>
      <c r="V1038" s="93"/>
      <c r="W1038" s="93"/>
    </row>
    <row r="1039" spans="2:23" s="14" customFormat="1" ht="17.100000000000001" customHeight="1">
      <c r="B1039" s="89"/>
      <c r="C1039" s="90"/>
      <c r="D1039" s="91"/>
      <c r="E1039" s="92"/>
      <c r="F1039" s="89"/>
      <c r="G1039" s="89"/>
      <c r="H1039" s="89"/>
      <c r="I1039" s="89"/>
      <c r="J1039" s="89"/>
      <c r="K1039" s="89"/>
      <c r="L1039" s="93"/>
      <c r="M1039" s="93"/>
      <c r="N1039" s="93"/>
      <c r="O1039" s="93"/>
      <c r="P1039" s="93"/>
      <c r="Q1039" s="93"/>
      <c r="R1039" s="93"/>
      <c r="S1039" s="93"/>
      <c r="T1039" s="93"/>
      <c r="U1039" s="93"/>
      <c r="V1039" s="93"/>
      <c r="W1039" s="93"/>
    </row>
    <row r="1040" spans="2:23" s="14" customFormat="1" ht="17.100000000000001" customHeight="1">
      <c r="B1040" s="89"/>
      <c r="C1040" s="90"/>
      <c r="D1040" s="91"/>
      <c r="E1040" s="92"/>
      <c r="F1040" s="89"/>
      <c r="G1040" s="89"/>
      <c r="H1040" s="89"/>
      <c r="I1040" s="89"/>
      <c r="J1040" s="89"/>
      <c r="K1040" s="89"/>
      <c r="L1040" s="93"/>
      <c r="M1040" s="93"/>
      <c r="N1040" s="93"/>
      <c r="O1040" s="93"/>
      <c r="P1040" s="93"/>
      <c r="Q1040" s="93"/>
      <c r="R1040" s="93"/>
      <c r="S1040" s="93"/>
      <c r="T1040" s="93"/>
      <c r="U1040" s="93"/>
      <c r="V1040" s="93"/>
      <c r="W1040" s="93"/>
    </row>
    <row r="1041" spans="2:23" s="14" customFormat="1" ht="17.100000000000001" customHeight="1">
      <c r="B1041" s="89"/>
      <c r="C1041" s="90"/>
      <c r="D1041" s="91"/>
      <c r="E1041" s="92"/>
      <c r="F1041" s="89"/>
      <c r="G1041" s="89"/>
      <c r="H1041" s="89"/>
      <c r="I1041" s="89"/>
      <c r="J1041" s="89"/>
      <c r="K1041" s="89"/>
      <c r="L1041" s="93"/>
      <c r="M1041" s="93"/>
      <c r="N1041" s="93"/>
      <c r="O1041" s="93"/>
      <c r="P1041" s="93"/>
      <c r="Q1041" s="93"/>
      <c r="R1041" s="93"/>
      <c r="S1041" s="93"/>
      <c r="T1041" s="93"/>
      <c r="U1041" s="93"/>
      <c r="V1041" s="93"/>
      <c r="W1041" s="93"/>
    </row>
  </sheetData>
  <dataConsolidate/>
  <mergeCells count="3">
    <mergeCell ref="C5:E5"/>
    <mergeCell ref="F5:K6"/>
    <mergeCell ref="C6:E6"/>
  </mergeCells>
  <phoneticPr fontId="31" type="noConversion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4929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30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161925</xdr:rowOff>
                  </from>
                  <to>
                    <xdr:col>4</xdr:col>
                    <xdr:colOff>9525</xdr:colOff>
                    <xdr:row>7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3"/>
  <dimension ref="A1:Y1041"/>
  <sheetViews>
    <sheetView showGridLines="0" zoomScaleNormal="100" workbookViewId="0">
      <selection activeCell="C22" sqref="C22"/>
    </sheetView>
  </sheetViews>
  <sheetFormatPr defaultColWidth="9.140625" defaultRowHeight="17.100000000000001" customHeight="1"/>
  <cols>
    <col min="1" max="1" width="4.42578125" style="2" customWidth="1"/>
    <col min="2" max="2" width="25.7109375" style="4" bestFit="1" customWidth="1"/>
    <col min="3" max="3" width="19.7109375" style="44" customWidth="1"/>
    <col min="4" max="4" width="10.7109375" style="39" customWidth="1"/>
    <col min="5" max="5" width="7" style="35" customWidth="1"/>
    <col min="6" max="7" width="7.7109375" style="4" customWidth="1"/>
    <col min="8" max="8" width="8.7109375" style="4" customWidth="1"/>
    <col min="9" max="9" width="7.7109375" style="4" customWidth="1"/>
    <col min="10" max="10" width="6.7109375" style="4" customWidth="1"/>
    <col min="11" max="11" width="48.5703125" style="4" customWidth="1"/>
    <col min="12" max="12" width="12.28515625" style="2" bestFit="1" customWidth="1"/>
    <col min="13" max="13" width="14.140625" style="2" bestFit="1" customWidth="1"/>
    <col min="14" max="16384" width="9.140625" style="2"/>
  </cols>
  <sheetData>
    <row r="1" spans="1:15" s="29" customFormat="1" ht="22.5" customHeight="1" thickBot="1">
      <c r="A1" s="97" t="s">
        <v>539</v>
      </c>
      <c r="B1" s="98"/>
      <c r="C1" s="99"/>
      <c r="D1" s="100"/>
      <c r="E1" s="101"/>
      <c r="F1" s="102" t="s">
        <v>543</v>
      </c>
      <c r="G1" s="103"/>
      <c r="H1" s="103"/>
      <c r="I1" s="104" t="s">
        <v>540</v>
      </c>
      <c r="J1" s="105"/>
      <c r="K1" s="106" t="s">
        <v>590</v>
      </c>
      <c r="L1" s="45"/>
      <c r="M1" s="46"/>
      <c r="N1" s="47"/>
    </row>
    <row r="2" spans="1:15" s="29" customFormat="1" ht="17.100000000000001" customHeight="1" thickBot="1">
      <c r="A2" s="107" t="s">
        <v>592</v>
      </c>
      <c r="B2" s="108"/>
      <c r="C2" s="109" t="s">
        <v>541</v>
      </c>
      <c r="D2" s="110"/>
      <c r="E2" s="111"/>
      <c r="F2" s="112"/>
      <c r="G2" s="112"/>
      <c r="H2" s="112"/>
      <c r="I2" s="112"/>
      <c r="J2" s="113"/>
      <c r="K2" s="114" t="s">
        <v>542</v>
      </c>
      <c r="L2" s="48"/>
      <c r="M2" s="49" t="s">
        <v>21</v>
      </c>
      <c r="N2" s="50"/>
    </row>
    <row r="3" spans="1:1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51" t="s">
        <v>22</v>
      </c>
      <c r="M3" s="49" t="s">
        <v>23</v>
      </c>
      <c r="N3" s="52"/>
      <c r="O3" s="18"/>
    </row>
    <row r="4" spans="1:15" s="8" customFormat="1" ht="15">
      <c r="A4" s="19" t="s">
        <v>0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9" t="s">
        <v>24</v>
      </c>
      <c r="M4" s="53" t="s">
        <v>25</v>
      </c>
      <c r="N4" s="54">
        <f>N2*N3</f>
        <v>0</v>
      </c>
    </row>
    <row r="5" spans="1:15" s="8" customFormat="1" ht="13.5">
      <c r="A5" s="19" t="s">
        <v>41</v>
      </c>
      <c r="B5" s="9"/>
      <c r="C5" s="158" t="s">
        <v>677</v>
      </c>
      <c r="D5" s="159"/>
      <c r="E5" s="160"/>
      <c r="F5" s="161" t="s">
        <v>682</v>
      </c>
      <c r="G5" s="162"/>
      <c r="H5" s="162"/>
      <c r="I5" s="162"/>
      <c r="J5" s="162"/>
      <c r="K5" s="163"/>
      <c r="L5" s="51" t="s">
        <v>26</v>
      </c>
      <c r="M5" s="53" t="s">
        <v>23</v>
      </c>
      <c r="N5" s="54"/>
    </row>
    <row r="6" spans="1:15" s="8" customFormat="1" ht="13.5">
      <c r="A6" s="19" t="s">
        <v>19</v>
      </c>
      <c r="B6" s="9"/>
      <c r="C6" s="158" t="s">
        <v>678</v>
      </c>
      <c r="D6" s="159"/>
      <c r="E6" s="160"/>
      <c r="F6" s="164"/>
      <c r="G6" s="165"/>
      <c r="H6" s="165"/>
      <c r="I6" s="165"/>
      <c r="J6" s="165"/>
      <c r="K6" s="166"/>
      <c r="L6" s="49" t="s">
        <v>24</v>
      </c>
      <c r="M6" s="53" t="s">
        <v>25</v>
      </c>
      <c r="N6" s="54">
        <f>N2*N5</f>
        <v>0</v>
      </c>
    </row>
    <row r="7" spans="1:15" s="8" customFormat="1" ht="13.5">
      <c r="A7" s="10"/>
      <c r="B7" s="20" t="s">
        <v>2</v>
      </c>
      <c r="C7" s="42" t="s">
        <v>619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</row>
    <row r="8" spans="1:1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</row>
    <row r="9" spans="1:15" ht="11.25">
      <c r="A9" s="69">
        <v>1</v>
      </c>
      <c r="B9" s="157" t="s">
        <v>662</v>
      </c>
      <c r="C9" s="69" t="s">
        <v>679</v>
      </c>
      <c r="D9" s="69" t="s">
        <v>532</v>
      </c>
      <c r="E9" s="69"/>
      <c r="F9" s="69" t="s">
        <v>585</v>
      </c>
      <c r="G9" s="69" t="s">
        <v>586</v>
      </c>
      <c r="H9" s="69"/>
      <c r="I9" s="69"/>
      <c r="J9" s="69"/>
      <c r="K9" s="69"/>
    </row>
    <row r="10" spans="1:15" ht="11.25">
      <c r="A10" s="69">
        <v>2</v>
      </c>
      <c r="B10" s="157" t="s">
        <v>706</v>
      </c>
      <c r="C10" s="69" t="s">
        <v>680</v>
      </c>
      <c r="D10" s="69" t="s">
        <v>531</v>
      </c>
      <c r="E10" s="69">
        <v>200</v>
      </c>
      <c r="F10" s="69"/>
      <c r="G10" s="69"/>
      <c r="H10" s="69"/>
      <c r="I10" s="69"/>
      <c r="J10" s="69"/>
      <c r="K10" s="69"/>
    </row>
    <row r="11" spans="1:15" ht="11.25">
      <c r="A11" s="69">
        <v>3</v>
      </c>
      <c r="B11" s="157" t="s">
        <v>707</v>
      </c>
      <c r="C11" s="70" t="s">
        <v>681</v>
      </c>
      <c r="D11" s="69" t="s">
        <v>531</v>
      </c>
      <c r="E11" s="69">
        <v>200</v>
      </c>
      <c r="F11" s="72"/>
      <c r="G11" s="69"/>
      <c r="H11" s="71"/>
      <c r="I11" s="71"/>
      <c r="J11" s="71"/>
      <c r="K11" s="70"/>
      <c r="L11" s="8"/>
      <c r="M11" s="14"/>
      <c r="N11" s="15"/>
    </row>
    <row r="12" spans="1:15" ht="11.25">
      <c r="A12" s="69"/>
      <c r="B12" s="68"/>
      <c r="C12" s="70"/>
      <c r="D12" s="71"/>
      <c r="E12" s="71"/>
      <c r="F12" s="72"/>
      <c r="G12" s="69"/>
      <c r="H12" s="71"/>
      <c r="I12" s="71"/>
      <c r="J12" s="71"/>
      <c r="K12" s="70"/>
      <c r="L12" s="8"/>
    </row>
    <row r="13" spans="1:15" ht="11.25">
      <c r="A13" s="69"/>
      <c r="B13" s="68"/>
      <c r="C13" s="70"/>
      <c r="D13" s="71"/>
      <c r="E13" s="71"/>
      <c r="F13" s="73"/>
      <c r="G13" s="69"/>
      <c r="H13" s="71"/>
      <c r="I13" s="71"/>
      <c r="J13" s="71"/>
      <c r="K13" s="70"/>
      <c r="L13" s="8"/>
      <c r="M13" s="14"/>
      <c r="N13" s="15"/>
    </row>
    <row r="14" spans="1:15" ht="11.25">
      <c r="A14" s="69"/>
      <c r="B14" s="68"/>
      <c r="C14" s="70"/>
      <c r="D14" s="69"/>
      <c r="E14" s="71"/>
      <c r="F14" s="73"/>
      <c r="G14" s="69"/>
      <c r="H14" s="71"/>
      <c r="I14" s="71"/>
      <c r="J14" s="71"/>
      <c r="K14" s="70"/>
      <c r="L14" s="8"/>
      <c r="M14" s="3"/>
      <c r="N14" s="1"/>
    </row>
    <row r="15" spans="1:15" ht="11.25">
      <c r="A15" s="69"/>
      <c r="B15" s="68"/>
      <c r="C15" s="70"/>
      <c r="D15" s="69"/>
      <c r="E15" s="69"/>
      <c r="F15" s="69"/>
      <c r="G15" s="69"/>
      <c r="H15" s="69"/>
      <c r="I15" s="69"/>
      <c r="J15" s="69"/>
      <c r="K15" s="74"/>
      <c r="L15" s="8"/>
    </row>
    <row r="16" spans="1:15" ht="11.25">
      <c r="A16" s="69"/>
      <c r="B16" s="68"/>
      <c r="C16" s="70"/>
      <c r="D16" s="69"/>
      <c r="E16" s="69"/>
      <c r="F16" s="69"/>
      <c r="G16" s="69"/>
      <c r="H16" s="69"/>
      <c r="I16" s="69"/>
      <c r="J16" s="69"/>
      <c r="K16" s="74"/>
      <c r="L16" s="8"/>
    </row>
    <row r="17" spans="1:12" ht="11.25">
      <c r="A17" s="69"/>
      <c r="B17" s="68"/>
      <c r="C17" s="70"/>
      <c r="D17" s="69"/>
      <c r="E17" s="69"/>
      <c r="F17" s="69"/>
      <c r="G17" s="69"/>
      <c r="H17" s="69"/>
      <c r="I17" s="69"/>
      <c r="J17" s="69"/>
      <c r="K17" s="74"/>
      <c r="L17" s="8"/>
    </row>
    <row r="18" spans="1:12" ht="11.25">
      <c r="A18" s="69"/>
      <c r="B18" s="68"/>
      <c r="C18" s="70"/>
      <c r="D18" s="69"/>
      <c r="E18" s="69"/>
      <c r="F18" s="69"/>
      <c r="G18" s="69"/>
      <c r="H18" s="69"/>
      <c r="I18" s="69"/>
      <c r="J18" s="69"/>
      <c r="K18" s="74"/>
      <c r="L18" s="8"/>
    </row>
    <row r="19" spans="1:12" ht="11.25">
      <c r="A19" s="69"/>
      <c r="B19" s="68"/>
      <c r="C19" s="70"/>
      <c r="D19" s="69"/>
      <c r="E19" s="69"/>
      <c r="F19" s="69"/>
      <c r="G19" s="69"/>
      <c r="H19" s="69"/>
      <c r="I19" s="69"/>
      <c r="J19" s="69"/>
      <c r="K19" s="74"/>
      <c r="L19" s="8"/>
    </row>
    <row r="20" spans="1:12" ht="11.25">
      <c r="A20" s="69"/>
      <c r="B20" s="68"/>
      <c r="C20" s="70"/>
      <c r="D20" s="69"/>
      <c r="E20" s="69"/>
      <c r="F20" s="69"/>
      <c r="G20" s="69"/>
      <c r="H20" s="69"/>
      <c r="I20" s="69"/>
      <c r="J20" s="69"/>
      <c r="K20" s="74"/>
      <c r="L20" s="8"/>
    </row>
    <row r="21" spans="1:12" ht="11.25">
      <c r="A21" s="69"/>
      <c r="B21" s="68"/>
      <c r="C21" s="70"/>
      <c r="D21" s="69"/>
      <c r="E21" s="69"/>
      <c r="F21" s="69"/>
      <c r="G21" s="69"/>
      <c r="H21" s="69"/>
      <c r="I21" s="69"/>
      <c r="J21" s="69"/>
      <c r="K21" s="74"/>
      <c r="L21" s="8"/>
    </row>
    <row r="22" spans="1:12" ht="11.25">
      <c r="A22" s="69"/>
      <c r="B22" s="68"/>
      <c r="C22" s="70"/>
      <c r="D22" s="69"/>
      <c r="E22" s="69"/>
      <c r="F22" s="69"/>
      <c r="G22" s="69"/>
      <c r="H22" s="69"/>
      <c r="I22" s="69"/>
      <c r="J22" s="69"/>
      <c r="K22" s="74"/>
      <c r="L22" s="8"/>
    </row>
    <row r="23" spans="1:12" ht="11.25">
      <c r="A23" s="69"/>
      <c r="B23" s="68"/>
      <c r="C23" s="70"/>
      <c r="D23" s="69"/>
      <c r="E23" s="69"/>
      <c r="F23" s="69"/>
      <c r="G23" s="69"/>
      <c r="H23" s="69"/>
      <c r="I23" s="69"/>
      <c r="J23" s="69"/>
      <c r="K23" s="74"/>
      <c r="L23" s="8"/>
    </row>
    <row r="24" spans="1:12" ht="11.25">
      <c r="A24" s="69"/>
      <c r="B24" s="69"/>
      <c r="C24" s="70"/>
      <c r="D24" s="69"/>
      <c r="E24" s="69"/>
      <c r="F24" s="69"/>
      <c r="G24" s="69"/>
      <c r="H24" s="69"/>
      <c r="I24" s="69"/>
      <c r="J24" s="69"/>
      <c r="K24" s="74"/>
      <c r="L24" s="8"/>
    </row>
    <row r="25" spans="1:12" ht="11.25">
      <c r="A25" s="69"/>
      <c r="B25" s="69"/>
      <c r="C25" s="70"/>
      <c r="D25" s="69"/>
      <c r="E25" s="69"/>
      <c r="F25" s="69"/>
      <c r="G25" s="69"/>
      <c r="H25" s="69"/>
      <c r="I25" s="69"/>
      <c r="J25" s="69"/>
      <c r="K25" s="74"/>
      <c r="L25" s="8"/>
    </row>
    <row r="26" spans="1:12" ht="11.25">
      <c r="A26" s="69"/>
      <c r="B26" s="75"/>
      <c r="C26" s="76"/>
      <c r="D26" s="76"/>
      <c r="E26" s="76"/>
      <c r="F26" s="69"/>
      <c r="G26" s="69"/>
      <c r="H26" s="69"/>
      <c r="I26" s="69"/>
      <c r="J26" s="69"/>
      <c r="K26" s="74"/>
      <c r="L26" s="60"/>
    </row>
    <row r="27" spans="1:12" ht="11.25">
      <c r="A27" s="69"/>
      <c r="B27" s="69"/>
      <c r="C27" s="69"/>
      <c r="D27" s="69"/>
      <c r="E27" s="69"/>
      <c r="F27" s="69"/>
      <c r="G27" s="69"/>
      <c r="H27" s="69"/>
      <c r="I27" s="69"/>
      <c r="J27" s="69"/>
      <c r="K27" s="74"/>
      <c r="L27" s="8"/>
    </row>
    <row r="28" spans="1:12" ht="11.25">
      <c r="A28" s="69"/>
      <c r="B28" s="69"/>
      <c r="C28" s="69"/>
      <c r="D28" s="69"/>
      <c r="E28" s="69"/>
      <c r="F28" s="69"/>
      <c r="G28" s="69"/>
      <c r="H28" s="69"/>
      <c r="I28" s="69"/>
      <c r="J28" s="69"/>
      <c r="K28" s="74"/>
      <c r="L28" s="8"/>
    </row>
    <row r="29" spans="1:12" ht="11.25">
      <c r="A29" s="69"/>
      <c r="B29" s="69"/>
      <c r="C29" s="74"/>
      <c r="D29" s="69"/>
      <c r="E29" s="69"/>
      <c r="F29" s="69"/>
      <c r="G29" s="69"/>
      <c r="H29" s="69"/>
      <c r="I29" s="69"/>
      <c r="J29" s="69"/>
      <c r="K29" s="74"/>
      <c r="L29" s="8"/>
    </row>
    <row r="30" spans="1:12" ht="11.25">
      <c r="A30" s="69"/>
      <c r="B30" s="69"/>
      <c r="C30" s="74"/>
      <c r="D30" s="69"/>
      <c r="E30" s="69"/>
      <c r="F30" s="69"/>
      <c r="G30" s="69"/>
      <c r="H30" s="69"/>
      <c r="I30" s="69"/>
      <c r="J30" s="69"/>
      <c r="K30" s="74"/>
      <c r="L30" s="8"/>
    </row>
    <row r="31" spans="1:12" ht="11.25">
      <c r="A31" s="69"/>
      <c r="B31" s="69"/>
      <c r="C31" s="74"/>
      <c r="D31" s="69"/>
      <c r="E31" s="69"/>
      <c r="F31" s="69"/>
      <c r="G31" s="69"/>
      <c r="H31" s="69"/>
      <c r="I31" s="69"/>
      <c r="J31" s="69"/>
      <c r="K31" s="74"/>
      <c r="L31" s="8"/>
    </row>
    <row r="32" spans="1:12" ht="11.25">
      <c r="A32" s="69"/>
      <c r="B32" s="69"/>
      <c r="C32" s="74"/>
      <c r="D32" s="69"/>
      <c r="E32" s="69"/>
      <c r="F32" s="69"/>
      <c r="G32" s="69"/>
      <c r="H32" s="69"/>
      <c r="I32" s="69"/>
      <c r="J32" s="69"/>
      <c r="K32" s="74"/>
      <c r="L32" s="8"/>
    </row>
    <row r="33" spans="1:25" ht="11.25">
      <c r="A33" s="69"/>
      <c r="B33" s="69"/>
      <c r="C33" s="74"/>
      <c r="D33" s="69"/>
      <c r="E33" s="69"/>
      <c r="F33" s="69"/>
      <c r="G33" s="69"/>
      <c r="H33" s="69"/>
      <c r="I33" s="69"/>
      <c r="J33" s="69"/>
      <c r="K33" s="74"/>
      <c r="L33" s="8"/>
    </row>
    <row r="34" spans="1:25" ht="11.25">
      <c r="A34" s="69"/>
      <c r="B34" s="69"/>
      <c r="C34" s="74"/>
      <c r="D34" s="69"/>
      <c r="E34" s="69"/>
      <c r="F34" s="69"/>
      <c r="G34" s="69"/>
      <c r="H34" s="69"/>
      <c r="I34" s="69"/>
      <c r="J34" s="69"/>
      <c r="K34" s="74"/>
      <c r="L34" s="8"/>
    </row>
    <row r="35" spans="1:25" ht="11.25">
      <c r="A35" s="69"/>
      <c r="B35" s="77"/>
      <c r="C35" s="74"/>
      <c r="D35" s="69"/>
      <c r="E35" s="69"/>
      <c r="F35" s="69"/>
      <c r="G35" s="69"/>
      <c r="H35" s="69"/>
      <c r="I35" s="69"/>
      <c r="J35" s="69"/>
      <c r="K35" s="74"/>
      <c r="L35" s="8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</row>
    <row r="36" spans="1:25" ht="11.25">
      <c r="A36" s="69"/>
      <c r="B36" s="77"/>
      <c r="C36" s="74"/>
      <c r="D36" s="69"/>
      <c r="E36" s="69"/>
      <c r="F36" s="69"/>
      <c r="G36" s="69"/>
      <c r="H36" s="69"/>
      <c r="I36" s="69"/>
      <c r="J36" s="69"/>
      <c r="K36" s="74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</row>
    <row r="37" spans="1:25" ht="11.25">
      <c r="A37" s="69"/>
      <c r="B37" s="77"/>
      <c r="C37" s="74"/>
      <c r="D37" s="69"/>
      <c r="E37" s="69"/>
      <c r="F37" s="69"/>
      <c r="G37" s="69"/>
      <c r="H37" s="69"/>
      <c r="I37" s="69"/>
      <c r="J37" s="69"/>
      <c r="K37" s="74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</row>
    <row r="38" spans="1:25" ht="11.25">
      <c r="A38" s="86"/>
      <c r="B38" s="87"/>
      <c r="C38" s="88"/>
      <c r="D38" s="86"/>
      <c r="E38" s="86"/>
      <c r="F38" s="86"/>
      <c r="G38" s="86"/>
      <c r="H38" s="86"/>
      <c r="I38" s="86"/>
      <c r="J38" s="86"/>
      <c r="K38" s="88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</row>
    <row r="39" spans="1:25" s="85" customFormat="1" ht="234.75" customHeight="1">
      <c r="A39" s="79" t="s">
        <v>528</v>
      </c>
      <c r="B39" s="80"/>
      <c r="C39" s="81"/>
      <c r="D39" s="82"/>
      <c r="E39" s="83"/>
      <c r="F39" s="84"/>
      <c r="G39" s="84"/>
      <c r="H39" s="84"/>
      <c r="I39" s="84"/>
      <c r="J39" s="84"/>
      <c r="K39" s="84"/>
    </row>
    <row r="40" spans="1:25" s="14" customFormat="1" ht="17.100000000000001" customHeight="1">
      <c r="B40" s="136" t="s">
        <v>588</v>
      </c>
      <c r="C40" s="137" t="s">
        <v>524</v>
      </c>
      <c r="D40" s="138" t="s">
        <v>525</v>
      </c>
      <c r="E40" s="139" t="s">
        <v>535</v>
      </c>
      <c r="F40" s="140" t="s">
        <v>526</v>
      </c>
      <c r="G40" s="140" t="s">
        <v>575</v>
      </c>
      <c r="H40" s="96"/>
      <c r="I40" s="96"/>
      <c r="J40" s="96"/>
      <c r="K40" s="96"/>
      <c r="L40" s="95"/>
      <c r="M40" s="95"/>
      <c r="N40" s="95"/>
      <c r="O40" s="95"/>
      <c r="P40" s="95"/>
      <c r="Q40" s="95"/>
      <c r="R40" s="95"/>
      <c r="S40" s="95"/>
      <c r="T40" s="95"/>
      <c r="U40" s="95"/>
      <c r="V40" s="95"/>
      <c r="W40" s="95"/>
    </row>
    <row r="41" spans="1:25" s="14" customFormat="1" ht="17.100000000000001" customHeight="1">
      <c r="B41" s="140" t="s">
        <v>519</v>
      </c>
      <c r="C41" s="137" t="s">
        <v>520</v>
      </c>
      <c r="D41" s="138" t="s">
        <v>521</v>
      </c>
      <c r="E41" s="139" t="s">
        <v>522</v>
      </c>
      <c r="F41" s="140" t="s">
        <v>523</v>
      </c>
      <c r="G41" s="140" t="s">
        <v>527</v>
      </c>
      <c r="H41" s="96"/>
      <c r="I41" s="96"/>
      <c r="J41" s="96"/>
      <c r="K41" s="96"/>
      <c r="L41" s="95"/>
      <c r="M41" s="95"/>
      <c r="N41" s="95"/>
      <c r="O41" s="95"/>
      <c r="P41" s="95"/>
      <c r="Q41" s="95"/>
      <c r="R41" s="95"/>
      <c r="S41" s="95"/>
      <c r="T41" s="95"/>
      <c r="U41" s="95"/>
      <c r="V41" s="95"/>
      <c r="W41" s="95"/>
    </row>
    <row r="42" spans="1:25" s="14" customFormat="1" ht="17.100000000000001" customHeight="1">
      <c r="B42" s="141" t="s">
        <v>576</v>
      </c>
      <c r="C42" s="142" t="s">
        <v>577</v>
      </c>
      <c r="D42" s="143" t="s">
        <v>578</v>
      </c>
      <c r="E42" s="144">
        <v>1</v>
      </c>
      <c r="F42" s="141" t="s">
        <v>579</v>
      </c>
      <c r="G42" s="141" t="s">
        <v>580</v>
      </c>
      <c r="H42" s="89"/>
      <c r="I42" s="89"/>
      <c r="J42" s="89"/>
      <c r="K42" s="89"/>
      <c r="L42" s="93"/>
      <c r="M42" s="93"/>
      <c r="N42" s="93"/>
      <c r="O42" s="93"/>
      <c r="P42" s="93"/>
      <c r="Q42" s="93"/>
      <c r="R42" s="93"/>
      <c r="S42" s="93"/>
      <c r="T42" s="93"/>
      <c r="U42" s="93"/>
      <c r="V42" s="93"/>
      <c r="W42" s="93"/>
    </row>
    <row r="43" spans="1:25" s="14" customFormat="1" ht="17.100000000000001" customHeight="1">
      <c r="B43" s="141" t="s">
        <v>581</v>
      </c>
      <c r="C43" s="142" t="s">
        <v>577</v>
      </c>
      <c r="D43" s="143" t="s">
        <v>578</v>
      </c>
      <c r="E43" s="144">
        <v>1</v>
      </c>
      <c r="F43" s="141" t="s">
        <v>579</v>
      </c>
      <c r="G43" s="141" t="s">
        <v>580</v>
      </c>
      <c r="H43" s="89"/>
      <c r="I43" s="89"/>
      <c r="J43" s="89"/>
      <c r="K43" s="89"/>
      <c r="L43" s="93"/>
      <c r="M43" s="93"/>
      <c r="N43" s="93"/>
      <c r="O43" s="93"/>
      <c r="P43" s="93"/>
      <c r="Q43" s="93"/>
      <c r="R43" s="93"/>
      <c r="S43" s="93"/>
      <c r="T43" s="93"/>
      <c r="U43" s="93"/>
      <c r="V43" s="93"/>
      <c r="W43" s="93"/>
    </row>
    <row r="44" spans="1:25" s="14" customFormat="1" ht="17.100000000000001" customHeight="1">
      <c r="B44" s="141" t="s">
        <v>582</v>
      </c>
      <c r="C44" s="142" t="s">
        <v>577</v>
      </c>
      <c r="D44" s="143" t="s">
        <v>578</v>
      </c>
      <c r="E44" s="144">
        <v>6</v>
      </c>
      <c r="F44" s="141" t="s">
        <v>579</v>
      </c>
      <c r="G44" s="141" t="s">
        <v>580</v>
      </c>
      <c r="H44" s="89"/>
      <c r="I44" s="89"/>
      <c r="J44" s="89"/>
      <c r="K44" s="89"/>
      <c r="L44" s="93"/>
      <c r="M44" s="93"/>
      <c r="N44" s="93"/>
      <c r="O44" s="93"/>
      <c r="P44" s="93"/>
      <c r="Q44" s="93"/>
      <c r="R44" s="93"/>
      <c r="S44" s="93"/>
      <c r="T44" s="93"/>
      <c r="U44" s="93"/>
      <c r="V44" s="93"/>
      <c r="W44" s="93"/>
    </row>
    <row r="45" spans="1:25" s="14" customFormat="1" ht="17.100000000000001" customHeight="1">
      <c r="B45" s="141" t="s">
        <v>583</v>
      </c>
      <c r="C45" s="142" t="s">
        <v>577</v>
      </c>
      <c r="D45" s="143" t="s">
        <v>578</v>
      </c>
      <c r="E45" s="144">
        <v>3</v>
      </c>
      <c r="F45" s="141" t="s">
        <v>579</v>
      </c>
      <c r="G45" s="141" t="s">
        <v>580</v>
      </c>
      <c r="H45" s="89"/>
      <c r="I45" s="89"/>
      <c r="J45" s="89"/>
      <c r="K45" s="89"/>
      <c r="L45" s="93"/>
      <c r="M45" s="93"/>
      <c r="N45" s="93"/>
      <c r="O45" s="93"/>
      <c r="P45" s="93"/>
      <c r="Q45" s="93"/>
      <c r="R45" s="93"/>
      <c r="S45" s="93"/>
      <c r="T45" s="93"/>
      <c r="U45" s="93"/>
      <c r="V45" s="93"/>
      <c r="W45" s="93"/>
    </row>
    <row r="46" spans="1:25" s="14" customFormat="1" ht="17.100000000000001" customHeight="1">
      <c r="B46" s="89"/>
      <c r="C46" s="90"/>
      <c r="D46" s="91"/>
      <c r="E46" s="92"/>
      <c r="F46" s="89"/>
      <c r="G46" s="89"/>
      <c r="H46" s="89"/>
      <c r="I46" s="89"/>
      <c r="J46" s="89"/>
      <c r="K46" s="89"/>
      <c r="L46" s="93"/>
      <c r="M46" s="93"/>
      <c r="N46" s="93"/>
      <c r="O46" s="93"/>
      <c r="P46" s="93"/>
      <c r="Q46" s="93"/>
      <c r="R46" s="93"/>
      <c r="S46" s="93"/>
      <c r="T46" s="93"/>
      <c r="U46" s="93"/>
      <c r="V46" s="93"/>
      <c r="W46" s="93"/>
    </row>
    <row r="47" spans="1:25" s="14" customFormat="1" ht="17.100000000000001" customHeight="1">
      <c r="B47" s="89"/>
      <c r="C47" s="90"/>
      <c r="D47" s="91"/>
      <c r="E47" s="92"/>
      <c r="F47" s="89"/>
      <c r="G47" s="89"/>
      <c r="H47" s="89"/>
      <c r="I47" s="89"/>
      <c r="J47" s="89"/>
      <c r="K47" s="89"/>
      <c r="L47" s="93"/>
      <c r="M47" s="93"/>
      <c r="N47" s="93"/>
      <c r="O47" s="93"/>
      <c r="P47" s="93"/>
      <c r="Q47" s="93"/>
      <c r="R47" s="93"/>
      <c r="S47" s="93"/>
      <c r="T47" s="93"/>
      <c r="U47" s="93"/>
      <c r="V47" s="93"/>
      <c r="W47" s="93"/>
    </row>
    <row r="48" spans="1:25" s="14" customFormat="1" ht="17.100000000000001" customHeight="1">
      <c r="B48" s="89"/>
      <c r="C48" s="90"/>
      <c r="D48" s="91"/>
      <c r="E48" s="92"/>
      <c r="F48" s="89"/>
      <c r="G48" s="89"/>
      <c r="H48" s="89"/>
      <c r="I48" s="89"/>
      <c r="J48" s="89"/>
      <c r="K48" s="89"/>
      <c r="L48" s="93"/>
      <c r="M48" s="93"/>
      <c r="N48" s="93"/>
      <c r="O48" s="93"/>
      <c r="P48" s="93"/>
      <c r="Q48" s="93"/>
      <c r="R48" s="93"/>
      <c r="S48" s="93"/>
      <c r="T48" s="93"/>
      <c r="U48" s="93"/>
      <c r="V48" s="93"/>
      <c r="W48" s="93"/>
    </row>
    <row r="49" spans="2:23" s="14" customFormat="1" ht="17.100000000000001" customHeight="1">
      <c r="B49" s="89"/>
      <c r="C49" s="90"/>
      <c r="D49" s="91"/>
      <c r="E49" s="92"/>
      <c r="F49" s="89"/>
      <c r="G49" s="89"/>
      <c r="H49" s="89"/>
      <c r="I49" s="89"/>
      <c r="J49" s="89"/>
      <c r="K49" s="89"/>
      <c r="L49" s="93"/>
      <c r="M49" s="93"/>
      <c r="N49" s="93"/>
      <c r="O49" s="93"/>
      <c r="P49" s="93"/>
      <c r="Q49" s="93"/>
      <c r="R49" s="93"/>
      <c r="S49" s="93"/>
      <c r="T49" s="93"/>
      <c r="U49" s="93"/>
      <c r="V49" s="93"/>
      <c r="W49" s="93"/>
    </row>
    <row r="50" spans="2:23" s="14" customFormat="1" ht="17.100000000000001" customHeight="1">
      <c r="B50" s="89"/>
      <c r="C50" s="90"/>
      <c r="D50" s="91"/>
      <c r="E50" s="92"/>
      <c r="F50" s="89"/>
      <c r="G50" s="89"/>
      <c r="H50" s="89"/>
      <c r="I50" s="89"/>
      <c r="J50" s="89"/>
      <c r="K50" s="89"/>
      <c r="L50" s="93"/>
      <c r="M50" s="93"/>
      <c r="N50" s="93"/>
      <c r="O50" s="93"/>
      <c r="P50" s="93"/>
      <c r="Q50" s="93"/>
      <c r="R50" s="93"/>
      <c r="S50" s="93"/>
      <c r="T50" s="93"/>
      <c r="U50" s="93"/>
      <c r="V50" s="93"/>
      <c r="W50" s="93"/>
    </row>
    <row r="51" spans="2:23" s="14" customFormat="1" ht="17.100000000000001" customHeight="1">
      <c r="B51" s="89"/>
      <c r="C51" s="90"/>
      <c r="D51" s="91"/>
      <c r="E51" s="92"/>
      <c r="F51" s="89"/>
      <c r="G51" s="89"/>
      <c r="H51" s="89"/>
      <c r="I51" s="89"/>
      <c r="J51" s="89"/>
      <c r="K51" s="89"/>
      <c r="L51" s="93"/>
      <c r="M51" s="93"/>
      <c r="N51" s="93"/>
      <c r="O51" s="93"/>
      <c r="P51" s="93"/>
      <c r="Q51" s="93"/>
      <c r="R51" s="93"/>
      <c r="S51" s="93"/>
      <c r="T51" s="93"/>
      <c r="U51" s="93"/>
      <c r="V51" s="93"/>
      <c r="W51" s="93"/>
    </row>
    <row r="52" spans="2:23" s="14" customFormat="1" ht="17.100000000000001" customHeight="1">
      <c r="B52" s="89"/>
      <c r="C52" s="90"/>
      <c r="D52" s="91"/>
      <c r="E52" s="92"/>
      <c r="F52" s="89"/>
      <c r="G52" s="89"/>
      <c r="H52" s="89"/>
      <c r="I52" s="89"/>
      <c r="J52" s="89"/>
      <c r="K52" s="89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</row>
    <row r="53" spans="2:23" s="14" customFormat="1" ht="17.100000000000001" customHeight="1">
      <c r="B53" s="89"/>
      <c r="C53" s="90"/>
      <c r="D53" s="91"/>
      <c r="E53" s="92"/>
      <c r="F53" s="89"/>
      <c r="G53" s="89"/>
      <c r="H53" s="89"/>
      <c r="I53" s="89"/>
      <c r="J53" s="89"/>
      <c r="K53" s="89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</row>
    <row r="54" spans="2:23" s="14" customFormat="1" ht="17.100000000000001" customHeight="1">
      <c r="B54" s="89"/>
      <c r="C54" s="90"/>
      <c r="D54" s="91"/>
      <c r="E54" s="92"/>
      <c r="F54" s="89"/>
      <c r="G54" s="89"/>
      <c r="H54" s="89"/>
      <c r="I54" s="89"/>
      <c r="J54" s="89"/>
      <c r="K54" s="89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</row>
    <row r="55" spans="2:23" s="14" customFormat="1" ht="17.100000000000001" customHeight="1">
      <c r="B55" s="89"/>
      <c r="C55" s="90"/>
      <c r="D55" s="91"/>
      <c r="E55" s="92"/>
      <c r="F55" s="89"/>
      <c r="G55" s="89"/>
      <c r="H55" s="89"/>
      <c r="I55" s="89"/>
      <c r="J55" s="89"/>
      <c r="K55" s="89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</row>
    <row r="56" spans="2:23" s="14" customFormat="1" ht="17.100000000000001" customHeight="1">
      <c r="B56" s="89"/>
      <c r="C56" s="90"/>
      <c r="D56" s="91"/>
      <c r="E56" s="92"/>
      <c r="F56" s="89"/>
      <c r="G56" s="89"/>
      <c r="H56" s="89"/>
      <c r="I56" s="89"/>
      <c r="J56" s="89"/>
      <c r="K56" s="89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</row>
    <row r="57" spans="2:23" s="14" customFormat="1" ht="17.100000000000001" customHeight="1">
      <c r="B57" s="89"/>
      <c r="C57" s="90"/>
      <c r="D57" s="91"/>
      <c r="E57" s="92"/>
      <c r="F57" s="89"/>
      <c r="G57" s="89"/>
      <c r="H57" s="89"/>
      <c r="I57" s="89"/>
      <c r="J57" s="89"/>
      <c r="K57" s="89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</row>
    <row r="58" spans="2:23" s="14" customFormat="1" ht="17.100000000000001" customHeight="1">
      <c r="B58" s="89"/>
      <c r="C58" s="90"/>
      <c r="D58" s="91"/>
      <c r="E58" s="92"/>
      <c r="F58" s="89"/>
      <c r="G58" s="89"/>
      <c r="H58" s="89"/>
      <c r="I58" s="89"/>
      <c r="J58" s="89"/>
      <c r="K58" s="89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</row>
    <row r="59" spans="2:23" s="14" customFormat="1" ht="17.100000000000001" customHeight="1">
      <c r="B59" s="89"/>
      <c r="C59" s="90"/>
      <c r="D59" s="91"/>
      <c r="E59" s="92"/>
      <c r="F59" s="89"/>
      <c r="G59" s="89"/>
      <c r="H59" s="89"/>
      <c r="I59" s="89"/>
      <c r="J59" s="89"/>
      <c r="K59" s="89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</row>
    <row r="60" spans="2:23" s="14" customFormat="1" ht="17.100000000000001" customHeight="1">
      <c r="B60" s="89"/>
      <c r="C60" s="90"/>
      <c r="D60" s="91"/>
      <c r="E60" s="92"/>
      <c r="F60" s="89"/>
      <c r="G60" s="89"/>
      <c r="H60" s="89"/>
      <c r="I60" s="89"/>
      <c r="J60" s="89"/>
      <c r="K60" s="89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</row>
    <row r="61" spans="2:23" s="14" customFormat="1" ht="17.100000000000001" customHeight="1">
      <c r="B61" s="89"/>
      <c r="C61" s="90"/>
      <c r="D61" s="91"/>
      <c r="E61" s="92"/>
      <c r="F61" s="89"/>
      <c r="G61" s="89"/>
      <c r="H61" s="89"/>
      <c r="I61" s="89"/>
      <c r="J61" s="89"/>
      <c r="K61" s="89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</row>
    <row r="62" spans="2:23" s="14" customFormat="1" ht="17.100000000000001" customHeight="1">
      <c r="B62" s="89"/>
      <c r="C62" s="90"/>
      <c r="D62" s="91"/>
      <c r="E62" s="92"/>
      <c r="F62" s="89"/>
      <c r="G62" s="89"/>
      <c r="H62" s="89"/>
      <c r="I62" s="89"/>
      <c r="J62" s="89"/>
      <c r="K62" s="89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</row>
    <row r="63" spans="2:23" s="14" customFormat="1" ht="17.100000000000001" customHeight="1">
      <c r="B63" s="89"/>
      <c r="C63" s="90"/>
      <c r="D63" s="91"/>
      <c r="E63" s="92"/>
      <c r="F63" s="89"/>
      <c r="G63" s="89"/>
      <c r="H63" s="89"/>
      <c r="I63" s="89"/>
      <c r="J63" s="89"/>
      <c r="K63" s="89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</row>
    <row r="64" spans="2:23" s="14" customFormat="1" ht="17.100000000000001" customHeight="1">
      <c r="B64" s="89"/>
      <c r="C64" s="90"/>
      <c r="D64" s="91"/>
      <c r="E64" s="92"/>
      <c r="F64" s="89"/>
      <c r="G64" s="89"/>
      <c r="H64" s="89"/>
      <c r="I64" s="89"/>
      <c r="J64" s="89"/>
      <c r="K64" s="89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</row>
    <row r="65" spans="2:23" s="14" customFormat="1" ht="17.100000000000001" customHeight="1">
      <c r="B65" s="89"/>
      <c r="C65" s="90"/>
      <c r="D65" s="91"/>
      <c r="E65" s="92"/>
      <c r="F65" s="89"/>
      <c r="G65" s="89"/>
      <c r="H65" s="89"/>
      <c r="I65" s="89"/>
      <c r="J65" s="89"/>
      <c r="K65" s="89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</row>
    <row r="66" spans="2:23" s="14" customFormat="1" ht="17.100000000000001" customHeight="1">
      <c r="B66" s="89"/>
      <c r="C66" s="90"/>
      <c r="D66" s="91"/>
      <c r="E66" s="92"/>
      <c r="F66" s="89"/>
      <c r="G66" s="89"/>
      <c r="H66" s="89"/>
      <c r="I66" s="89"/>
      <c r="J66" s="89"/>
      <c r="K66" s="89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</row>
    <row r="67" spans="2:23" s="14" customFormat="1" ht="17.100000000000001" customHeight="1">
      <c r="B67" s="89"/>
      <c r="C67" s="90"/>
      <c r="D67" s="91"/>
      <c r="E67" s="92"/>
      <c r="F67" s="89"/>
      <c r="G67" s="89"/>
      <c r="H67" s="89"/>
      <c r="I67" s="89"/>
      <c r="J67" s="89"/>
      <c r="K67" s="89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</row>
    <row r="68" spans="2:23" s="14" customFormat="1" ht="17.100000000000001" customHeight="1">
      <c r="B68" s="89"/>
      <c r="C68" s="90"/>
      <c r="D68" s="91"/>
      <c r="E68" s="92"/>
      <c r="F68" s="89"/>
      <c r="G68" s="89"/>
      <c r="H68" s="89"/>
      <c r="I68" s="89"/>
      <c r="J68" s="89"/>
      <c r="K68" s="89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</row>
    <row r="69" spans="2:23" s="14" customFormat="1" ht="17.100000000000001" customHeight="1">
      <c r="B69" s="89"/>
      <c r="C69" s="90"/>
      <c r="D69" s="91"/>
      <c r="E69" s="92"/>
      <c r="F69" s="89"/>
      <c r="G69" s="89"/>
      <c r="H69" s="89"/>
      <c r="I69" s="89"/>
      <c r="J69" s="89"/>
      <c r="K69" s="89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</row>
    <row r="70" spans="2:23" s="14" customFormat="1" ht="17.100000000000001" customHeight="1">
      <c r="B70" s="89"/>
      <c r="C70" s="90"/>
      <c r="D70" s="91"/>
      <c r="E70" s="92"/>
      <c r="F70" s="89"/>
      <c r="G70" s="89"/>
      <c r="H70" s="89"/>
      <c r="I70" s="89"/>
      <c r="J70" s="89"/>
      <c r="K70" s="89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</row>
    <row r="71" spans="2:23" s="14" customFormat="1" ht="17.100000000000001" customHeight="1">
      <c r="B71" s="89"/>
      <c r="C71" s="90"/>
      <c r="D71" s="91"/>
      <c r="E71" s="92"/>
      <c r="F71" s="89"/>
      <c r="G71" s="89"/>
      <c r="H71" s="89"/>
      <c r="I71" s="89"/>
      <c r="J71" s="89"/>
      <c r="K71" s="89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</row>
    <row r="72" spans="2:23" s="14" customFormat="1" ht="17.100000000000001" customHeight="1">
      <c r="B72" s="89"/>
      <c r="C72" s="90"/>
      <c r="D72" s="91"/>
      <c r="E72" s="92"/>
      <c r="F72" s="89"/>
      <c r="G72" s="89"/>
      <c r="H72" s="89"/>
      <c r="I72" s="89"/>
      <c r="J72" s="89"/>
      <c r="K72" s="89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</row>
    <row r="73" spans="2:23" s="14" customFormat="1" ht="17.100000000000001" customHeight="1">
      <c r="B73" s="89"/>
      <c r="C73" s="90"/>
      <c r="D73" s="91"/>
      <c r="E73" s="92"/>
      <c r="F73" s="89"/>
      <c r="G73" s="89"/>
      <c r="H73" s="89"/>
      <c r="I73" s="89"/>
      <c r="J73" s="89"/>
      <c r="K73" s="89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</row>
    <row r="74" spans="2:23" s="14" customFormat="1" ht="17.100000000000001" customHeight="1">
      <c r="B74" s="89"/>
      <c r="C74" s="90"/>
      <c r="D74" s="91"/>
      <c r="E74" s="92"/>
      <c r="F74" s="89"/>
      <c r="G74" s="89"/>
      <c r="H74" s="89"/>
      <c r="I74" s="89"/>
      <c r="J74" s="89"/>
      <c r="K74" s="89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</row>
    <row r="75" spans="2:23" s="14" customFormat="1" ht="17.100000000000001" customHeight="1">
      <c r="B75" s="89"/>
      <c r="C75" s="90"/>
      <c r="D75" s="91"/>
      <c r="E75" s="92"/>
      <c r="F75" s="89"/>
      <c r="G75" s="89"/>
      <c r="H75" s="89"/>
      <c r="I75" s="89"/>
      <c r="J75" s="89"/>
      <c r="K75" s="89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</row>
    <row r="76" spans="2:23" s="14" customFormat="1" ht="17.100000000000001" customHeight="1">
      <c r="B76" s="89"/>
      <c r="C76" s="90"/>
      <c r="D76" s="91"/>
      <c r="E76" s="92"/>
      <c r="F76" s="89"/>
      <c r="G76" s="89"/>
      <c r="H76" s="89"/>
      <c r="I76" s="89"/>
      <c r="J76" s="89"/>
      <c r="K76" s="89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</row>
    <row r="77" spans="2:23" s="14" customFormat="1" ht="17.100000000000001" customHeight="1">
      <c r="B77" s="89"/>
      <c r="C77" s="90"/>
      <c r="D77" s="91"/>
      <c r="E77" s="92"/>
      <c r="F77" s="89"/>
      <c r="G77" s="89"/>
      <c r="H77" s="89"/>
      <c r="I77" s="89"/>
      <c r="J77" s="89"/>
      <c r="K77" s="89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</row>
    <row r="78" spans="2:23" s="14" customFormat="1" ht="17.100000000000001" customHeight="1">
      <c r="B78" s="89"/>
      <c r="C78" s="90"/>
      <c r="D78" s="91"/>
      <c r="E78" s="92"/>
      <c r="F78" s="89"/>
      <c r="G78" s="89"/>
      <c r="H78" s="89"/>
      <c r="I78" s="89"/>
      <c r="J78" s="89"/>
      <c r="K78" s="89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</row>
    <row r="79" spans="2:23" s="14" customFormat="1" ht="17.100000000000001" customHeight="1">
      <c r="B79" s="89"/>
      <c r="C79" s="90"/>
      <c r="D79" s="91"/>
      <c r="E79" s="92"/>
      <c r="F79" s="89"/>
      <c r="G79" s="89"/>
      <c r="H79" s="89"/>
      <c r="I79" s="89"/>
      <c r="J79" s="89"/>
      <c r="K79" s="89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</row>
    <row r="80" spans="2:23" s="14" customFormat="1" ht="17.100000000000001" customHeight="1">
      <c r="B80" s="89"/>
      <c r="C80" s="90"/>
      <c r="D80" s="91"/>
      <c r="E80" s="92"/>
      <c r="F80" s="89"/>
      <c r="G80" s="89"/>
      <c r="H80" s="89"/>
      <c r="I80" s="89"/>
      <c r="J80" s="89"/>
      <c r="K80" s="89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</row>
    <row r="81" spans="2:23" s="14" customFormat="1" ht="17.100000000000001" customHeight="1">
      <c r="B81" s="89"/>
      <c r="C81" s="90"/>
      <c r="D81" s="91"/>
      <c r="E81" s="92"/>
      <c r="F81" s="89"/>
      <c r="G81" s="89"/>
      <c r="H81" s="89"/>
      <c r="I81" s="89"/>
      <c r="J81" s="89"/>
      <c r="K81" s="89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</row>
    <row r="82" spans="2:23" s="14" customFormat="1" ht="17.100000000000001" customHeight="1">
      <c r="B82" s="89"/>
      <c r="C82" s="90"/>
      <c r="D82" s="91"/>
      <c r="E82" s="92"/>
      <c r="F82" s="89"/>
      <c r="G82" s="89"/>
      <c r="H82" s="89"/>
      <c r="I82" s="89"/>
      <c r="J82" s="89"/>
      <c r="K82" s="89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</row>
    <row r="83" spans="2:23" s="14" customFormat="1" ht="17.100000000000001" customHeight="1">
      <c r="B83" s="89"/>
      <c r="C83" s="90"/>
      <c r="D83" s="91"/>
      <c r="E83" s="92"/>
      <c r="F83" s="89"/>
      <c r="G83" s="89"/>
      <c r="H83" s="89"/>
      <c r="I83" s="89"/>
      <c r="J83" s="89"/>
      <c r="K83" s="89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</row>
    <row r="84" spans="2:23" s="14" customFormat="1" ht="17.100000000000001" customHeight="1">
      <c r="B84" s="89"/>
      <c r="C84" s="90"/>
      <c r="D84" s="91"/>
      <c r="E84" s="92"/>
      <c r="F84" s="89"/>
      <c r="G84" s="89"/>
      <c r="H84" s="89"/>
      <c r="I84" s="89"/>
      <c r="J84" s="89"/>
      <c r="K84" s="89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</row>
    <row r="85" spans="2:23" s="14" customFormat="1" ht="17.100000000000001" customHeight="1">
      <c r="B85" s="89"/>
      <c r="C85" s="90"/>
      <c r="D85" s="91"/>
      <c r="E85" s="92"/>
      <c r="F85" s="89"/>
      <c r="G85" s="89"/>
      <c r="H85" s="89"/>
      <c r="I85" s="89"/>
      <c r="J85" s="89"/>
      <c r="K85" s="89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</row>
    <row r="86" spans="2:23" s="14" customFormat="1" ht="17.100000000000001" customHeight="1">
      <c r="B86" s="89"/>
      <c r="C86" s="90"/>
      <c r="D86" s="91"/>
      <c r="E86" s="92"/>
      <c r="F86" s="89"/>
      <c r="G86" s="89"/>
      <c r="H86" s="89"/>
      <c r="I86" s="89"/>
      <c r="J86" s="89"/>
      <c r="K86" s="89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</row>
    <row r="87" spans="2:23" s="14" customFormat="1" ht="17.100000000000001" customHeight="1">
      <c r="B87" s="89"/>
      <c r="C87" s="90"/>
      <c r="D87" s="91"/>
      <c r="E87" s="92"/>
      <c r="F87" s="89"/>
      <c r="G87" s="89"/>
      <c r="H87" s="89"/>
      <c r="I87" s="89"/>
      <c r="J87" s="89"/>
      <c r="K87" s="89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</row>
    <row r="88" spans="2:23" s="14" customFormat="1" ht="17.100000000000001" customHeight="1">
      <c r="B88" s="89"/>
      <c r="C88" s="90"/>
      <c r="D88" s="91"/>
      <c r="E88" s="92"/>
      <c r="F88" s="89"/>
      <c r="G88" s="89"/>
      <c r="H88" s="89"/>
      <c r="I88" s="89"/>
      <c r="J88" s="89"/>
      <c r="K88" s="89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</row>
    <row r="89" spans="2:23" s="14" customFormat="1" ht="17.100000000000001" customHeight="1">
      <c r="B89" s="89"/>
      <c r="C89" s="90"/>
      <c r="D89" s="91"/>
      <c r="E89" s="92"/>
      <c r="F89" s="89"/>
      <c r="G89" s="89"/>
      <c r="H89" s="89"/>
      <c r="I89" s="89"/>
      <c r="J89" s="89"/>
      <c r="K89" s="89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</row>
    <row r="90" spans="2:23" s="14" customFormat="1" ht="17.100000000000001" customHeight="1">
      <c r="B90" s="89"/>
      <c r="C90" s="90"/>
      <c r="D90" s="91"/>
      <c r="E90" s="92"/>
      <c r="F90" s="89"/>
      <c r="G90" s="89"/>
      <c r="H90" s="89"/>
      <c r="I90" s="89"/>
      <c r="J90" s="89"/>
      <c r="K90" s="89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</row>
    <row r="91" spans="2:23" s="14" customFormat="1" ht="17.100000000000001" customHeight="1">
      <c r="B91" s="89"/>
      <c r="C91" s="90"/>
      <c r="D91" s="91"/>
      <c r="E91" s="92"/>
      <c r="F91" s="89"/>
      <c r="G91" s="89"/>
      <c r="H91" s="89"/>
      <c r="I91" s="89"/>
      <c r="J91" s="89"/>
      <c r="K91" s="89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</row>
    <row r="92" spans="2:23" s="14" customFormat="1" ht="17.100000000000001" customHeight="1">
      <c r="B92" s="89"/>
      <c r="C92" s="90"/>
      <c r="D92" s="91"/>
      <c r="E92" s="92"/>
      <c r="F92" s="89"/>
      <c r="G92" s="89"/>
      <c r="H92" s="89"/>
      <c r="I92" s="89"/>
      <c r="J92" s="89"/>
      <c r="K92" s="89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</row>
    <row r="93" spans="2:23" s="14" customFormat="1" ht="17.100000000000001" customHeight="1">
      <c r="B93" s="89"/>
      <c r="C93" s="90"/>
      <c r="D93" s="91"/>
      <c r="E93" s="92"/>
      <c r="F93" s="89"/>
      <c r="G93" s="89"/>
      <c r="H93" s="89"/>
      <c r="I93" s="89"/>
      <c r="J93" s="89"/>
      <c r="K93" s="89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</row>
    <row r="94" spans="2:23" s="14" customFormat="1" ht="17.100000000000001" customHeight="1">
      <c r="B94" s="89"/>
      <c r="C94" s="90"/>
      <c r="D94" s="91"/>
      <c r="E94" s="92"/>
      <c r="F94" s="89"/>
      <c r="G94" s="89"/>
      <c r="H94" s="89"/>
      <c r="I94" s="89"/>
      <c r="J94" s="89"/>
      <c r="K94" s="89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</row>
    <row r="95" spans="2:23" s="14" customFormat="1" ht="17.100000000000001" customHeight="1">
      <c r="B95" s="89"/>
      <c r="C95" s="90"/>
      <c r="D95" s="91"/>
      <c r="E95" s="92"/>
      <c r="F95" s="89"/>
      <c r="G95" s="89"/>
      <c r="H95" s="89"/>
      <c r="I95" s="89"/>
      <c r="J95" s="89"/>
      <c r="K95" s="89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</row>
    <row r="96" spans="2:23" s="14" customFormat="1" ht="17.100000000000001" customHeight="1">
      <c r="B96" s="89"/>
      <c r="C96" s="90"/>
      <c r="D96" s="91"/>
      <c r="E96" s="92"/>
      <c r="F96" s="89"/>
      <c r="G96" s="89"/>
      <c r="H96" s="89"/>
      <c r="I96" s="89"/>
      <c r="J96" s="89"/>
      <c r="K96" s="89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</row>
    <row r="97" spans="2:23" s="14" customFormat="1" ht="17.100000000000001" customHeight="1">
      <c r="B97" s="89"/>
      <c r="C97" s="90"/>
      <c r="D97" s="91"/>
      <c r="E97" s="92"/>
      <c r="F97" s="89"/>
      <c r="G97" s="89"/>
      <c r="H97" s="89"/>
      <c r="I97" s="89"/>
      <c r="J97" s="89"/>
      <c r="K97" s="89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</row>
    <row r="98" spans="2:23" s="14" customFormat="1" ht="17.100000000000001" customHeight="1">
      <c r="B98" s="89"/>
      <c r="C98" s="90"/>
      <c r="D98" s="91"/>
      <c r="E98" s="92"/>
      <c r="F98" s="89"/>
      <c r="G98" s="89"/>
      <c r="H98" s="89"/>
      <c r="I98" s="89"/>
      <c r="J98" s="89"/>
      <c r="K98" s="89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</row>
    <row r="99" spans="2:23" s="14" customFormat="1" ht="17.100000000000001" customHeight="1">
      <c r="B99" s="89"/>
      <c r="C99" s="90"/>
      <c r="D99" s="91"/>
      <c r="E99" s="92"/>
      <c r="F99" s="89"/>
      <c r="G99" s="89"/>
      <c r="H99" s="89"/>
      <c r="I99" s="89"/>
      <c r="J99" s="89"/>
      <c r="K99" s="89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</row>
    <row r="100" spans="2:23" s="14" customFormat="1" ht="17.100000000000001" customHeight="1">
      <c r="B100" s="89"/>
      <c r="C100" s="90"/>
      <c r="D100" s="91"/>
      <c r="E100" s="92"/>
      <c r="F100" s="89"/>
      <c r="G100" s="89"/>
      <c r="H100" s="89"/>
      <c r="I100" s="89"/>
      <c r="J100" s="89"/>
      <c r="K100" s="89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</row>
    <row r="101" spans="2:23" s="14" customFormat="1" ht="17.100000000000001" customHeight="1">
      <c r="B101" s="89"/>
      <c r="C101" s="90"/>
      <c r="D101" s="91"/>
      <c r="E101" s="92"/>
      <c r="F101" s="89"/>
      <c r="G101" s="89"/>
      <c r="H101" s="89"/>
      <c r="I101" s="89"/>
      <c r="J101" s="89"/>
      <c r="K101" s="89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</row>
    <row r="102" spans="2:23" s="14" customFormat="1" ht="17.100000000000001" customHeight="1">
      <c r="B102" s="89"/>
      <c r="C102" s="90"/>
      <c r="D102" s="91"/>
      <c r="E102" s="92"/>
      <c r="F102" s="89"/>
      <c r="G102" s="89"/>
      <c r="H102" s="89"/>
      <c r="I102" s="89"/>
      <c r="J102" s="89"/>
      <c r="K102" s="89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</row>
    <row r="103" spans="2:23" s="14" customFormat="1" ht="17.100000000000001" customHeight="1">
      <c r="B103" s="89"/>
      <c r="C103" s="90"/>
      <c r="D103" s="91"/>
      <c r="E103" s="92"/>
      <c r="F103" s="89"/>
      <c r="G103" s="89"/>
      <c r="H103" s="89"/>
      <c r="I103" s="89"/>
      <c r="J103" s="89"/>
      <c r="K103" s="89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</row>
    <row r="104" spans="2:23" s="14" customFormat="1" ht="17.100000000000001" customHeight="1">
      <c r="B104" s="89"/>
      <c r="C104" s="90"/>
      <c r="D104" s="91"/>
      <c r="E104" s="92"/>
      <c r="F104" s="89"/>
      <c r="G104" s="89"/>
      <c r="H104" s="89"/>
      <c r="I104" s="89"/>
      <c r="J104" s="89"/>
      <c r="K104" s="89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</row>
    <row r="105" spans="2:23" s="14" customFormat="1" ht="17.100000000000001" customHeight="1">
      <c r="B105" s="89"/>
      <c r="C105" s="90"/>
      <c r="D105" s="91"/>
      <c r="E105" s="92"/>
      <c r="F105" s="89"/>
      <c r="G105" s="89"/>
      <c r="H105" s="89"/>
      <c r="I105" s="89"/>
      <c r="J105" s="89"/>
      <c r="K105" s="89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</row>
    <row r="106" spans="2:23" s="14" customFormat="1" ht="17.100000000000001" customHeight="1">
      <c r="B106" s="89"/>
      <c r="C106" s="90"/>
      <c r="D106" s="91"/>
      <c r="E106" s="92"/>
      <c r="F106" s="89"/>
      <c r="G106" s="89"/>
      <c r="H106" s="89"/>
      <c r="I106" s="89"/>
      <c r="J106" s="89"/>
      <c r="K106" s="89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</row>
    <row r="107" spans="2:23" s="14" customFormat="1" ht="17.100000000000001" customHeight="1">
      <c r="B107" s="89"/>
      <c r="C107" s="90"/>
      <c r="D107" s="91"/>
      <c r="E107" s="92"/>
      <c r="F107" s="89"/>
      <c r="G107" s="89"/>
      <c r="H107" s="89"/>
      <c r="I107" s="89"/>
      <c r="J107" s="89"/>
      <c r="K107" s="89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</row>
    <row r="108" spans="2:23" s="14" customFormat="1" ht="17.100000000000001" customHeight="1">
      <c r="B108" s="89"/>
      <c r="C108" s="90"/>
      <c r="D108" s="91"/>
      <c r="E108" s="92"/>
      <c r="F108" s="89"/>
      <c r="G108" s="89"/>
      <c r="H108" s="89"/>
      <c r="I108" s="89"/>
      <c r="J108" s="89"/>
      <c r="K108" s="89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</row>
    <row r="109" spans="2:23" s="14" customFormat="1" ht="17.100000000000001" customHeight="1">
      <c r="B109" s="89"/>
      <c r="C109" s="90"/>
      <c r="D109" s="91"/>
      <c r="E109" s="92"/>
      <c r="F109" s="89"/>
      <c r="G109" s="89"/>
      <c r="H109" s="89"/>
      <c r="I109" s="89"/>
      <c r="J109" s="89"/>
      <c r="K109" s="89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</row>
    <row r="110" spans="2:23" s="14" customFormat="1" ht="17.100000000000001" customHeight="1">
      <c r="B110" s="89"/>
      <c r="C110" s="90"/>
      <c r="D110" s="91"/>
      <c r="E110" s="92"/>
      <c r="F110" s="89"/>
      <c r="G110" s="89"/>
      <c r="H110" s="89"/>
      <c r="I110" s="89"/>
      <c r="J110" s="89"/>
      <c r="K110" s="89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</row>
    <row r="111" spans="2:23" s="14" customFormat="1" ht="17.100000000000001" customHeight="1">
      <c r="B111" s="89"/>
      <c r="C111" s="90"/>
      <c r="D111" s="91"/>
      <c r="E111" s="92"/>
      <c r="F111" s="89"/>
      <c r="G111" s="89"/>
      <c r="H111" s="89"/>
      <c r="I111" s="89"/>
      <c r="J111" s="89"/>
      <c r="K111" s="89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</row>
    <row r="112" spans="2:23" s="14" customFormat="1" ht="17.100000000000001" customHeight="1">
      <c r="B112" s="89"/>
      <c r="C112" s="90"/>
      <c r="D112" s="91"/>
      <c r="E112" s="92"/>
      <c r="F112" s="89"/>
      <c r="G112" s="89"/>
      <c r="H112" s="89"/>
      <c r="I112" s="89"/>
      <c r="J112" s="89"/>
      <c r="K112" s="89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</row>
    <row r="113" spans="2:23" s="14" customFormat="1" ht="17.100000000000001" customHeight="1">
      <c r="B113" s="89"/>
      <c r="C113" s="90"/>
      <c r="D113" s="91"/>
      <c r="E113" s="92"/>
      <c r="F113" s="89"/>
      <c r="G113" s="89"/>
      <c r="H113" s="89"/>
      <c r="I113" s="89"/>
      <c r="J113" s="89"/>
      <c r="K113" s="89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</row>
    <row r="114" spans="2:23" s="14" customFormat="1" ht="17.100000000000001" customHeight="1">
      <c r="B114" s="89"/>
      <c r="C114" s="90"/>
      <c r="D114" s="91"/>
      <c r="E114" s="92"/>
      <c r="F114" s="89"/>
      <c r="G114" s="89"/>
      <c r="H114" s="89"/>
      <c r="I114" s="89"/>
      <c r="J114" s="89"/>
      <c r="K114" s="89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</row>
    <row r="115" spans="2:23" s="14" customFormat="1" ht="17.100000000000001" customHeight="1">
      <c r="B115" s="89"/>
      <c r="C115" s="90"/>
      <c r="D115" s="91"/>
      <c r="E115" s="92"/>
      <c r="F115" s="89"/>
      <c r="G115" s="89"/>
      <c r="H115" s="89"/>
      <c r="I115" s="89"/>
      <c r="J115" s="89"/>
      <c r="K115" s="89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</row>
    <row r="116" spans="2:23" s="14" customFormat="1" ht="17.100000000000001" customHeight="1">
      <c r="B116" s="89"/>
      <c r="C116" s="90"/>
      <c r="D116" s="91"/>
      <c r="E116" s="92"/>
      <c r="F116" s="89"/>
      <c r="G116" s="89"/>
      <c r="H116" s="89"/>
      <c r="I116" s="89"/>
      <c r="J116" s="89"/>
      <c r="K116" s="89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</row>
    <row r="117" spans="2:23" s="14" customFormat="1" ht="17.100000000000001" customHeight="1">
      <c r="B117" s="89"/>
      <c r="C117" s="90"/>
      <c r="D117" s="91"/>
      <c r="E117" s="92"/>
      <c r="F117" s="89"/>
      <c r="G117" s="89"/>
      <c r="H117" s="89"/>
      <c r="I117" s="89"/>
      <c r="J117" s="89"/>
      <c r="K117" s="89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</row>
    <row r="118" spans="2:23" s="14" customFormat="1" ht="17.100000000000001" customHeight="1">
      <c r="B118" s="89"/>
      <c r="C118" s="90"/>
      <c r="D118" s="91"/>
      <c r="E118" s="92"/>
      <c r="F118" s="89"/>
      <c r="G118" s="89"/>
      <c r="H118" s="89"/>
      <c r="I118" s="89"/>
      <c r="J118" s="89"/>
      <c r="K118" s="89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</row>
    <row r="119" spans="2:23" s="14" customFormat="1" ht="17.100000000000001" customHeight="1">
      <c r="B119" s="89"/>
      <c r="C119" s="90"/>
      <c r="D119" s="91"/>
      <c r="E119" s="92"/>
      <c r="F119" s="89"/>
      <c r="G119" s="89"/>
      <c r="H119" s="89"/>
      <c r="I119" s="89"/>
      <c r="J119" s="89"/>
      <c r="K119" s="89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</row>
    <row r="120" spans="2:23" s="14" customFormat="1" ht="17.100000000000001" customHeight="1">
      <c r="B120" s="89"/>
      <c r="C120" s="90"/>
      <c r="D120" s="91"/>
      <c r="E120" s="92"/>
      <c r="F120" s="89"/>
      <c r="G120" s="89"/>
      <c r="H120" s="89"/>
      <c r="I120" s="89"/>
      <c r="J120" s="89"/>
      <c r="K120" s="89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</row>
    <row r="121" spans="2:23" s="14" customFormat="1" ht="17.100000000000001" customHeight="1">
      <c r="B121" s="89"/>
      <c r="C121" s="90"/>
      <c r="D121" s="91"/>
      <c r="E121" s="92"/>
      <c r="F121" s="89"/>
      <c r="G121" s="89"/>
      <c r="H121" s="89"/>
      <c r="I121" s="89"/>
      <c r="J121" s="89"/>
      <c r="K121" s="89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</row>
    <row r="122" spans="2:23" s="14" customFormat="1" ht="17.100000000000001" customHeight="1">
      <c r="B122" s="89"/>
      <c r="C122" s="90"/>
      <c r="D122" s="91"/>
      <c r="E122" s="92"/>
      <c r="F122" s="89"/>
      <c r="G122" s="89"/>
      <c r="H122" s="89"/>
      <c r="I122" s="89"/>
      <c r="J122" s="89"/>
      <c r="K122" s="89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</row>
    <row r="123" spans="2:23" s="14" customFormat="1" ht="17.100000000000001" customHeight="1">
      <c r="B123" s="89"/>
      <c r="C123" s="90"/>
      <c r="D123" s="91"/>
      <c r="E123" s="92"/>
      <c r="F123" s="89"/>
      <c r="G123" s="89"/>
      <c r="H123" s="89"/>
      <c r="I123" s="89"/>
      <c r="J123" s="89"/>
      <c r="K123" s="89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</row>
    <row r="124" spans="2:23" s="14" customFormat="1" ht="17.100000000000001" customHeight="1">
      <c r="B124" s="89"/>
      <c r="C124" s="90"/>
      <c r="D124" s="91"/>
      <c r="E124" s="92"/>
      <c r="F124" s="89"/>
      <c r="G124" s="89"/>
      <c r="H124" s="89"/>
      <c r="I124" s="89"/>
      <c r="J124" s="89"/>
      <c r="K124" s="89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</row>
    <row r="125" spans="2:23" s="14" customFormat="1" ht="17.100000000000001" customHeight="1">
      <c r="B125" s="89"/>
      <c r="C125" s="90"/>
      <c r="D125" s="91"/>
      <c r="E125" s="92"/>
      <c r="F125" s="89"/>
      <c r="G125" s="89"/>
      <c r="H125" s="89"/>
      <c r="I125" s="89"/>
      <c r="J125" s="89"/>
      <c r="K125" s="89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</row>
    <row r="126" spans="2:23" s="14" customFormat="1" ht="17.100000000000001" customHeight="1">
      <c r="B126" s="89"/>
      <c r="C126" s="90"/>
      <c r="D126" s="91"/>
      <c r="E126" s="92"/>
      <c r="F126" s="89"/>
      <c r="G126" s="89"/>
      <c r="H126" s="89"/>
      <c r="I126" s="89"/>
      <c r="J126" s="89"/>
      <c r="K126" s="89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</row>
    <row r="127" spans="2:23" s="14" customFormat="1" ht="17.100000000000001" customHeight="1">
      <c r="B127" s="89"/>
      <c r="C127" s="90"/>
      <c r="D127" s="91"/>
      <c r="E127" s="92"/>
      <c r="F127" s="89"/>
      <c r="G127" s="89"/>
      <c r="H127" s="89"/>
      <c r="I127" s="89"/>
      <c r="J127" s="89"/>
      <c r="K127" s="89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</row>
    <row r="128" spans="2:23" s="14" customFormat="1" ht="17.100000000000001" customHeight="1">
      <c r="B128" s="89"/>
      <c r="C128" s="90"/>
      <c r="D128" s="91"/>
      <c r="E128" s="92"/>
      <c r="F128" s="89"/>
      <c r="G128" s="89"/>
      <c r="H128" s="89"/>
      <c r="I128" s="89"/>
      <c r="J128" s="89"/>
      <c r="K128" s="89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</row>
    <row r="129" spans="2:23" s="14" customFormat="1" ht="17.100000000000001" customHeight="1">
      <c r="B129" s="89"/>
      <c r="C129" s="90"/>
      <c r="D129" s="91"/>
      <c r="E129" s="92"/>
      <c r="F129" s="89"/>
      <c r="G129" s="89"/>
      <c r="H129" s="89"/>
      <c r="I129" s="89"/>
      <c r="J129" s="89"/>
      <c r="K129" s="89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</row>
    <row r="130" spans="2:23" s="14" customFormat="1" ht="17.100000000000001" customHeight="1">
      <c r="B130" s="89"/>
      <c r="C130" s="90"/>
      <c r="D130" s="91"/>
      <c r="E130" s="92"/>
      <c r="F130" s="89"/>
      <c r="G130" s="89"/>
      <c r="H130" s="89"/>
      <c r="I130" s="89"/>
      <c r="J130" s="89"/>
      <c r="K130" s="89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</row>
    <row r="131" spans="2:23" s="14" customFormat="1" ht="17.100000000000001" customHeight="1">
      <c r="B131" s="89"/>
      <c r="C131" s="90"/>
      <c r="D131" s="91"/>
      <c r="E131" s="92"/>
      <c r="F131" s="89"/>
      <c r="G131" s="89"/>
      <c r="H131" s="89"/>
      <c r="I131" s="89"/>
      <c r="J131" s="89"/>
      <c r="K131" s="89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</row>
    <row r="132" spans="2:23" s="14" customFormat="1" ht="17.100000000000001" customHeight="1">
      <c r="B132" s="89"/>
      <c r="C132" s="90"/>
      <c r="D132" s="91"/>
      <c r="E132" s="92"/>
      <c r="F132" s="89"/>
      <c r="G132" s="89"/>
      <c r="H132" s="89"/>
      <c r="I132" s="89"/>
      <c r="J132" s="89"/>
      <c r="K132" s="89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</row>
    <row r="133" spans="2:23" s="14" customFormat="1" ht="17.100000000000001" customHeight="1">
      <c r="B133" s="89"/>
      <c r="C133" s="90"/>
      <c r="D133" s="91"/>
      <c r="E133" s="92"/>
      <c r="F133" s="89"/>
      <c r="G133" s="89"/>
      <c r="H133" s="89"/>
      <c r="I133" s="89"/>
      <c r="J133" s="89"/>
      <c r="K133" s="89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</row>
    <row r="134" spans="2:23" s="14" customFormat="1" ht="17.100000000000001" customHeight="1">
      <c r="B134" s="89"/>
      <c r="C134" s="90"/>
      <c r="D134" s="91"/>
      <c r="E134" s="92"/>
      <c r="F134" s="89"/>
      <c r="G134" s="89"/>
      <c r="H134" s="89"/>
      <c r="I134" s="89"/>
      <c r="J134" s="89"/>
      <c r="K134" s="89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</row>
    <row r="135" spans="2:23" s="14" customFormat="1" ht="17.100000000000001" customHeight="1">
      <c r="B135" s="89"/>
      <c r="C135" s="90"/>
      <c r="D135" s="91"/>
      <c r="E135" s="92"/>
      <c r="F135" s="89"/>
      <c r="G135" s="89"/>
      <c r="H135" s="89"/>
      <c r="I135" s="89"/>
      <c r="J135" s="89"/>
      <c r="K135" s="89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</row>
    <row r="136" spans="2:23" s="14" customFormat="1" ht="17.100000000000001" customHeight="1">
      <c r="B136" s="89"/>
      <c r="C136" s="90"/>
      <c r="D136" s="91"/>
      <c r="E136" s="92"/>
      <c r="F136" s="89"/>
      <c r="G136" s="89"/>
      <c r="H136" s="89"/>
      <c r="I136" s="89"/>
      <c r="J136" s="89"/>
      <c r="K136" s="89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</row>
    <row r="137" spans="2:23" s="14" customFormat="1" ht="17.100000000000001" customHeight="1">
      <c r="B137" s="89"/>
      <c r="C137" s="90"/>
      <c r="D137" s="91"/>
      <c r="E137" s="92"/>
      <c r="F137" s="89"/>
      <c r="G137" s="89"/>
      <c r="H137" s="89"/>
      <c r="I137" s="89"/>
      <c r="J137" s="89"/>
      <c r="K137" s="89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</row>
    <row r="138" spans="2:23" s="14" customFormat="1" ht="17.100000000000001" customHeight="1">
      <c r="B138" s="89"/>
      <c r="C138" s="90"/>
      <c r="D138" s="91"/>
      <c r="E138" s="92"/>
      <c r="F138" s="89"/>
      <c r="G138" s="89"/>
      <c r="H138" s="89"/>
      <c r="I138" s="89"/>
      <c r="J138" s="89"/>
      <c r="K138" s="89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</row>
    <row r="139" spans="2:23" s="14" customFormat="1" ht="17.100000000000001" customHeight="1">
      <c r="B139" s="89"/>
      <c r="C139" s="90"/>
      <c r="D139" s="91"/>
      <c r="E139" s="92"/>
      <c r="F139" s="89"/>
      <c r="G139" s="89"/>
      <c r="H139" s="89"/>
      <c r="I139" s="89"/>
      <c r="J139" s="89"/>
      <c r="K139" s="89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</row>
    <row r="140" spans="2:23" s="14" customFormat="1" ht="17.100000000000001" customHeight="1">
      <c r="B140" s="89"/>
      <c r="C140" s="90"/>
      <c r="D140" s="91"/>
      <c r="E140" s="92"/>
      <c r="F140" s="89"/>
      <c r="G140" s="89"/>
      <c r="H140" s="89"/>
      <c r="I140" s="89"/>
      <c r="J140" s="89"/>
      <c r="K140" s="89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</row>
    <row r="141" spans="2:23" s="14" customFormat="1" ht="17.100000000000001" customHeight="1">
      <c r="B141" s="89"/>
      <c r="C141" s="90"/>
      <c r="D141" s="91"/>
      <c r="E141" s="92"/>
      <c r="F141" s="89"/>
      <c r="G141" s="89"/>
      <c r="H141" s="89"/>
      <c r="I141" s="89"/>
      <c r="J141" s="89"/>
      <c r="K141" s="89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</row>
    <row r="142" spans="2:23" s="14" customFormat="1" ht="17.100000000000001" customHeight="1">
      <c r="B142" s="89"/>
      <c r="C142" s="90"/>
      <c r="D142" s="91"/>
      <c r="E142" s="92"/>
      <c r="F142" s="89"/>
      <c r="G142" s="89"/>
      <c r="H142" s="89"/>
      <c r="I142" s="89"/>
      <c r="J142" s="89"/>
      <c r="K142" s="89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</row>
    <row r="143" spans="2:23" s="14" customFormat="1" ht="17.100000000000001" customHeight="1">
      <c r="B143" s="89"/>
      <c r="C143" s="90"/>
      <c r="D143" s="91"/>
      <c r="E143" s="92"/>
      <c r="F143" s="89"/>
      <c r="G143" s="89"/>
      <c r="H143" s="89"/>
      <c r="I143" s="89"/>
      <c r="J143" s="89"/>
      <c r="K143" s="89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</row>
    <row r="144" spans="2:23" s="14" customFormat="1" ht="17.100000000000001" customHeight="1">
      <c r="B144" s="89"/>
      <c r="C144" s="90"/>
      <c r="D144" s="91"/>
      <c r="E144" s="92"/>
      <c r="F144" s="89"/>
      <c r="G144" s="89"/>
      <c r="H144" s="89"/>
      <c r="I144" s="89"/>
      <c r="J144" s="89"/>
      <c r="K144" s="89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</row>
    <row r="145" spans="2:23" s="14" customFormat="1" ht="17.100000000000001" customHeight="1">
      <c r="B145" s="89"/>
      <c r="C145" s="90"/>
      <c r="D145" s="91"/>
      <c r="E145" s="92"/>
      <c r="F145" s="89"/>
      <c r="G145" s="89"/>
      <c r="H145" s="89"/>
      <c r="I145" s="89"/>
      <c r="J145" s="89"/>
      <c r="K145" s="89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</row>
    <row r="146" spans="2:23" s="14" customFormat="1" ht="17.100000000000001" customHeight="1">
      <c r="B146" s="89"/>
      <c r="C146" s="90"/>
      <c r="D146" s="91"/>
      <c r="E146" s="92"/>
      <c r="F146" s="89"/>
      <c r="G146" s="89"/>
      <c r="H146" s="89"/>
      <c r="I146" s="89"/>
      <c r="J146" s="89"/>
      <c r="K146" s="89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</row>
    <row r="147" spans="2:23" s="14" customFormat="1" ht="17.100000000000001" customHeight="1">
      <c r="B147" s="89"/>
      <c r="C147" s="90"/>
      <c r="D147" s="91"/>
      <c r="E147" s="92"/>
      <c r="F147" s="89"/>
      <c r="G147" s="89"/>
      <c r="H147" s="89"/>
      <c r="I147" s="89"/>
      <c r="J147" s="89"/>
      <c r="K147" s="89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</row>
    <row r="148" spans="2:23" s="14" customFormat="1" ht="17.100000000000001" customHeight="1">
      <c r="B148" s="89"/>
      <c r="C148" s="90"/>
      <c r="D148" s="91"/>
      <c r="E148" s="92"/>
      <c r="F148" s="89"/>
      <c r="G148" s="89"/>
      <c r="H148" s="89"/>
      <c r="I148" s="89"/>
      <c r="J148" s="89"/>
      <c r="K148" s="89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</row>
    <row r="149" spans="2:23" s="14" customFormat="1" ht="17.100000000000001" customHeight="1">
      <c r="B149" s="89"/>
      <c r="C149" s="90"/>
      <c r="D149" s="91"/>
      <c r="E149" s="92"/>
      <c r="F149" s="89"/>
      <c r="G149" s="89"/>
      <c r="H149" s="89"/>
      <c r="I149" s="89"/>
      <c r="J149" s="89"/>
      <c r="K149" s="89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</row>
    <row r="150" spans="2:23" s="14" customFormat="1" ht="17.100000000000001" customHeight="1">
      <c r="B150" s="89"/>
      <c r="C150" s="90"/>
      <c r="D150" s="91"/>
      <c r="E150" s="92"/>
      <c r="F150" s="89"/>
      <c r="G150" s="89"/>
      <c r="H150" s="89"/>
      <c r="I150" s="89"/>
      <c r="J150" s="89"/>
      <c r="K150" s="89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</row>
    <row r="151" spans="2:23" s="14" customFormat="1" ht="17.100000000000001" customHeight="1">
      <c r="B151" s="89"/>
      <c r="C151" s="90"/>
      <c r="D151" s="91"/>
      <c r="E151" s="92"/>
      <c r="F151" s="89"/>
      <c r="G151" s="89"/>
      <c r="H151" s="89"/>
      <c r="I151" s="89"/>
      <c r="J151" s="89"/>
      <c r="K151" s="89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</row>
    <row r="152" spans="2:23" s="14" customFormat="1" ht="17.100000000000001" customHeight="1">
      <c r="B152" s="89"/>
      <c r="C152" s="90"/>
      <c r="D152" s="91"/>
      <c r="E152" s="92"/>
      <c r="F152" s="89"/>
      <c r="G152" s="89"/>
      <c r="H152" s="89"/>
      <c r="I152" s="89"/>
      <c r="J152" s="89"/>
      <c r="K152" s="89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</row>
    <row r="153" spans="2:23" s="14" customFormat="1" ht="17.100000000000001" customHeight="1">
      <c r="B153" s="89"/>
      <c r="C153" s="90"/>
      <c r="D153" s="91"/>
      <c r="E153" s="92"/>
      <c r="F153" s="89"/>
      <c r="G153" s="89"/>
      <c r="H153" s="89"/>
      <c r="I153" s="89"/>
      <c r="J153" s="89"/>
      <c r="K153" s="89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</row>
    <row r="154" spans="2:23" s="14" customFormat="1" ht="17.100000000000001" customHeight="1">
      <c r="B154" s="89"/>
      <c r="C154" s="90"/>
      <c r="D154" s="91"/>
      <c r="E154" s="92"/>
      <c r="F154" s="89"/>
      <c r="G154" s="89"/>
      <c r="H154" s="89"/>
      <c r="I154" s="89"/>
      <c r="J154" s="89"/>
      <c r="K154" s="89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</row>
    <row r="155" spans="2:23" s="14" customFormat="1" ht="17.100000000000001" customHeight="1">
      <c r="B155" s="89"/>
      <c r="C155" s="90"/>
      <c r="D155" s="91"/>
      <c r="E155" s="92"/>
      <c r="F155" s="89"/>
      <c r="G155" s="89"/>
      <c r="H155" s="89"/>
      <c r="I155" s="89"/>
      <c r="J155" s="89"/>
      <c r="K155" s="89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</row>
    <row r="156" spans="2:23" s="14" customFormat="1" ht="17.100000000000001" customHeight="1">
      <c r="B156" s="89"/>
      <c r="C156" s="90"/>
      <c r="D156" s="91"/>
      <c r="E156" s="92"/>
      <c r="F156" s="89"/>
      <c r="G156" s="89"/>
      <c r="H156" s="89"/>
      <c r="I156" s="89"/>
      <c r="J156" s="89"/>
      <c r="K156" s="89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</row>
    <row r="157" spans="2:23" s="14" customFormat="1" ht="17.100000000000001" customHeight="1">
      <c r="B157" s="89"/>
      <c r="C157" s="90"/>
      <c r="D157" s="91"/>
      <c r="E157" s="92"/>
      <c r="F157" s="89"/>
      <c r="G157" s="89"/>
      <c r="H157" s="89"/>
      <c r="I157" s="89"/>
      <c r="J157" s="89"/>
      <c r="K157" s="89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</row>
    <row r="158" spans="2:23" s="14" customFormat="1" ht="17.100000000000001" customHeight="1">
      <c r="B158" s="89"/>
      <c r="C158" s="90"/>
      <c r="D158" s="91"/>
      <c r="E158" s="92"/>
      <c r="F158" s="89"/>
      <c r="G158" s="89"/>
      <c r="H158" s="89"/>
      <c r="I158" s="89"/>
      <c r="J158" s="89"/>
      <c r="K158" s="89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</row>
    <row r="159" spans="2:23" s="14" customFormat="1" ht="17.100000000000001" customHeight="1">
      <c r="B159" s="89"/>
      <c r="C159" s="90"/>
      <c r="D159" s="91"/>
      <c r="E159" s="92"/>
      <c r="F159" s="89"/>
      <c r="G159" s="89"/>
      <c r="H159" s="89"/>
      <c r="I159" s="89"/>
      <c r="J159" s="89"/>
      <c r="K159" s="89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</row>
    <row r="160" spans="2:23" s="14" customFormat="1" ht="17.100000000000001" customHeight="1">
      <c r="B160" s="89"/>
      <c r="C160" s="90"/>
      <c r="D160" s="91"/>
      <c r="E160" s="92"/>
      <c r="F160" s="89"/>
      <c r="G160" s="89"/>
      <c r="H160" s="89"/>
      <c r="I160" s="89"/>
      <c r="J160" s="89"/>
      <c r="K160" s="89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</row>
    <row r="161" spans="2:23" s="14" customFormat="1" ht="17.100000000000001" customHeight="1">
      <c r="B161" s="89"/>
      <c r="C161" s="90"/>
      <c r="D161" s="91"/>
      <c r="E161" s="92"/>
      <c r="F161" s="89"/>
      <c r="G161" s="89"/>
      <c r="H161" s="89"/>
      <c r="I161" s="89"/>
      <c r="J161" s="89"/>
      <c r="K161" s="89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</row>
    <row r="162" spans="2:23" s="14" customFormat="1" ht="17.100000000000001" customHeight="1">
      <c r="B162" s="89"/>
      <c r="C162" s="90"/>
      <c r="D162" s="91"/>
      <c r="E162" s="92"/>
      <c r="F162" s="89"/>
      <c r="G162" s="89"/>
      <c r="H162" s="89"/>
      <c r="I162" s="89"/>
      <c r="J162" s="89"/>
      <c r="K162" s="89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</row>
    <row r="163" spans="2:23" s="14" customFormat="1" ht="17.100000000000001" customHeight="1">
      <c r="B163" s="89"/>
      <c r="C163" s="90"/>
      <c r="D163" s="91"/>
      <c r="E163" s="92"/>
      <c r="F163" s="89"/>
      <c r="G163" s="89"/>
      <c r="H163" s="89"/>
      <c r="I163" s="89"/>
      <c r="J163" s="89"/>
      <c r="K163" s="89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</row>
    <row r="164" spans="2:23" s="14" customFormat="1" ht="17.100000000000001" customHeight="1">
      <c r="B164" s="89"/>
      <c r="C164" s="90"/>
      <c r="D164" s="91"/>
      <c r="E164" s="92"/>
      <c r="F164" s="89"/>
      <c r="G164" s="89"/>
      <c r="H164" s="89"/>
      <c r="I164" s="89"/>
      <c r="J164" s="89"/>
      <c r="K164" s="89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</row>
    <row r="165" spans="2:23" s="14" customFormat="1" ht="17.100000000000001" customHeight="1">
      <c r="B165" s="89"/>
      <c r="C165" s="90"/>
      <c r="D165" s="91"/>
      <c r="E165" s="92"/>
      <c r="F165" s="89"/>
      <c r="G165" s="89"/>
      <c r="H165" s="89"/>
      <c r="I165" s="89"/>
      <c r="J165" s="89"/>
      <c r="K165" s="89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</row>
    <row r="166" spans="2:23" s="14" customFormat="1" ht="17.100000000000001" customHeight="1">
      <c r="B166" s="89"/>
      <c r="C166" s="90"/>
      <c r="D166" s="91"/>
      <c r="E166" s="92"/>
      <c r="F166" s="89"/>
      <c r="G166" s="89"/>
      <c r="H166" s="89"/>
      <c r="I166" s="89"/>
      <c r="J166" s="89"/>
      <c r="K166" s="89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</row>
    <row r="167" spans="2:23" s="14" customFormat="1" ht="17.100000000000001" customHeight="1">
      <c r="B167" s="89"/>
      <c r="C167" s="90"/>
      <c r="D167" s="91"/>
      <c r="E167" s="92"/>
      <c r="F167" s="89"/>
      <c r="G167" s="89"/>
      <c r="H167" s="89"/>
      <c r="I167" s="89"/>
      <c r="J167" s="89"/>
      <c r="K167" s="89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</row>
    <row r="168" spans="2:23" s="14" customFormat="1" ht="17.100000000000001" customHeight="1">
      <c r="B168" s="89"/>
      <c r="C168" s="90"/>
      <c r="D168" s="91"/>
      <c r="E168" s="92"/>
      <c r="F168" s="89"/>
      <c r="G168" s="89"/>
      <c r="H168" s="89"/>
      <c r="I168" s="89"/>
      <c r="J168" s="89"/>
      <c r="K168" s="89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</row>
    <row r="169" spans="2:23" s="14" customFormat="1" ht="17.100000000000001" customHeight="1">
      <c r="B169" s="89"/>
      <c r="C169" s="90"/>
      <c r="D169" s="91"/>
      <c r="E169" s="92"/>
      <c r="F169" s="89"/>
      <c r="G169" s="89"/>
      <c r="H169" s="89"/>
      <c r="I169" s="89"/>
      <c r="J169" s="89"/>
      <c r="K169" s="89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</row>
    <row r="170" spans="2:23" s="14" customFormat="1" ht="17.100000000000001" customHeight="1">
      <c r="B170" s="89"/>
      <c r="C170" s="90"/>
      <c r="D170" s="91"/>
      <c r="E170" s="92"/>
      <c r="F170" s="89"/>
      <c r="G170" s="89"/>
      <c r="H170" s="89"/>
      <c r="I170" s="89"/>
      <c r="J170" s="89"/>
      <c r="K170" s="89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</row>
    <row r="171" spans="2:23" s="14" customFormat="1" ht="17.100000000000001" customHeight="1">
      <c r="B171" s="89"/>
      <c r="C171" s="90"/>
      <c r="D171" s="91"/>
      <c r="E171" s="92"/>
      <c r="F171" s="89"/>
      <c r="G171" s="89"/>
      <c r="H171" s="89"/>
      <c r="I171" s="89"/>
      <c r="J171" s="89"/>
      <c r="K171" s="89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</row>
    <row r="172" spans="2:23" s="14" customFormat="1" ht="17.100000000000001" customHeight="1">
      <c r="B172" s="89"/>
      <c r="C172" s="90"/>
      <c r="D172" s="91"/>
      <c r="E172" s="92"/>
      <c r="F172" s="89"/>
      <c r="G172" s="89"/>
      <c r="H172" s="89"/>
      <c r="I172" s="89"/>
      <c r="J172" s="89"/>
      <c r="K172" s="89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</row>
    <row r="173" spans="2:23" s="14" customFormat="1" ht="17.100000000000001" customHeight="1">
      <c r="B173" s="89"/>
      <c r="C173" s="90"/>
      <c r="D173" s="91"/>
      <c r="E173" s="92"/>
      <c r="F173" s="89"/>
      <c r="G173" s="89"/>
      <c r="H173" s="89"/>
      <c r="I173" s="89"/>
      <c r="J173" s="89"/>
      <c r="K173" s="89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</row>
    <row r="174" spans="2:23" s="14" customFormat="1" ht="17.100000000000001" customHeight="1">
      <c r="B174" s="89"/>
      <c r="C174" s="90"/>
      <c r="D174" s="91"/>
      <c r="E174" s="92"/>
      <c r="F174" s="89"/>
      <c r="G174" s="89"/>
      <c r="H174" s="89"/>
      <c r="I174" s="89"/>
      <c r="J174" s="89"/>
      <c r="K174" s="89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</row>
    <row r="175" spans="2:23" s="14" customFormat="1" ht="17.100000000000001" customHeight="1">
      <c r="B175" s="89"/>
      <c r="C175" s="90"/>
      <c r="D175" s="91"/>
      <c r="E175" s="92"/>
      <c r="F175" s="89"/>
      <c r="G175" s="89"/>
      <c r="H175" s="89"/>
      <c r="I175" s="89"/>
      <c r="J175" s="89"/>
      <c r="K175" s="89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</row>
    <row r="176" spans="2:23" s="14" customFormat="1" ht="17.100000000000001" customHeight="1">
      <c r="B176" s="89"/>
      <c r="C176" s="90"/>
      <c r="D176" s="91"/>
      <c r="E176" s="92"/>
      <c r="F176" s="89"/>
      <c r="G176" s="89"/>
      <c r="H176" s="89"/>
      <c r="I176" s="89"/>
      <c r="J176" s="89"/>
      <c r="K176" s="89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</row>
    <row r="177" spans="2:23" s="14" customFormat="1" ht="17.100000000000001" customHeight="1">
      <c r="B177" s="89"/>
      <c r="C177" s="90"/>
      <c r="D177" s="91"/>
      <c r="E177" s="92"/>
      <c r="F177" s="89"/>
      <c r="G177" s="89"/>
      <c r="H177" s="89"/>
      <c r="I177" s="89"/>
      <c r="J177" s="89"/>
      <c r="K177" s="89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</row>
    <row r="178" spans="2:23" s="14" customFormat="1" ht="17.100000000000001" customHeight="1">
      <c r="B178" s="89"/>
      <c r="C178" s="90"/>
      <c r="D178" s="91"/>
      <c r="E178" s="92"/>
      <c r="F178" s="89"/>
      <c r="G178" s="89"/>
      <c r="H178" s="89"/>
      <c r="I178" s="89"/>
      <c r="J178" s="89"/>
      <c r="K178" s="89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</row>
    <row r="179" spans="2:23" s="14" customFormat="1" ht="17.100000000000001" customHeight="1">
      <c r="B179" s="89"/>
      <c r="C179" s="90"/>
      <c r="D179" s="91"/>
      <c r="E179" s="92"/>
      <c r="F179" s="89"/>
      <c r="G179" s="89"/>
      <c r="H179" s="89"/>
      <c r="I179" s="89"/>
      <c r="J179" s="89"/>
      <c r="K179" s="89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</row>
    <row r="180" spans="2:23" s="14" customFormat="1" ht="17.100000000000001" customHeight="1">
      <c r="B180" s="89"/>
      <c r="C180" s="90"/>
      <c r="D180" s="91"/>
      <c r="E180" s="92"/>
      <c r="F180" s="89"/>
      <c r="G180" s="89"/>
      <c r="H180" s="89"/>
      <c r="I180" s="89"/>
      <c r="J180" s="89"/>
      <c r="K180" s="89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</row>
    <row r="181" spans="2:23" s="14" customFormat="1" ht="17.100000000000001" customHeight="1">
      <c r="B181" s="89"/>
      <c r="C181" s="90"/>
      <c r="D181" s="91"/>
      <c r="E181" s="92"/>
      <c r="F181" s="89"/>
      <c r="G181" s="89"/>
      <c r="H181" s="89"/>
      <c r="I181" s="89"/>
      <c r="J181" s="89"/>
      <c r="K181" s="89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</row>
    <row r="182" spans="2:23" s="14" customFormat="1" ht="17.100000000000001" customHeight="1">
      <c r="B182" s="89"/>
      <c r="C182" s="90"/>
      <c r="D182" s="91"/>
      <c r="E182" s="92"/>
      <c r="F182" s="89"/>
      <c r="G182" s="89"/>
      <c r="H182" s="89"/>
      <c r="I182" s="89"/>
      <c r="J182" s="89"/>
      <c r="K182" s="89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</row>
    <row r="183" spans="2:23" s="14" customFormat="1" ht="17.100000000000001" customHeight="1">
      <c r="B183" s="89"/>
      <c r="C183" s="90"/>
      <c r="D183" s="91"/>
      <c r="E183" s="92"/>
      <c r="F183" s="89"/>
      <c r="G183" s="89"/>
      <c r="H183" s="89"/>
      <c r="I183" s="89"/>
      <c r="J183" s="89"/>
      <c r="K183" s="89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</row>
    <row r="184" spans="2:23" s="14" customFormat="1" ht="17.100000000000001" customHeight="1">
      <c r="B184" s="89"/>
      <c r="C184" s="90"/>
      <c r="D184" s="91"/>
      <c r="E184" s="92"/>
      <c r="F184" s="89"/>
      <c r="G184" s="89"/>
      <c r="H184" s="89"/>
      <c r="I184" s="89"/>
      <c r="J184" s="89"/>
      <c r="K184" s="89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</row>
    <row r="185" spans="2:23" s="14" customFormat="1" ht="17.100000000000001" customHeight="1">
      <c r="B185" s="89"/>
      <c r="C185" s="90"/>
      <c r="D185" s="91"/>
      <c r="E185" s="92"/>
      <c r="F185" s="89"/>
      <c r="G185" s="89"/>
      <c r="H185" s="89"/>
      <c r="I185" s="89"/>
      <c r="J185" s="89"/>
      <c r="K185" s="89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</row>
    <row r="186" spans="2:23" s="14" customFormat="1" ht="17.100000000000001" customHeight="1">
      <c r="B186" s="89"/>
      <c r="C186" s="90"/>
      <c r="D186" s="91"/>
      <c r="E186" s="92"/>
      <c r="F186" s="89"/>
      <c r="G186" s="89"/>
      <c r="H186" s="89"/>
      <c r="I186" s="89"/>
      <c r="J186" s="89"/>
      <c r="K186" s="89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</row>
    <row r="187" spans="2:23" s="14" customFormat="1" ht="17.100000000000001" customHeight="1">
      <c r="B187" s="89"/>
      <c r="C187" s="90"/>
      <c r="D187" s="91"/>
      <c r="E187" s="92"/>
      <c r="F187" s="89"/>
      <c r="G187" s="89"/>
      <c r="H187" s="89"/>
      <c r="I187" s="89"/>
      <c r="J187" s="89"/>
      <c r="K187" s="89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</row>
    <row r="188" spans="2:23" s="14" customFormat="1" ht="17.100000000000001" customHeight="1">
      <c r="B188" s="89"/>
      <c r="C188" s="90"/>
      <c r="D188" s="91"/>
      <c r="E188" s="92"/>
      <c r="F188" s="89"/>
      <c r="G188" s="89"/>
      <c r="H188" s="89"/>
      <c r="I188" s="89"/>
      <c r="J188" s="89"/>
      <c r="K188" s="89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</row>
    <row r="189" spans="2:23" s="14" customFormat="1" ht="17.100000000000001" customHeight="1">
      <c r="B189" s="89"/>
      <c r="C189" s="90"/>
      <c r="D189" s="91"/>
      <c r="E189" s="92"/>
      <c r="F189" s="89"/>
      <c r="G189" s="89"/>
      <c r="H189" s="89"/>
      <c r="I189" s="89"/>
      <c r="J189" s="89"/>
      <c r="K189" s="89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</row>
    <row r="190" spans="2:23" s="14" customFormat="1" ht="17.100000000000001" customHeight="1">
      <c r="B190" s="89"/>
      <c r="C190" s="90"/>
      <c r="D190" s="91"/>
      <c r="E190" s="92"/>
      <c r="F190" s="89"/>
      <c r="G190" s="89"/>
      <c r="H190" s="89"/>
      <c r="I190" s="89"/>
      <c r="J190" s="89"/>
      <c r="K190" s="89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</row>
    <row r="191" spans="2:23" s="14" customFormat="1" ht="17.100000000000001" customHeight="1">
      <c r="B191" s="89"/>
      <c r="C191" s="90"/>
      <c r="D191" s="91"/>
      <c r="E191" s="92"/>
      <c r="F191" s="89"/>
      <c r="G191" s="89"/>
      <c r="H191" s="89"/>
      <c r="I191" s="89"/>
      <c r="J191" s="89"/>
      <c r="K191" s="89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</row>
    <row r="192" spans="2:23" s="14" customFormat="1" ht="17.100000000000001" customHeight="1">
      <c r="B192" s="89"/>
      <c r="C192" s="90"/>
      <c r="D192" s="91"/>
      <c r="E192" s="92"/>
      <c r="F192" s="89"/>
      <c r="G192" s="89"/>
      <c r="H192" s="89"/>
      <c r="I192" s="89"/>
      <c r="J192" s="89"/>
      <c r="K192" s="89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</row>
    <row r="193" spans="2:23" s="14" customFormat="1" ht="17.100000000000001" customHeight="1">
      <c r="B193" s="89"/>
      <c r="C193" s="90"/>
      <c r="D193" s="91"/>
      <c r="E193" s="92"/>
      <c r="F193" s="89"/>
      <c r="G193" s="89"/>
      <c r="H193" s="89"/>
      <c r="I193" s="89"/>
      <c r="J193" s="89"/>
      <c r="K193" s="89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</row>
    <row r="194" spans="2:23" s="14" customFormat="1" ht="17.100000000000001" customHeight="1">
      <c r="B194" s="89"/>
      <c r="C194" s="90"/>
      <c r="D194" s="91"/>
      <c r="E194" s="92"/>
      <c r="F194" s="89"/>
      <c r="G194" s="89"/>
      <c r="H194" s="89"/>
      <c r="I194" s="89"/>
      <c r="J194" s="89"/>
      <c r="K194" s="89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</row>
    <row r="195" spans="2:23" s="14" customFormat="1" ht="17.100000000000001" customHeight="1">
      <c r="B195" s="89"/>
      <c r="C195" s="90"/>
      <c r="D195" s="91"/>
      <c r="E195" s="92"/>
      <c r="F195" s="89"/>
      <c r="G195" s="89"/>
      <c r="H195" s="89"/>
      <c r="I195" s="89"/>
      <c r="J195" s="89"/>
      <c r="K195" s="89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</row>
    <row r="196" spans="2:23" s="14" customFormat="1" ht="17.100000000000001" customHeight="1">
      <c r="B196" s="89"/>
      <c r="C196" s="90"/>
      <c r="D196" s="91"/>
      <c r="E196" s="92"/>
      <c r="F196" s="89"/>
      <c r="G196" s="89"/>
      <c r="H196" s="89"/>
      <c r="I196" s="89"/>
      <c r="J196" s="89"/>
      <c r="K196" s="89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</row>
    <row r="197" spans="2:23" s="14" customFormat="1" ht="17.100000000000001" customHeight="1">
      <c r="B197" s="89"/>
      <c r="C197" s="90"/>
      <c r="D197" s="91"/>
      <c r="E197" s="92"/>
      <c r="F197" s="89"/>
      <c r="G197" s="89"/>
      <c r="H197" s="89"/>
      <c r="I197" s="89"/>
      <c r="J197" s="89"/>
      <c r="K197" s="89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</row>
    <row r="198" spans="2:23" s="14" customFormat="1" ht="17.100000000000001" customHeight="1">
      <c r="B198" s="89"/>
      <c r="C198" s="90"/>
      <c r="D198" s="91"/>
      <c r="E198" s="92"/>
      <c r="F198" s="89"/>
      <c r="G198" s="89"/>
      <c r="H198" s="89"/>
      <c r="I198" s="89"/>
      <c r="J198" s="89"/>
      <c r="K198" s="89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</row>
    <row r="199" spans="2:23" s="14" customFormat="1" ht="17.100000000000001" customHeight="1">
      <c r="B199" s="89"/>
      <c r="C199" s="90"/>
      <c r="D199" s="91"/>
      <c r="E199" s="92"/>
      <c r="F199" s="89"/>
      <c r="G199" s="89"/>
      <c r="H199" s="89"/>
      <c r="I199" s="89"/>
      <c r="J199" s="89"/>
      <c r="K199" s="89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</row>
    <row r="200" spans="2:23" s="14" customFormat="1" ht="17.100000000000001" customHeight="1">
      <c r="B200" s="89"/>
      <c r="C200" s="90"/>
      <c r="D200" s="91"/>
      <c r="E200" s="92"/>
      <c r="F200" s="89"/>
      <c r="G200" s="89"/>
      <c r="H200" s="89"/>
      <c r="I200" s="89"/>
      <c r="J200" s="89"/>
      <c r="K200" s="89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</row>
    <row r="201" spans="2:23" s="14" customFormat="1" ht="17.100000000000001" customHeight="1">
      <c r="B201" s="89"/>
      <c r="C201" s="90"/>
      <c r="D201" s="91"/>
      <c r="E201" s="92"/>
      <c r="F201" s="89"/>
      <c r="G201" s="89"/>
      <c r="H201" s="89"/>
      <c r="I201" s="89"/>
      <c r="J201" s="89"/>
      <c r="K201" s="89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</row>
    <row r="202" spans="2:23" s="14" customFormat="1" ht="17.100000000000001" customHeight="1">
      <c r="B202" s="89"/>
      <c r="C202" s="90"/>
      <c r="D202" s="91"/>
      <c r="E202" s="92"/>
      <c r="F202" s="89"/>
      <c r="G202" s="89"/>
      <c r="H202" s="89"/>
      <c r="I202" s="89"/>
      <c r="J202" s="89"/>
      <c r="K202" s="89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</row>
    <row r="203" spans="2:23" s="14" customFormat="1" ht="17.100000000000001" customHeight="1">
      <c r="B203" s="89"/>
      <c r="C203" s="90"/>
      <c r="D203" s="91"/>
      <c r="E203" s="92"/>
      <c r="F203" s="89"/>
      <c r="G203" s="89"/>
      <c r="H203" s="89"/>
      <c r="I203" s="89"/>
      <c r="J203" s="89"/>
      <c r="K203" s="89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</row>
    <row r="204" spans="2:23" s="14" customFormat="1" ht="17.100000000000001" customHeight="1">
      <c r="B204" s="89"/>
      <c r="C204" s="90"/>
      <c r="D204" s="91"/>
      <c r="E204" s="92"/>
      <c r="F204" s="89"/>
      <c r="G204" s="89"/>
      <c r="H204" s="89"/>
      <c r="I204" s="89"/>
      <c r="J204" s="89"/>
      <c r="K204" s="89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</row>
    <row r="205" spans="2:23" s="14" customFormat="1" ht="17.100000000000001" customHeight="1">
      <c r="B205" s="89"/>
      <c r="C205" s="90"/>
      <c r="D205" s="91"/>
      <c r="E205" s="92"/>
      <c r="F205" s="89"/>
      <c r="G205" s="89"/>
      <c r="H205" s="89"/>
      <c r="I205" s="89"/>
      <c r="J205" s="89"/>
      <c r="K205" s="89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</row>
    <row r="206" spans="2:23" s="14" customFormat="1" ht="17.100000000000001" customHeight="1">
      <c r="B206" s="89"/>
      <c r="C206" s="90"/>
      <c r="D206" s="91"/>
      <c r="E206" s="92"/>
      <c r="F206" s="89"/>
      <c r="G206" s="89"/>
      <c r="H206" s="89"/>
      <c r="I206" s="89"/>
      <c r="J206" s="89"/>
      <c r="K206" s="89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</row>
    <row r="207" spans="2:23" s="14" customFormat="1" ht="17.100000000000001" customHeight="1">
      <c r="B207" s="89"/>
      <c r="C207" s="90"/>
      <c r="D207" s="91"/>
      <c r="E207" s="92"/>
      <c r="F207" s="89"/>
      <c r="G207" s="89"/>
      <c r="H207" s="89"/>
      <c r="I207" s="89"/>
      <c r="J207" s="89"/>
      <c r="K207" s="89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</row>
    <row r="208" spans="2:23" s="14" customFormat="1" ht="17.100000000000001" customHeight="1">
      <c r="B208" s="89"/>
      <c r="C208" s="90"/>
      <c r="D208" s="91"/>
      <c r="E208" s="92"/>
      <c r="F208" s="89"/>
      <c r="G208" s="89"/>
      <c r="H208" s="89"/>
      <c r="I208" s="89"/>
      <c r="J208" s="89"/>
      <c r="K208" s="89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</row>
    <row r="209" spans="2:23" s="14" customFormat="1" ht="17.100000000000001" customHeight="1">
      <c r="B209" s="89"/>
      <c r="C209" s="90"/>
      <c r="D209" s="91"/>
      <c r="E209" s="92"/>
      <c r="F209" s="89"/>
      <c r="G209" s="89"/>
      <c r="H209" s="89"/>
      <c r="I209" s="89"/>
      <c r="J209" s="89"/>
      <c r="K209" s="89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</row>
    <row r="210" spans="2:23" s="14" customFormat="1" ht="17.100000000000001" customHeight="1">
      <c r="B210" s="89"/>
      <c r="C210" s="90"/>
      <c r="D210" s="91"/>
      <c r="E210" s="92"/>
      <c r="F210" s="89"/>
      <c r="G210" s="89"/>
      <c r="H210" s="89"/>
      <c r="I210" s="89"/>
      <c r="J210" s="89"/>
      <c r="K210" s="89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</row>
    <row r="211" spans="2:23" s="14" customFormat="1" ht="17.100000000000001" customHeight="1">
      <c r="B211" s="89"/>
      <c r="C211" s="90"/>
      <c r="D211" s="91"/>
      <c r="E211" s="92"/>
      <c r="F211" s="89"/>
      <c r="G211" s="89"/>
      <c r="H211" s="89"/>
      <c r="I211" s="89"/>
      <c r="J211" s="89"/>
      <c r="K211" s="89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</row>
    <row r="212" spans="2:23" s="14" customFormat="1" ht="17.100000000000001" customHeight="1">
      <c r="B212" s="89"/>
      <c r="C212" s="90"/>
      <c r="D212" s="91"/>
      <c r="E212" s="92"/>
      <c r="F212" s="89"/>
      <c r="G212" s="89"/>
      <c r="H212" s="89"/>
      <c r="I212" s="89"/>
      <c r="J212" s="89"/>
      <c r="K212" s="89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</row>
    <row r="213" spans="2:23" s="14" customFormat="1" ht="17.100000000000001" customHeight="1">
      <c r="B213" s="89"/>
      <c r="C213" s="90"/>
      <c r="D213" s="91"/>
      <c r="E213" s="92"/>
      <c r="F213" s="89"/>
      <c r="G213" s="89"/>
      <c r="H213" s="89"/>
      <c r="I213" s="89"/>
      <c r="J213" s="89"/>
      <c r="K213" s="89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</row>
    <row r="214" spans="2:23" s="14" customFormat="1" ht="17.100000000000001" customHeight="1">
      <c r="B214" s="89"/>
      <c r="C214" s="90"/>
      <c r="D214" s="91"/>
      <c r="E214" s="92"/>
      <c r="F214" s="89"/>
      <c r="G214" s="89"/>
      <c r="H214" s="89"/>
      <c r="I214" s="89"/>
      <c r="J214" s="89"/>
      <c r="K214" s="89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</row>
    <row r="215" spans="2:23" s="14" customFormat="1" ht="17.100000000000001" customHeight="1">
      <c r="B215" s="89"/>
      <c r="C215" s="90"/>
      <c r="D215" s="91"/>
      <c r="E215" s="92"/>
      <c r="F215" s="89"/>
      <c r="G215" s="89"/>
      <c r="H215" s="89"/>
      <c r="I215" s="89"/>
      <c r="J215" s="89"/>
      <c r="K215" s="89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</row>
    <row r="216" spans="2:23" s="14" customFormat="1" ht="17.100000000000001" customHeight="1">
      <c r="B216" s="89"/>
      <c r="C216" s="90"/>
      <c r="D216" s="91"/>
      <c r="E216" s="92"/>
      <c r="F216" s="89"/>
      <c r="G216" s="89"/>
      <c r="H216" s="89"/>
      <c r="I216" s="89"/>
      <c r="J216" s="89"/>
      <c r="K216" s="89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</row>
    <row r="217" spans="2:23" s="14" customFormat="1" ht="17.100000000000001" customHeight="1">
      <c r="B217" s="89"/>
      <c r="C217" s="90"/>
      <c r="D217" s="91"/>
      <c r="E217" s="92"/>
      <c r="F217" s="89"/>
      <c r="G217" s="89"/>
      <c r="H217" s="89"/>
      <c r="I217" s="89"/>
      <c r="J217" s="89"/>
      <c r="K217" s="89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</row>
    <row r="218" spans="2:23" s="14" customFormat="1" ht="17.100000000000001" customHeight="1">
      <c r="B218" s="89"/>
      <c r="C218" s="90"/>
      <c r="D218" s="91"/>
      <c r="E218" s="92"/>
      <c r="F218" s="89"/>
      <c r="G218" s="89"/>
      <c r="H218" s="89"/>
      <c r="I218" s="89"/>
      <c r="J218" s="89"/>
      <c r="K218" s="89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</row>
    <row r="219" spans="2:23" s="14" customFormat="1" ht="17.100000000000001" customHeight="1">
      <c r="B219" s="89"/>
      <c r="C219" s="90"/>
      <c r="D219" s="91"/>
      <c r="E219" s="92"/>
      <c r="F219" s="89"/>
      <c r="G219" s="89"/>
      <c r="H219" s="89"/>
      <c r="I219" s="89"/>
      <c r="J219" s="89"/>
      <c r="K219" s="89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</row>
    <row r="220" spans="2:23" s="14" customFormat="1" ht="17.100000000000001" customHeight="1">
      <c r="B220" s="89"/>
      <c r="C220" s="90"/>
      <c r="D220" s="91"/>
      <c r="E220" s="92"/>
      <c r="F220" s="89"/>
      <c r="G220" s="89"/>
      <c r="H220" s="89"/>
      <c r="I220" s="89"/>
      <c r="J220" s="89"/>
      <c r="K220" s="89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</row>
    <row r="221" spans="2:23" s="14" customFormat="1" ht="17.100000000000001" customHeight="1">
      <c r="B221" s="89"/>
      <c r="C221" s="90"/>
      <c r="D221" s="91"/>
      <c r="E221" s="92"/>
      <c r="F221" s="89"/>
      <c r="G221" s="89"/>
      <c r="H221" s="89"/>
      <c r="I221" s="89"/>
      <c r="J221" s="89"/>
      <c r="K221" s="89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</row>
    <row r="222" spans="2:23" s="14" customFormat="1" ht="17.100000000000001" customHeight="1">
      <c r="B222" s="89"/>
      <c r="C222" s="90"/>
      <c r="D222" s="91"/>
      <c r="E222" s="92"/>
      <c r="F222" s="89"/>
      <c r="G222" s="89"/>
      <c r="H222" s="89"/>
      <c r="I222" s="89"/>
      <c r="J222" s="89"/>
      <c r="K222" s="89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</row>
    <row r="223" spans="2:23" s="14" customFormat="1" ht="17.100000000000001" customHeight="1">
      <c r="B223" s="89"/>
      <c r="C223" s="90"/>
      <c r="D223" s="91"/>
      <c r="E223" s="92"/>
      <c r="F223" s="89"/>
      <c r="G223" s="89"/>
      <c r="H223" s="89"/>
      <c r="I223" s="89"/>
      <c r="J223" s="89"/>
      <c r="K223" s="89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</row>
    <row r="224" spans="2:23" s="14" customFormat="1" ht="17.100000000000001" customHeight="1">
      <c r="B224" s="89"/>
      <c r="C224" s="90"/>
      <c r="D224" s="91"/>
      <c r="E224" s="92"/>
      <c r="F224" s="89"/>
      <c r="G224" s="89"/>
      <c r="H224" s="89"/>
      <c r="I224" s="89"/>
      <c r="J224" s="89"/>
      <c r="K224" s="89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</row>
    <row r="225" spans="2:23" s="14" customFormat="1" ht="17.100000000000001" customHeight="1">
      <c r="B225" s="89"/>
      <c r="C225" s="90"/>
      <c r="D225" s="91"/>
      <c r="E225" s="92"/>
      <c r="F225" s="89"/>
      <c r="G225" s="89"/>
      <c r="H225" s="89"/>
      <c r="I225" s="89"/>
      <c r="J225" s="89"/>
      <c r="K225" s="89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</row>
    <row r="226" spans="2:23" s="14" customFormat="1" ht="17.100000000000001" customHeight="1">
      <c r="B226" s="89"/>
      <c r="C226" s="90"/>
      <c r="D226" s="91"/>
      <c r="E226" s="92"/>
      <c r="F226" s="89"/>
      <c r="G226" s="89"/>
      <c r="H226" s="89"/>
      <c r="I226" s="89"/>
      <c r="J226" s="89"/>
      <c r="K226" s="89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</row>
    <row r="227" spans="2:23" s="14" customFormat="1" ht="17.100000000000001" customHeight="1">
      <c r="B227" s="89"/>
      <c r="C227" s="90"/>
      <c r="D227" s="91"/>
      <c r="E227" s="92"/>
      <c r="F227" s="89"/>
      <c r="G227" s="89"/>
      <c r="H227" s="89"/>
      <c r="I227" s="89"/>
      <c r="J227" s="89"/>
      <c r="K227" s="89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</row>
    <row r="228" spans="2:23" s="14" customFormat="1" ht="17.100000000000001" customHeight="1">
      <c r="B228" s="89"/>
      <c r="C228" s="90"/>
      <c r="D228" s="91"/>
      <c r="E228" s="92"/>
      <c r="F228" s="89"/>
      <c r="G228" s="89"/>
      <c r="H228" s="89"/>
      <c r="I228" s="89"/>
      <c r="J228" s="89"/>
      <c r="K228" s="89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</row>
    <row r="229" spans="2:23" s="14" customFormat="1" ht="17.100000000000001" customHeight="1">
      <c r="B229" s="89"/>
      <c r="C229" s="90"/>
      <c r="D229" s="91"/>
      <c r="E229" s="92"/>
      <c r="F229" s="89"/>
      <c r="G229" s="89"/>
      <c r="H229" s="89"/>
      <c r="I229" s="89"/>
      <c r="J229" s="89"/>
      <c r="K229" s="89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</row>
    <row r="230" spans="2:23" s="14" customFormat="1" ht="17.100000000000001" customHeight="1">
      <c r="B230" s="89"/>
      <c r="C230" s="90"/>
      <c r="D230" s="91"/>
      <c r="E230" s="92"/>
      <c r="F230" s="89"/>
      <c r="G230" s="89"/>
      <c r="H230" s="89"/>
      <c r="I230" s="89"/>
      <c r="J230" s="89"/>
      <c r="K230" s="89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</row>
    <row r="231" spans="2:23" s="14" customFormat="1" ht="17.100000000000001" customHeight="1">
      <c r="B231" s="89"/>
      <c r="C231" s="90"/>
      <c r="D231" s="91"/>
      <c r="E231" s="92"/>
      <c r="F231" s="89"/>
      <c r="G231" s="89"/>
      <c r="H231" s="89"/>
      <c r="I231" s="89"/>
      <c r="J231" s="89"/>
      <c r="K231" s="89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</row>
    <row r="232" spans="2:23" s="14" customFormat="1" ht="17.100000000000001" customHeight="1">
      <c r="B232" s="89"/>
      <c r="C232" s="90"/>
      <c r="D232" s="91"/>
      <c r="E232" s="92"/>
      <c r="F232" s="89"/>
      <c r="G232" s="89"/>
      <c r="H232" s="89"/>
      <c r="I232" s="89"/>
      <c r="J232" s="89"/>
      <c r="K232" s="89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</row>
    <row r="233" spans="2:23" s="14" customFormat="1" ht="17.100000000000001" customHeight="1">
      <c r="B233" s="89"/>
      <c r="C233" s="90"/>
      <c r="D233" s="91"/>
      <c r="E233" s="92"/>
      <c r="F233" s="89"/>
      <c r="G233" s="89"/>
      <c r="H233" s="89"/>
      <c r="I233" s="89"/>
      <c r="J233" s="89"/>
      <c r="K233" s="89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</row>
    <row r="234" spans="2:23" s="14" customFormat="1" ht="17.100000000000001" customHeight="1">
      <c r="B234" s="89"/>
      <c r="C234" s="90"/>
      <c r="D234" s="91"/>
      <c r="E234" s="92"/>
      <c r="F234" s="89"/>
      <c r="G234" s="89"/>
      <c r="H234" s="89"/>
      <c r="I234" s="89"/>
      <c r="J234" s="89"/>
      <c r="K234" s="89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</row>
    <row r="235" spans="2:23" s="14" customFormat="1" ht="17.100000000000001" customHeight="1">
      <c r="B235" s="89"/>
      <c r="C235" s="90"/>
      <c r="D235" s="91"/>
      <c r="E235" s="92"/>
      <c r="F235" s="89"/>
      <c r="G235" s="89"/>
      <c r="H235" s="89"/>
      <c r="I235" s="89"/>
      <c r="J235" s="89"/>
      <c r="K235" s="89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</row>
    <row r="236" spans="2:23" s="14" customFormat="1" ht="17.100000000000001" customHeight="1">
      <c r="B236" s="89"/>
      <c r="C236" s="90"/>
      <c r="D236" s="91"/>
      <c r="E236" s="92"/>
      <c r="F236" s="89"/>
      <c r="G236" s="89"/>
      <c r="H236" s="89"/>
      <c r="I236" s="89"/>
      <c r="J236" s="89"/>
      <c r="K236" s="89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</row>
    <row r="237" spans="2:23" s="14" customFormat="1" ht="17.100000000000001" customHeight="1">
      <c r="B237" s="89"/>
      <c r="C237" s="90"/>
      <c r="D237" s="91"/>
      <c r="E237" s="92"/>
      <c r="F237" s="89"/>
      <c r="G237" s="89"/>
      <c r="H237" s="89"/>
      <c r="I237" s="89"/>
      <c r="J237" s="89"/>
      <c r="K237" s="89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</row>
    <row r="238" spans="2:23" s="14" customFormat="1" ht="17.100000000000001" customHeight="1">
      <c r="B238" s="89"/>
      <c r="C238" s="90"/>
      <c r="D238" s="91"/>
      <c r="E238" s="92"/>
      <c r="F238" s="89"/>
      <c r="G238" s="89"/>
      <c r="H238" s="89"/>
      <c r="I238" s="89"/>
      <c r="J238" s="89"/>
      <c r="K238" s="89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</row>
    <row r="239" spans="2:23" s="14" customFormat="1" ht="17.100000000000001" customHeight="1">
      <c r="B239" s="89"/>
      <c r="C239" s="90"/>
      <c r="D239" s="91"/>
      <c r="E239" s="92"/>
      <c r="F239" s="89"/>
      <c r="G239" s="89"/>
      <c r="H239" s="89"/>
      <c r="I239" s="89"/>
      <c r="J239" s="89"/>
      <c r="K239" s="89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</row>
    <row r="240" spans="2:23" s="14" customFormat="1" ht="17.100000000000001" customHeight="1">
      <c r="B240" s="89"/>
      <c r="C240" s="90"/>
      <c r="D240" s="91"/>
      <c r="E240" s="92"/>
      <c r="F240" s="89"/>
      <c r="G240" s="89"/>
      <c r="H240" s="89"/>
      <c r="I240" s="89"/>
      <c r="J240" s="89"/>
      <c r="K240" s="89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</row>
    <row r="241" spans="2:23" s="14" customFormat="1" ht="17.100000000000001" customHeight="1">
      <c r="B241" s="89"/>
      <c r="C241" s="90"/>
      <c r="D241" s="91"/>
      <c r="E241" s="92"/>
      <c r="F241" s="89"/>
      <c r="G241" s="89"/>
      <c r="H241" s="89"/>
      <c r="I241" s="89"/>
      <c r="J241" s="89"/>
      <c r="K241" s="89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</row>
    <row r="242" spans="2:23" s="14" customFormat="1" ht="17.100000000000001" customHeight="1">
      <c r="B242" s="89"/>
      <c r="C242" s="90"/>
      <c r="D242" s="91"/>
      <c r="E242" s="92"/>
      <c r="F242" s="89"/>
      <c r="G242" s="89"/>
      <c r="H242" s="89"/>
      <c r="I242" s="89"/>
      <c r="J242" s="89"/>
      <c r="K242" s="89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</row>
    <row r="243" spans="2:23" s="14" customFormat="1" ht="17.100000000000001" customHeight="1">
      <c r="B243" s="89"/>
      <c r="C243" s="90"/>
      <c r="D243" s="91"/>
      <c r="E243" s="92"/>
      <c r="F243" s="89"/>
      <c r="G243" s="89"/>
      <c r="H243" s="89"/>
      <c r="I243" s="89"/>
      <c r="J243" s="89"/>
      <c r="K243" s="89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</row>
    <row r="244" spans="2:23" s="14" customFormat="1" ht="17.100000000000001" customHeight="1">
      <c r="B244" s="89"/>
      <c r="C244" s="90"/>
      <c r="D244" s="91"/>
      <c r="E244" s="92"/>
      <c r="F244" s="89"/>
      <c r="G244" s="89"/>
      <c r="H244" s="89"/>
      <c r="I244" s="89"/>
      <c r="J244" s="89"/>
      <c r="K244" s="89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</row>
    <row r="245" spans="2:23" s="14" customFormat="1" ht="17.100000000000001" customHeight="1">
      <c r="B245" s="89"/>
      <c r="C245" s="90"/>
      <c r="D245" s="91"/>
      <c r="E245" s="92"/>
      <c r="F245" s="89"/>
      <c r="G245" s="89"/>
      <c r="H245" s="89"/>
      <c r="I245" s="89"/>
      <c r="J245" s="89"/>
      <c r="K245" s="89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</row>
    <row r="246" spans="2:23" s="14" customFormat="1" ht="17.100000000000001" customHeight="1">
      <c r="B246" s="89"/>
      <c r="C246" s="90"/>
      <c r="D246" s="91"/>
      <c r="E246" s="92"/>
      <c r="F246" s="89"/>
      <c r="G246" s="89"/>
      <c r="H246" s="89"/>
      <c r="I246" s="89"/>
      <c r="J246" s="89"/>
      <c r="K246" s="89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</row>
    <row r="247" spans="2:23" s="14" customFormat="1" ht="17.100000000000001" customHeight="1">
      <c r="B247" s="89"/>
      <c r="C247" s="90"/>
      <c r="D247" s="91"/>
      <c r="E247" s="92"/>
      <c r="F247" s="89"/>
      <c r="G247" s="89"/>
      <c r="H247" s="89"/>
      <c r="I247" s="89"/>
      <c r="J247" s="89"/>
      <c r="K247" s="89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</row>
    <row r="248" spans="2:23" s="14" customFormat="1" ht="17.100000000000001" customHeight="1">
      <c r="B248" s="89"/>
      <c r="C248" s="90"/>
      <c r="D248" s="91"/>
      <c r="E248" s="92"/>
      <c r="F248" s="89"/>
      <c r="G248" s="89"/>
      <c r="H248" s="89"/>
      <c r="I248" s="89"/>
      <c r="J248" s="89"/>
      <c r="K248" s="89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</row>
    <row r="249" spans="2:23" s="14" customFormat="1" ht="17.100000000000001" customHeight="1">
      <c r="B249" s="89"/>
      <c r="C249" s="90"/>
      <c r="D249" s="91"/>
      <c r="E249" s="92"/>
      <c r="F249" s="89"/>
      <c r="G249" s="89"/>
      <c r="H249" s="89"/>
      <c r="I249" s="89"/>
      <c r="J249" s="89"/>
      <c r="K249" s="89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</row>
    <row r="250" spans="2:23" s="14" customFormat="1" ht="17.100000000000001" customHeight="1">
      <c r="B250" s="89"/>
      <c r="C250" s="90"/>
      <c r="D250" s="91"/>
      <c r="E250" s="92"/>
      <c r="F250" s="89"/>
      <c r="G250" s="89"/>
      <c r="H250" s="89"/>
      <c r="I250" s="89"/>
      <c r="J250" s="89"/>
      <c r="K250" s="89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</row>
    <row r="251" spans="2:23" s="14" customFormat="1" ht="17.100000000000001" customHeight="1">
      <c r="B251" s="89"/>
      <c r="C251" s="90"/>
      <c r="D251" s="91"/>
      <c r="E251" s="92"/>
      <c r="F251" s="89"/>
      <c r="G251" s="89"/>
      <c r="H251" s="89"/>
      <c r="I251" s="89"/>
      <c r="J251" s="89"/>
      <c r="K251" s="89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</row>
    <row r="252" spans="2:23" s="14" customFormat="1" ht="17.100000000000001" customHeight="1">
      <c r="B252" s="89"/>
      <c r="C252" s="90"/>
      <c r="D252" s="91"/>
      <c r="E252" s="92"/>
      <c r="F252" s="89"/>
      <c r="G252" s="89"/>
      <c r="H252" s="89"/>
      <c r="I252" s="89"/>
      <c r="J252" s="89"/>
      <c r="K252" s="89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</row>
    <row r="253" spans="2:23" s="14" customFormat="1" ht="17.100000000000001" customHeight="1">
      <c r="B253" s="89"/>
      <c r="C253" s="90"/>
      <c r="D253" s="91"/>
      <c r="E253" s="92"/>
      <c r="F253" s="89"/>
      <c r="G253" s="89"/>
      <c r="H253" s="89"/>
      <c r="I253" s="89"/>
      <c r="J253" s="89"/>
      <c r="K253" s="89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</row>
    <row r="254" spans="2:23" s="14" customFormat="1" ht="17.100000000000001" customHeight="1">
      <c r="B254" s="89"/>
      <c r="C254" s="90"/>
      <c r="D254" s="91"/>
      <c r="E254" s="92"/>
      <c r="F254" s="89"/>
      <c r="G254" s="89"/>
      <c r="H254" s="89"/>
      <c r="I254" s="89"/>
      <c r="J254" s="89"/>
      <c r="K254" s="89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</row>
    <row r="255" spans="2:23" s="14" customFormat="1" ht="17.100000000000001" customHeight="1">
      <c r="B255" s="89"/>
      <c r="C255" s="90"/>
      <c r="D255" s="91"/>
      <c r="E255" s="92"/>
      <c r="F255" s="89"/>
      <c r="G255" s="89"/>
      <c r="H255" s="89"/>
      <c r="I255" s="89"/>
      <c r="J255" s="89"/>
      <c r="K255" s="89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</row>
    <row r="256" spans="2:23" s="14" customFormat="1" ht="17.100000000000001" customHeight="1">
      <c r="B256" s="89"/>
      <c r="C256" s="90"/>
      <c r="D256" s="91"/>
      <c r="E256" s="92"/>
      <c r="F256" s="89"/>
      <c r="G256" s="89"/>
      <c r="H256" s="89"/>
      <c r="I256" s="89"/>
      <c r="J256" s="89"/>
      <c r="K256" s="89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</row>
    <row r="257" spans="2:23" s="14" customFormat="1" ht="17.100000000000001" customHeight="1">
      <c r="B257" s="89"/>
      <c r="C257" s="90"/>
      <c r="D257" s="91"/>
      <c r="E257" s="92"/>
      <c r="F257" s="89"/>
      <c r="G257" s="89"/>
      <c r="H257" s="89"/>
      <c r="I257" s="89"/>
      <c r="J257" s="89"/>
      <c r="K257" s="89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</row>
    <row r="258" spans="2:23" s="14" customFormat="1" ht="17.100000000000001" customHeight="1">
      <c r="B258" s="89"/>
      <c r="C258" s="90"/>
      <c r="D258" s="91"/>
      <c r="E258" s="92"/>
      <c r="F258" s="89"/>
      <c r="G258" s="89"/>
      <c r="H258" s="89"/>
      <c r="I258" s="89"/>
      <c r="J258" s="89"/>
      <c r="K258" s="89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</row>
    <row r="259" spans="2:23" s="14" customFormat="1" ht="17.100000000000001" customHeight="1">
      <c r="B259" s="89"/>
      <c r="C259" s="90"/>
      <c r="D259" s="91"/>
      <c r="E259" s="92"/>
      <c r="F259" s="89"/>
      <c r="G259" s="89"/>
      <c r="H259" s="89"/>
      <c r="I259" s="89"/>
      <c r="J259" s="89"/>
      <c r="K259" s="89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</row>
    <row r="260" spans="2:23" s="14" customFormat="1" ht="17.100000000000001" customHeight="1">
      <c r="B260" s="89"/>
      <c r="C260" s="90"/>
      <c r="D260" s="91"/>
      <c r="E260" s="92"/>
      <c r="F260" s="89"/>
      <c r="G260" s="89"/>
      <c r="H260" s="89"/>
      <c r="I260" s="89"/>
      <c r="J260" s="89"/>
      <c r="K260" s="89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</row>
    <row r="261" spans="2:23" s="14" customFormat="1" ht="17.100000000000001" customHeight="1">
      <c r="B261" s="89"/>
      <c r="C261" s="90"/>
      <c r="D261" s="91"/>
      <c r="E261" s="92"/>
      <c r="F261" s="89"/>
      <c r="G261" s="89"/>
      <c r="H261" s="89"/>
      <c r="I261" s="89"/>
      <c r="J261" s="89"/>
      <c r="K261" s="89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</row>
    <row r="262" spans="2:23" s="14" customFormat="1" ht="17.100000000000001" customHeight="1">
      <c r="B262" s="89"/>
      <c r="C262" s="90"/>
      <c r="D262" s="91"/>
      <c r="E262" s="92"/>
      <c r="F262" s="89"/>
      <c r="G262" s="89"/>
      <c r="H262" s="89"/>
      <c r="I262" s="89"/>
      <c r="J262" s="89"/>
      <c r="K262" s="89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</row>
    <row r="263" spans="2:23" s="14" customFormat="1" ht="17.100000000000001" customHeight="1">
      <c r="B263" s="89"/>
      <c r="C263" s="90"/>
      <c r="D263" s="91"/>
      <c r="E263" s="92"/>
      <c r="F263" s="89"/>
      <c r="G263" s="89"/>
      <c r="H263" s="89"/>
      <c r="I263" s="89"/>
      <c r="J263" s="89"/>
      <c r="K263" s="89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</row>
    <row r="264" spans="2:23" s="14" customFormat="1" ht="17.100000000000001" customHeight="1">
      <c r="B264" s="89"/>
      <c r="C264" s="90"/>
      <c r="D264" s="91"/>
      <c r="E264" s="92"/>
      <c r="F264" s="89"/>
      <c r="G264" s="89"/>
      <c r="H264" s="89"/>
      <c r="I264" s="89"/>
      <c r="J264" s="89"/>
      <c r="K264" s="89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</row>
    <row r="265" spans="2:23" s="14" customFormat="1" ht="17.100000000000001" customHeight="1">
      <c r="B265" s="89"/>
      <c r="C265" s="90"/>
      <c r="D265" s="91"/>
      <c r="E265" s="92"/>
      <c r="F265" s="89"/>
      <c r="G265" s="89"/>
      <c r="H265" s="89"/>
      <c r="I265" s="89"/>
      <c r="J265" s="89"/>
      <c r="K265" s="89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</row>
    <row r="266" spans="2:23" s="14" customFormat="1" ht="17.100000000000001" customHeight="1">
      <c r="B266" s="89"/>
      <c r="C266" s="90"/>
      <c r="D266" s="91"/>
      <c r="E266" s="92"/>
      <c r="F266" s="89"/>
      <c r="G266" s="89"/>
      <c r="H266" s="89"/>
      <c r="I266" s="89"/>
      <c r="J266" s="89"/>
      <c r="K266" s="89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</row>
    <row r="267" spans="2:23" s="14" customFormat="1" ht="17.100000000000001" customHeight="1">
      <c r="B267" s="89"/>
      <c r="C267" s="90"/>
      <c r="D267" s="91"/>
      <c r="E267" s="92"/>
      <c r="F267" s="89"/>
      <c r="G267" s="89"/>
      <c r="H267" s="89"/>
      <c r="I267" s="89"/>
      <c r="J267" s="89"/>
      <c r="K267" s="89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</row>
    <row r="268" spans="2:23" s="14" customFormat="1" ht="17.100000000000001" customHeight="1">
      <c r="B268" s="89"/>
      <c r="C268" s="90"/>
      <c r="D268" s="91"/>
      <c r="E268" s="92"/>
      <c r="F268" s="89"/>
      <c r="G268" s="89"/>
      <c r="H268" s="89"/>
      <c r="I268" s="89"/>
      <c r="J268" s="89"/>
      <c r="K268" s="89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</row>
    <row r="269" spans="2:23" s="14" customFormat="1" ht="17.100000000000001" customHeight="1">
      <c r="B269" s="89"/>
      <c r="C269" s="90"/>
      <c r="D269" s="91"/>
      <c r="E269" s="92"/>
      <c r="F269" s="89"/>
      <c r="G269" s="89"/>
      <c r="H269" s="89"/>
      <c r="I269" s="89"/>
      <c r="J269" s="89"/>
      <c r="K269" s="89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</row>
    <row r="270" spans="2:23" s="14" customFormat="1" ht="17.100000000000001" customHeight="1">
      <c r="B270" s="89"/>
      <c r="C270" s="90"/>
      <c r="D270" s="91"/>
      <c r="E270" s="92"/>
      <c r="F270" s="89"/>
      <c r="G270" s="89"/>
      <c r="H270" s="89"/>
      <c r="I270" s="89"/>
      <c r="J270" s="89"/>
      <c r="K270" s="89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</row>
    <row r="271" spans="2:23" s="14" customFormat="1" ht="17.100000000000001" customHeight="1">
      <c r="B271" s="89"/>
      <c r="C271" s="90"/>
      <c r="D271" s="91"/>
      <c r="E271" s="92"/>
      <c r="F271" s="89"/>
      <c r="G271" s="89"/>
      <c r="H271" s="89"/>
      <c r="I271" s="89"/>
      <c r="J271" s="89"/>
      <c r="K271" s="89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</row>
    <row r="272" spans="2:23" s="14" customFormat="1" ht="17.100000000000001" customHeight="1">
      <c r="B272" s="89"/>
      <c r="C272" s="90"/>
      <c r="D272" s="91"/>
      <c r="E272" s="92"/>
      <c r="F272" s="89"/>
      <c r="G272" s="89"/>
      <c r="H272" s="89"/>
      <c r="I272" s="89"/>
      <c r="J272" s="89"/>
      <c r="K272" s="89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</row>
    <row r="273" spans="2:23" s="14" customFormat="1" ht="17.100000000000001" customHeight="1">
      <c r="B273" s="89"/>
      <c r="C273" s="90"/>
      <c r="D273" s="91"/>
      <c r="E273" s="92"/>
      <c r="F273" s="89"/>
      <c r="G273" s="89"/>
      <c r="H273" s="89"/>
      <c r="I273" s="89"/>
      <c r="J273" s="89"/>
      <c r="K273" s="89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</row>
    <row r="274" spans="2:23" s="14" customFormat="1" ht="17.100000000000001" customHeight="1">
      <c r="B274" s="89"/>
      <c r="C274" s="90"/>
      <c r="D274" s="91"/>
      <c r="E274" s="92"/>
      <c r="F274" s="89"/>
      <c r="G274" s="89"/>
      <c r="H274" s="89"/>
      <c r="I274" s="89"/>
      <c r="J274" s="89"/>
      <c r="K274" s="89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</row>
    <row r="275" spans="2:23" s="14" customFormat="1" ht="17.100000000000001" customHeight="1">
      <c r="B275" s="89"/>
      <c r="C275" s="90"/>
      <c r="D275" s="91"/>
      <c r="E275" s="92"/>
      <c r="F275" s="89"/>
      <c r="G275" s="89"/>
      <c r="H275" s="89"/>
      <c r="I275" s="89"/>
      <c r="J275" s="89"/>
      <c r="K275" s="89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</row>
    <row r="276" spans="2:23" s="14" customFormat="1" ht="17.100000000000001" customHeight="1">
      <c r="B276" s="89"/>
      <c r="C276" s="90"/>
      <c r="D276" s="91"/>
      <c r="E276" s="92"/>
      <c r="F276" s="89"/>
      <c r="G276" s="89"/>
      <c r="H276" s="89"/>
      <c r="I276" s="89"/>
      <c r="J276" s="89"/>
      <c r="K276" s="89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</row>
    <row r="277" spans="2:23" s="14" customFormat="1" ht="17.100000000000001" customHeight="1">
      <c r="B277" s="89"/>
      <c r="C277" s="90"/>
      <c r="D277" s="91"/>
      <c r="E277" s="92"/>
      <c r="F277" s="89"/>
      <c r="G277" s="89"/>
      <c r="H277" s="89"/>
      <c r="I277" s="89"/>
      <c r="J277" s="89"/>
      <c r="K277" s="89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</row>
    <row r="278" spans="2:23" s="14" customFormat="1" ht="17.100000000000001" customHeight="1">
      <c r="B278" s="89"/>
      <c r="C278" s="90"/>
      <c r="D278" s="91"/>
      <c r="E278" s="92"/>
      <c r="F278" s="89"/>
      <c r="G278" s="89"/>
      <c r="H278" s="89"/>
      <c r="I278" s="89"/>
      <c r="J278" s="89"/>
      <c r="K278" s="89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</row>
    <row r="279" spans="2:23" s="14" customFormat="1" ht="17.100000000000001" customHeight="1">
      <c r="B279" s="89"/>
      <c r="C279" s="90"/>
      <c r="D279" s="91"/>
      <c r="E279" s="92"/>
      <c r="F279" s="89"/>
      <c r="G279" s="89"/>
      <c r="H279" s="89"/>
      <c r="I279" s="89"/>
      <c r="J279" s="89"/>
      <c r="K279" s="89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</row>
    <row r="280" spans="2:23" s="14" customFormat="1" ht="17.100000000000001" customHeight="1">
      <c r="B280" s="89"/>
      <c r="C280" s="90"/>
      <c r="D280" s="91"/>
      <c r="E280" s="92"/>
      <c r="F280" s="89"/>
      <c r="G280" s="89"/>
      <c r="H280" s="89"/>
      <c r="I280" s="89"/>
      <c r="J280" s="89"/>
      <c r="K280" s="89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</row>
    <row r="281" spans="2:23" s="14" customFormat="1" ht="17.100000000000001" customHeight="1">
      <c r="B281" s="89"/>
      <c r="C281" s="90"/>
      <c r="D281" s="91"/>
      <c r="E281" s="92"/>
      <c r="F281" s="89"/>
      <c r="G281" s="89"/>
      <c r="H281" s="89"/>
      <c r="I281" s="89"/>
      <c r="J281" s="89"/>
      <c r="K281" s="89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</row>
    <row r="282" spans="2:23" s="14" customFormat="1" ht="17.100000000000001" customHeight="1">
      <c r="B282" s="89"/>
      <c r="C282" s="90"/>
      <c r="D282" s="91"/>
      <c r="E282" s="92"/>
      <c r="F282" s="89"/>
      <c r="G282" s="89"/>
      <c r="H282" s="89"/>
      <c r="I282" s="89"/>
      <c r="J282" s="89"/>
      <c r="K282" s="89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</row>
    <row r="283" spans="2:23" s="14" customFormat="1" ht="17.100000000000001" customHeight="1">
      <c r="B283" s="89"/>
      <c r="C283" s="90"/>
      <c r="D283" s="91"/>
      <c r="E283" s="92"/>
      <c r="F283" s="89"/>
      <c r="G283" s="89"/>
      <c r="H283" s="89"/>
      <c r="I283" s="89"/>
      <c r="J283" s="89"/>
      <c r="K283" s="89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</row>
    <row r="284" spans="2:23" s="14" customFormat="1" ht="17.100000000000001" customHeight="1">
      <c r="B284" s="89"/>
      <c r="C284" s="90"/>
      <c r="D284" s="91"/>
      <c r="E284" s="92"/>
      <c r="F284" s="89"/>
      <c r="G284" s="89"/>
      <c r="H284" s="89"/>
      <c r="I284" s="89"/>
      <c r="J284" s="89"/>
      <c r="K284" s="89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</row>
    <row r="285" spans="2:23" s="14" customFormat="1" ht="17.100000000000001" customHeight="1">
      <c r="B285" s="89"/>
      <c r="C285" s="90"/>
      <c r="D285" s="91"/>
      <c r="E285" s="92"/>
      <c r="F285" s="89"/>
      <c r="G285" s="89"/>
      <c r="H285" s="89"/>
      <c r="I285" s="89"/>
      <c r="J285" s="89"/>
      <c r="K285" s="89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</row>
    <row r="286" spans="2:23" s="14" customFormat="1" ht="17.100000000000001" customHeight="1">
      <c r="B286" s="89"/>
      <c r="C286" s="90"/>
      <c r="D286" s="91"/>
      <c r="E286" s="92"/>
      <c r="F286" s="89"/>
      <c r="G286" s="89"/>
      <c r="H286" s="89"/>
      <c r="I286" s="89"/>
      <c r="J286" s="89"/>
      <c r="K286" s="89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</row>
    <row r="287" spans="2:23" s="14" customFormat="1" ht="17.100000000000001" customHeight="1">
      <c r="B287" s="89"/>
      <c r="C287" s="90"/>
      <c r="D287" s="91"/>
      <c r="E287" s="92"/>
      <c r="F287" s="89"/>
      <c r="G287" s="89"/>
      <c r="H287" s="89"/>
      <c r="I287" s="89"/>
      <c r="J287" s="89"/>
      <c r="K287" s="89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</row>
    <row r="288" spans="2:23" s="14" customFormat="1" ht="17.100000000000001" customHeight="1">
      <c r="B288" s="89"/>
      <c r="C288" s="90"/>
      <c r="D288" s="91"/>
      <c r="E288" s="92"/>
      <c r="F288" s="89"/>
      <c r="G288" s="89"/>
      <c r="H288" s="89"/>
      <c r="I288" s="89"/>
      <c r="J288" s="89"/>
      <c r="K288" s="89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</row>
    <row r="289" spans="2:23" s="14" customFormat="1" ht="17.100000000000001" customHeight="1">
      <c r="B289" s="89"/>
      <c r="C289" s="90"/>
      <c r="D289" s="91"/>
      <c r="E289" s="92"/>
      <c r="F289" s="89"/>
      <c r="G289" s="89"/>
      <c r="H289" s="89"/>
      <c r="I289" s="89"/>
      <c r="J289" s="89"/>
      <c r="K289" s="89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</row>
    <row r="290" spans="2:23" s="14" customFormat="1" ht="17.100000000000001" customHeight="1">
      <c r="B290" s="89"/>
      <c r="C290" s="90"/>
      <c r="D290" s="91"/>
      <c r="E290" s="92"/>
      <c r="F290" s="89"/>
      <c r="G290" s="89"/>
      <c r="H290" s="89"/>
      <c r="I290" s="89"/>
      <c r="J290" s="89"/>
      <c r="K290" s="89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</row>
    <row r="291" spans="2:23" s="14" customFormat="1" ht="17.100000000000001" customHeight="1">
      <c r="B291" s="89"/>
      <c r="C291" s="90"/>
      <c r="D291" s="91"/>
      <c r="E291" s="92"/>
      <c r="F291" s="89"/>
      <c r="G291" s="89"/>
      <c r="H291" s="89"/>
      <c r="I291" s="89"/>
      <c r="J291" s="89"/>
      <c r="K291" s="89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</row>
    <row r="292" spans="2:23" s="14" customFormat="1" ht="17.100000000000001" customHeight="1">
      <c r="B292" s="89"/>
      <c r="C292" s="90"/>
      <c r="D292" s="91"/>
      <c r="E292" s="92"/>
      <c r="F292" s="89"/>
      <c r="G292" s="89"/>
      <c r="H292" s="89"/>
      <c r="I292" s="89"/>
      <c r="J292" s="89"/>
      <c r="K292" s="89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</row>
    <row r="293" spans="2:23" s="14" customFormat="1" ht="17.100000000000001" customHeight="1">
      <c r="B293" s="89"/>
      <c r="C293" s="90"/>
      <c r="D293" s="91"/>
      <c r="E293" s="92"/>
      <c r="F293" s="89"/>
      <c r="G293" s="89"/>
      <c r="H293" s="89"/>
      <c r="I293" s="89"/>
      <c r="J293" s="89"/>
      <c r="K293" s="89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</row>
    <row r="294" spans="2:23" s="14" customFormat="1" ht="17.100000000000001" customHeight="1">
      <c r="B294" s="89"/>
      <c r="C294" s="90"/>
      <c r="D294" s="91"/>
      <c r="E294" s="92"/>
      <c r="F294" s="89"/>
      <c r="G294" s="89"/>
      <c r="H294" s="89"/>
      <c r="I294" s="89"/>
      <c r="J294" s="89"/>
      <c r="K294" s="89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</row>
    <row r="295" spans="2:23" s="14" customFormat="1" ht="17.100000000000001" customHeight="1">
      <c r="B295" s="89"/>
      <c r="C295" s="90"/>
      <c r="D295" s="91"/>
      <c r="E295" s="92"/>
      <c r="F295" s="89"/>
      <c r="G295" s="89"/>
      <c r="H295" s="89"/>
      <c r="I295" s="89"/>
      <c r="J295" s="89"/>
      <c r="K295" s="89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</row>
    <row r="296" spans="2:23" s="14" customFormat="1" ht="17.100000000000001" customHeight="1">
      <c r="B296" s="89"/>
      <c r="C296" s="90"/>
      <c r="D296" s="91"/>
      <c r="E296" s="92"/>
      <c r="F296" s="89"/>
      <c r="G296" s="89"/>
      <c r="H296" s="89"/>
      <c r="I296" s="89"/>
      <c r="J296" s="89"/>
      <c r="K296" s="89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</row>
    <row r="297" spans="2:23" s="14" customFormat="1" ht="17.100000000000001" customHeight="1">
      <c r="B297" s="89"/>
      <c r="C297" s="90"/>
      <c r="D297" s="91"/>
      <c r="E297" s="92"/>
      <c r="F297" s="89"/>
      <c r="G297" s="89"/>
      <c r="H297" s="89"/>
      <c r="I297" s="89"/>
      <c r="J297" s="89"/>
      <c r="K297" s="89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</row>
    <row r="298" spans="2:23" s="14" customFormat="1" ht="17.100000000000001" customHeight="1">
      <c r="B298" s="89"/>
      <c r="C298" s="90"/>
      <c r="D298" s="91"/>
      <c r="E298" s="92"/>
      <c r="F298" s="89"/>
      <c r="G298" s="89"/>
      <c r="H298" s="89"/>
      <c r="I298" s="89"/>
      <c r="J298" s="89"/>
      <c r="K298" s="89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</row>
    <row r="299" spans="2:23" s="14" customFormat="1" ht="17.100000000000001" customHeight="1">
      <c r="B299" s="89"/>
      <c r="C299" s="90"/>
      <c r="D299" s="91"/>
      <c r="E299" s="92"/>
      <c r="F299" s="89"/>
      <c r="G299" s="89"/>
      <c r="H299" s="89"/>
      <c r="I299" s="89"/>
      <c r="J299" s="89"/>
      <c r="K299" s="89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</row>
    <row r="300" spans="2:23" s="14" customFormat="1" ht="17.100000000000001" customHeight="1">
      <c r="B300" s="89"/>
      <c r="C300" s="90"/>
      <c r="D300" s="91"/>
      <c r="E300" s="92"/>
      <c r="F300" s="89"/>
      <c r="G300" s="89"/>
      <c r="H300" s="89"/>
      <c r="I300" s="89"/>
      <c r="J300" s="89"/>
      <c r="K300" s="89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</row>
    <row r="301" spans="2:23" s="14" customFormat="1" ht="17.100000000000001" customHeight="1">
      <c r="B301" s="89"/>
      <c r="C301" s="90"/>
      <c r="D301" s="91"/>
      <c r="E301" s="92"/>
      <c r="F301" s="89"/>
      <c r="G301" s="89"/>
      <c r="H301" s="89"/>
      <c r="I301" s="89"/>
      <c r="J301" s="89"/>
      <c r="K301" s="89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</row>
    <row r="302" spans="2:23" s="14" customFormat="1" ht="17.100000000000001" customHeight="1">
      <c r="B302" s="89"/>
      <c r="C302" s="90"/>
      <c r="D302" s="91"/>
      <c r="E302" s="92"/>
      <c r="F302" s="89"/>
      <c r="G302" s="89"/>
      <c r="H302" s="89"/>
      <c r="I302" s="89"/>
      <c r="J302" s="89"/>
      <c r="K302" s="89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</row>
    <row r="303" spans="2:23" s="14" customFormat="1" ht="17.100000000000001" customHeight="1">
      <c r="B303" s="89"/>
      <c r="C303" s="90"/>
      <c r="D303" s="91"/>
      <c r="E303" s="92"/>
      <c r="F303" s="89"/>
      <c r="G303" s="89"/>
      <c r="H303" s="89"/>
      <c r="I303" s="89"/>
      <c r="J303" s="89"/>
      <c r="K303" s="89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</row>
    <row r="304" spans="2:23" s="14" customFormat="1" ht="17.100000000000001" customHeight="1">
      <c r="B304" s="89"/>
      <c r="C304" s="90"/>
      <c r="D304" s="91"/>
      <c r="E304" s="92"/>
      <c r="F304" s="89"/>
      <c r="G304" s="89"/>
      <c r="H304" s="89"/>
      <c r="I304" s="89"/>
      <c r="J304" s="89"/>
      <c r="K304" s="89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</row>
    <row r="305" spans="2:23" s="14" customFormat="1" ht="17.100000000000001" customHeight="1">
      <c r="B305" s="89"/>
      <c r="C305" s="90"/>
      <c r="D305" s="91"/>
      <c r="E305" s="92"/>
      <c r="F305" s="89"/>
      <c r="G305" s="89"/>
      <c r="H305" s="89"/>
      <c r="I305" s="89"/>
      <c r="J305" s="89"/>
      <c r="K305" s="89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</row>
    <row r="306" spans="2:23" s="14" customFormat="1" ht="17.100000000000001" customHeight="1">
      <c r="B306" s="89"/>
      <c r="C306" s="90"/>
      <c r="D306" s="91"/>
      <c r="E306" s="92"/>
      <c r="F306" s="89"/>
      <c r="G306" s="89"/>
      <c r="H306" s="89"/>
      <c r="I306" s="89"/>
      <c r="J306" s="89"/>
      <c r="K306" s="89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</row>
    <row r="307" spans="2:23" s="14" customFormat="1" ht="17.100000000000001" customHeight="1">
      <c r="B307" s="89"/>
      <c r="C307" s="90"/>
      <c r="D307" s="91"/>
      <c r="E307" s="92"/>
      <c r="F307" s="89"/>
      <c r="G307" s="89"/>
      <c r="H307" s="89"/>
      <c r="I307" s="89"/>
      <c r="J307" s="89"/>
      <c r="K307" s="89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</row>
    <row r="308" spans="2:23" s="14" customFormat="1" ht="17.100000000000001" customHeight="1">
      <c r="B308" s="89"/>
      <c r="C308" s="90"/>
      <c r="D308" s="91"/>
      <c r="E308" s="92"/>
      <c r="F308" s="89"/>
      <c r="G308" s="89"/>
      <c r="H308" s="89"/>
      <c r="I308" s="89"/>
      <c r="J308" s="89"/>
      <c r="K308" s="89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</row>
    <row r="309" spans="2:23" s="14" customFormat="1" ht="17.100000000000001" customHeight="1">
      <c r="B309" s="89"/>
      <c r="C309" s="90"/>
      <c r="D309" s="91"/>
      <c r="E309" s="92"/>
      <c r="F309" s="89"/>
      <c r="G309" s="89"/>
      <c r="H309" s="89"/>
      <c r="I309" s="89"/>
      <c r="J309" s="89"/>
      <c r="K309" s="89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</row>
    <row r="310" spans="2:23" s="14" customFormat="1" ht="17.100000000000001" customHeight="1">
      <c r="B310" s="89"/>
      <c r="C310" s="90"/>
      <c r="D310" s="91"/>
      <c r="E310" s="92"/>
      <c r="F310" s="89"/>
      <c r="G310" s="89"/>
      <c r="H310" s="89"/>
      <c r="I310" s="89"/>
      <c r="J310" s="89"/>
      <c r="K310" s="89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</row>
    <row r="311" spans="2:23" s="14" customFormat="1" ht="17.100000000000001" customHeight="1">
      <c r="B311" s="89"/>
      <c r="C311" s="90"/>
      <c r="D311" s="91"/>
      <c r="E311" s="92"/>
      <c r="F311" s="89"/>
      <c r="G311" s="89"/>
      <c r="H311" s="89"/>
      <c r="I311" s="89"/>
      <c r="J311" s="89"/>
      <c r="K311" s="89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</row>
    <row r="312" spans="2:23" s="14" customFormat="1" ht="17.100000000000001" customHeight="1">
      <c r="B312" s="89"/>
      <c r="C312" s="90"/>
      <c r="D312" s="91"/>
      <c r="E312" s="92"/>
      <c r="F312" s="89"/>
      <c r="G312" s="89"/>
      <c r="H312" s="89"/>
      <c r="I312" s="89"/>
      <c r="J312" s="89"/>
      <c r="K312" s="89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</row>
    <row r="313" spans="2:23" s="14" customFormat="1" ht="17.100000000000001" customHeight="1">
      <c r="B313" s="89"/>
      <c r="C313" s="90"/>
      <c r="D313" s="91"/>
      <c r="E313" s="92"/>
      <c r="F313" s="89"/>
      <c r="G313" s="89"/>
      <c r="H313" s="89"/>
      <c r="I313" s="89"/>
      <c r="J313" s="89"/>
      <c r="K313" s="89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</row>
    <row r="314" spans="2:23" s="14" customFormat="1" ht="17.100000000000001" customHeight="1">
      <c r="B314" s="89"/>
      <c r="C314" s="90"/>
      <c r="D314" s="91"/>
      <c r="E314" s="92"/>
      <c r="F314" s="89"/>
      <c r="G314" s="89"/>
      <c r="H314" s="89"/>
      <c r="I314" s="89"/>
      <c r="J314" s="89"/>
      <c r="K314" s="89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</row>
    <row r="315" spans="2:23" s="14" customFormat="1" ht="17.100000000000001" customHeight="1">
      <c r="B315" s="89"/>
      <c r="C315" s="90"/>
      <c r="D315" s="91"/>
      <c r="E315" s="92"/>
      <c r="F315" s="89"/>
      <c r="G315" s="89"/>
      <c r="H315" s="89"/>
      <c r="I315" s="89"/>
      <c r="J315" s="89"/>
      <c r="K315" s="89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</row>
    <row r="316" spans="2:23" s="14" customFormat="1" ht="17.100000000000001" customHeight="1">
      <c r="B316" s="89"/>
      <c r="C316" s="90"/>
      <c r="D316" s="91"/>
      <c r="E316" s="92"/>
      <c r="F316" s="89"/>
      <c r="G316" s="89"/>
      <c r="H316" s="89"/>
      <c r="I316" s="89"/>
      <c r="J316" s="89"/>
      <c r="K316" s="89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</row>
    <row r="317" spans="2:23" s="14" customFormat="1" ht="17.100000000000001" customHeight="1">
      <c r="B317" s="89"/>
      <c r="C317" s="90"/>
      <c r="D317" s="91"/>
      <c r="E317" s="92"/>
      <c r="F317" s="89"/>
      <c r="G317" s="89"/>
      <c r="H317" s="89"/>
      <c r="I317" s="89"/>
      <c r="J317" s="89"/>
      <c r="K317" s="89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</row>
    <row r="318" spans="2:23" s="14" customFormat="1" ht="17.100000000000001" customHeight="1">
      <c r="B318" s="89"/>
      <c r="C318" s="90"/>
      <c r="D318" s="91"/>
      <c r="E318" s="92"/>
      <c r="F318" s="89"/>
      <c r="G318" s="89"/>
      <c r="H318" s="89"/>
      <c r="I318" s="89"/>
      <c r="J318" s="89"/>
      <c r="K318" s="89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</row>
    <row r="319" spans="2:23" s="14" customFormat="1" ht="17.100000000000001" customHeight="1">
      <c r="B319" s="89"/>
      <c r="C319" s="90"/>
      <c r="D319" s="91"/>
      <c r="E319" s="92"/>
      <c r="F319" s="89"/>
      <c r="G319" s="89"/>
      <c r="H319" s="89"/>
      <c r="I319" s="89"/>
      <c r="J319" s="89"/>
      <c r="K319" s="89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</row>
    <row r="320" spans="2:23" s="14" customFormat="1" ht="17.100000000000001" customHeight="1">
      <c r="B320" s="89"/>
      <c r="C320" s="90"/>
      <c r="D320" s="91"/>
      <c r="E320" s="92"/>
      <c r="F320" s="89"/>
      <c r="G320" s="89"/>
      <c r="H320" s="89"/>
      <c r="I320" s="89"/>
      <c r="J320" s="89"/>
      <c r="K320" s="89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</row>
    <row r="321" spans="2:23" s="14" customFormat="1" ht="17.100000000000001" customHeight="1">
      <c r="B321" s="89"/>
      <c r="C321" s="90"/>
      <c r="D321" s="91"/>
      <c r="E321" s="92"/>
      <c r="F321" s="89"/>
      <c r="G321" s="89"/>
      <c r="H321" s="89"/>
      <c r="I321" s="89"/>
      <c r="J321" s="89"/>
      <c r="K321" s="89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</row>
    <row r="322" spans="2:23" s="14" customFormat="1" ht="17.100000000000001" customHeight="1">
      <c r="B322" s="89"/>
      <c r="C322" s="90"/>
      <c r="D322" s="91"/>
      <c r="E322" s="92"/>
      <c r="F322" s="89"/>
      <c r="G322" s="89"/>
      <c r="H322" s="89"/>
      <c r="I322" s="89"/>
      <c r="J322" s="89"/>
      <c r="K322" s="89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</row>
    <row r="323" spans="2:23" s="14" customFormat="1" ht="17.100000000000001" customHeight="1">
      <c r="B323" s="89"/>
      <c r="C323" s="90"/>
      <c r="D323" s="91"/>
      <c r="E323" s="92"/>
      <c r="F323" s="89"/>
      <c r="G323" s="89"/>
      <c r="H323" s="89"/>
      <c r="I323" s="89"/>
      <c r="J323" s="89"/>
      <c r="K323" s="89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</row>
    <row r="324" spans="2:23" s="14" customFormat="1" ht="17.100000000000001" customHeight="1">
      <c r="B324" s="89"/>
      <c r="C324" s="90"/>
      <c r="D324" s="91"/>
      <c r="E324" s="92"/>
      <c r="F324" s="89"/>
      <c r="G324" s="89"/>
      <c r="H324" s="89"/>
      <c r="I324" s="89"/>
      <c r="J324" s="89"/>
      <c r="K324" s="89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</row>
    <row r="325" spans="2:23" s="14" customFormat="1" ht="17.100000000000001" customHeight="1">
      <c r="B325" s="89"/>
      <c r="C325" s="90"/>
      <c r="D325" s="91"/>
      <c r="E325" s="92"/>
      <c r="F325" s="89"/>
      <c r="G325" s="89"/>
      <c r="H325" s="89"/>
      <c r="I325" s="89"/>
      <c r="J325" s="89"/>
      <c r="K325" s="89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</row>
    <row r="326" spans="2:23" s="14" customFormat="1" ht="17.100000000000001" customHeight="1">
      <c r="B326" s="89"/>
      <c r="C326" s="90"/>
      <c r="D326" s="91"/>
      <c r="E326" s="92"/>
      <c r="F326" s="89"/>
      <c r="G326" s="89"/>
      <c r="H326" s="89"/>
      <c r="I326" s="89"/>
      <c r="J326" s="89"/>
      <c r="K326" s="89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</row>
    <row r="327" spans="2:23" s="14" customFormat="1" ht="17.100000000000001" customHeight="1">
      <c r="B327" s="89"/>
      <c r="C327" s="90"/>
      <c r="D327" s="91"/>
      <c r="E327" s="92"/>
      <c r="F327" s="89"/>
      <c r="G327" s="89"/>
      <c r="H327" s="89"/>
      <c r="I327" s="89"/>
      <c r="J327" s="89"/>
      <c r="K327" s="89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</row>
    <row r="328" spans="2:23" s="14" customFormat="1" ht="17.100000000000001" customHeight="1">
      <c r="B328" s="89"/>
      <c r="C328" s="90"/>
      <c r="D328" s="91"/>
      <c r="E328" s="92"/>
      <c r="F328" s="89"/>
      <c r="G328" s="89"/>
      <c r="H328" s="89"/>
      <c r="I328" s="89"/>
      <c r="J328" s="89"/>
      <c r="K328" s="89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</row>
    <row r="329" spans="2:23" s="14" customFormat="1" ht="17.100000000000001" customHeight="1">
      <c r="B329" s="89"/>
      <c r="C329" s="90"/>
      <c r="D329" s="91"/>
      <c r="E329" s="92"/>
      <c r="F329" s="89"/>
      <c r="G329" s="89"/>
      <c r="H329" s="89"/>
      <c r="I329" s="89"/>
      <c r="J329" s="89"/>
      <c r="K329" s="89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</row>
    <row r="330" spans="2:23" s="14" customFormat="1" ht="17.100000000000001" customHeight="1">
      <c r="B330" s="89"/>
      <c r="C330" s="90"/>
      <c r="D330" s="91"/>
      <c r="E330" s="92"/>
      <c r="F330" s="89"/>
      <c r="G330" s="89"/>
      <c r="H330" s="89"/>
      <c r="I330" s="89"/>
      <c r="J330" s="89"/>
      <c r="K330" s="89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</row>
    <row r="331" spans="2:23" s="14" customFormat="1" ht="17.100000000000001" customHeight="1">
      <c r="B331" s="89"/>
      <c r="C331" s="90"/>
      <c r="D331" s="91"/>
      <c r="E331" s="92"/>
      <c r="F331" s="89"/>
      <c r="G331" s="89"/>
      <c r="H331" s="89"/>
      <c r="I331" s="89"/>
      <c r="J331" s="89"/>
      <c r="K331" s="89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</row>
    <row r="332" spans="2:23" s="14" customFormat="1" ht="17.100000000000001" customHeight="1">
      <c r="B332" s="89"/>
      <c r="C332" s="90"/>
      <c r="D332" s="91"/>
      <c r="E332" s="92"/>
      <c r="F332" s="89"/>
      <c r="G332" s="89"/>
      <c r="H332" s="89"/>
      <c r="I332" s="89"/>
      <c r="J332" s="89"/>
      <c r="K332" s="89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</row>
    <row r="333" spans="2:23" s="14" customFormat="1" ht="17.100000000000001" customHeight="1">
      <c r="B333" s="89"/>
      <c r="C333" s="90"/>
      <c r="D333" s="91"/>
      <c r="E333" s="92"/>
      <c r="F333" s="89"/>
      <c r="G333" s="89"/>
      <c r="H333" s="89"/>
      <c r="I333" s="89"/>
      <c r="J333" s="89"/>
      <c r="K333" s="89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</row>
    <row r="334" spans="2:23" s="14" customFormat="1" ht="17.100000000000001" customHeight="1">
      <c r="B334" s="89"/>
      <c r="C334" s="90"/>
      <c r="D334" s="91"/>
      <c r="E334" s="92"/>
      <c r="F334" s="89"/>
      <c r="G334" s="89"/>
      <c r="H334" s="89"/>
      <c r="I334" s="89"/>
      <c r="J334" s="89"/>
      <c r="K334" s="89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</row>
    <row r="335" spans="2:23" s="14" customFormat="1" ht="17.100000000000001" customHeight="1">
      <c r="B335" s="89"/>
      <c r="C335" s="90"/>
      <c r="D335" s="91"/>
      <c r="E335" s="92"/>
      <c r="F335" s="89"/>
      <c r="G335" s="89"/>
      <c r="H335" s="89"/>
      <c r="I335" s="89"/>
      <c r="J335" s="89"/>
      <c r="K335" s="89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</row>
    <row r="336" spans="2:23" s="14" customFormat="1" ht="17.100000000000001" customHeight="1">
      <c r="B336" s="89"/>
      <c r="C336" s="90"/>
      <c r="D336" s="91"/>
      <c r="E336" s="92"/>
      <c r="F336" s="89"/>
      <c r="G336" s="89"/>
      <c r="H336" s="89"/>
      <c r="I336" s="89"/>
      <c r="J336" s="89"/>
      <c r="K336" s="89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</row>
    <row r="337" spans="2:23" s="14" customFormat="1" ht="17.100000000000001" customHeight="1">
      <c r="B337" s="89"/>
      <c r="C337" s="90"/>
      <c r="D337" s="91"/>
      <c r="E337" s="92"/>
      <c r="F337" s="89"/>
      <c r="G337" s="89"/>
      <c r="H337" s="89"/>
      <c r="I337" s="89"/>
      <c r="J337" s="89"/>
      <c r="K337" s="89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</row>
    <row r="338" spans="2:23" s="14" customFormat="1" ht="17.100000000000001" customHeight="1">
      <c r="B338" s="89"/>
      <c r="C338" s="90"/>
      <c r="D338" s="91"/>
      <c r="E338" s="92"/>
      <c r="F338" s="89"/>
      <c r="G338" s="89"/>
      <c r="H338" s="89"/>
      <c r="I338" s="89"/>
      <c r="J338" s="89"/>
      <c r="K338" s="89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</row>
    <row r="339" spans="2:23" s="14" customFormat="1" ht="17.100000000000001" customHeight="1">
      <c r="B339" s="89"/>
      <c r="C339" s="90"/>
      <c r="D339" s="91"/>
      <c r="E339" s="92"/>
      <c r="F339" s="89"/>
      <c r="G339" s="89"/>
      <c r="H339" s="89"/>
      <c r="I339" s="89"/>
      <c r="J339" s="89"/>
      <c r="K339" s="89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</row>
    <row r="340" spans="2:23" s="14" customFormat="1" ht="17.100000000000001" customHeight="1">
      <c r="B340" s="89"/>
      <c r="C340" s="90"/>
      <c r="D340" s="91"/>
      <c r="E340" s="92"/>
      <c r="F340" s="89"/>
      <c r="G340" s="89"/>
      <c r="H340" s="89"/>
      <c r="I340" s="89"/>
      <c r="J340" s="89"/>
      <c r="K340" s="89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</row>
    <row r="341" spans="2:23" s="14" customFormat="1" ht="17.100000000000001" customHeight="1">
      <c r="B341" s="89"/>
      <c r="C341" s="90"/>
      <c r="D341" s="91"/>
      <c r="E341" s="92"/>
      <c r="F341" s="89"/>
      <c r="G341" s="89"/>
      <c r="H341" s="89"/>
      <c r="I341" s="89"/>
      <c r="J341" s="89"/>
      <c r="K341" s="89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</row>
    <row r="342" spans="2:23" s="14" customFormat="1" ht="17.100000000000001" customHeight="1">
      <c r="B342" s="89"/>
      <c r="C342" s="90"/>
      <c r="D342" s="91"/>
      <c r="E342" s="92"/>
      <c r="F342" s="89"/>
      <c r="G342" s="89"/>
      <c r="H342" s="89"/>
      <c r="I342" s="89"/>
      <c r="J342" s="89"/>
      <c r="K342" s="89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</row>
    <row r="343" spans="2:23" s="14" customFormat="1" ht="17.100000000000001" customHeight="1">
      <c r="B343" s="89"/>
      <c r="C343" s="90"/>
      <c r="D343" s="91"/>
      <c r="E343" s="92"/>
      <c r="F343" s="89"/>
      <c r="G343" s="89"/>
      <c r="H343" s="89"/>
      <c r="I343" s="89"/>
      <c r="J343" s="89"/>
      <c r="K343" s="89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</row>
    <row r="344" spans="2:23" s="14" customFormat="1" ht="17.100000000000001" customHeight="1">
      <c r="B344" s="89"/>
      <c r="C344" s="90"/>
      <c r="D344" s="91"/>
      <c r="E344" s="92"/>
      <c r="F344" s="89"/>
      <c r="G344" s="89"/>
      <c r="H344" s="89"/>
      <c r="I344" s="89"/>
      <c r="J344" s="89"/>
      <c r="K344" s="89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</row>
    <row r="345" spans="2:23" s="14" customFormat="1" ht="17.100000000000001" customHeight="1">
      <c r="B345" s="89"/>
      <c r="C345" s="90"/>
      <c r="D345" s="91"/>
      <c r="E345" s="92"/>
      <c r="F345" s="89"/>
      <c r="G345" s="89"/>
      <c r="H345" s="89"/>
      <c r="I345" s="89"/>
      <c r="J345" s="89"/>
      <c r="K345" s="89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</row>
    <row r="346" spans="2:23" s="14" customFormat="1" ht="17.100000000000001" customHeight="1">
      <c r="B346" s="89"/>
      <c r="C346" s="90"/>
      <c r="D346" s="91"/>
      <c r="E346" s="92"/>
      <c r="F346" s="89"/>
      <c r="G346" s="89"/>
      <c r="H346" s="89"/>
      <c r="I346" s="89"/>
      <c r="J346" s="89"/>
      <c r="K346" s="89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</row>
    <row r="347" spans="2:23" s="14" customFormat="1" ht="17.100000000000001" customHeight="1">
      <c r="B347" s="89"/>
      <c r="C347" s="90"/>
      <c r="D347" s="91"/>
      <c r="E347" s="92"/>
      <c r="F347" s="89"/>
      <c r="G347" s="89"/>
      <c r="H347" s="89"/>
      <c r="I347" s="89"/>
      <c r="J347" s="89"/>
      <c r="K347" s="89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</row>
    <row r="348" spans="2:23" s="14" customFormat="1" ht="17.100000000000001" customHeight="1">
      <c r="B348" s="89"/>
      <c r="C348" s="90"/>
      <c r="D348" s="91"/>
      <c r="E348" s="92"/>
      <c r="F348" s="89"/>
      <c r="G348" s="89"/>
      <c r="H348" s="89"/>
      <c r="I348" s="89"/>
      <c r="J348" s="89"/>
      <c r="K348" s="89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</row>
    <row r="349" spans="2:23" s="14" customFormat="1" ht="17.100000000000001" customHeight="1">
      <c r="B349" s="89"/>
      <c r="C349" s="90"/>
      <c r="D349" s="91"/>
      <c r="E349" s="92"/>
      <c r="F349" s="89"/>
      <c r="G349" s="89"/>
      <c r="H349" s="89"/>
      <c r="I349" s="89"/>
      <c r="J349" s="89"/>
      <c r="K349" s="89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</row>
    <row r="350" spans="2:23" s="14" customFormat="1" ht="17.100000000000001" customHeight="1">
      <c r="B350" s="89"/>
      <c r="C350" s="90"/>
      <c r="D350" s="91"/>
      <c r="E350" s="92"/>
      <c r="F350" s="89"/>
      <c r="G350" s="89"/>
      <c r="H350" s="89"/>
      <c r="I350" s="89"/>
      <c r="J350" s="89"/>
      <c r="K350" s="89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</row>
    <row r="351" spans="2:23" s="14" customFormat="1" ht="17.100000000000001" customHeight="1">
      <c r="B351" s="89"/>
      <c r="C351" s="90"/>
      <c r="D351" s="91"/>
      <c r="E351" s="92"/>
      <c r="F351" s="89"/>
      <c r="G351" s="89"/>
      <c r="H351" s="89"/>
      <c r="I351" s="89"/>
      <c r="J351" s="89"/>
      <c r="K351" s="89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</row>
    <row r="352" spans="2:23" s="14" customFormat="1" ht="17.100000000000001" customHeight="1">
      <c r="B352" s="89"/>
      <c r="C352" s="90"/>
      <c r="D352" s="91"/>
      <c r="E352" s="92"/>
      <c r="F352" s="89"/>
      <c r="G352" s="89"/>
      <c r="H352" s="89"/>
      <c r="I352" s="89"/>
      <c r="J352" s="89"/>
      <c r="K352" s="89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</row>
    <row r="353" spans="2:23" s="14" customFormat="1" ht="17.100000000000001" customHeight="1">
      <c r="B353" s="89"/>
      <c r="C353" s="90"/>
      <c r="D353" s="91"/>
      <c r="E353" s="92"/>
      <c r="F353" s="89"/>
      <c r="G353" s="89"/>
      <c r="H353" s="89"/>
      <c r="I353" s="89"/>
      <c r="J353" s="89"/>
      <c r="K353" s="89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</row>
    <row r="354" spans="2:23" s="14" customFormat="1" ht="17.100000000000001" customHeight="1">
      <c r="B354" s="89"/>
      <c r="C354" s="90"/>
      <c r="D354" s="91"/>
      <c r="E354" s="92"/>
      <c r="F354" s="89"/>
      <c r="G354" s="89"/>
      <c r="H354" s="89"/>
      <c r="I354" s="89"/>
      <c r="J354" s="89"/>
      <c r="K354" s="89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</row>
    <row r="355" spans="2:23" s="14" customFormat="1" ht="17.100000000000001" customHeight="1">
      <c r="B355" s="89"/>
      <c r="C355" s="90"/>
      <c r="D355" s="91"/>
      <c r="E355" s="92"/>
      <c r="F355" s="89"/>
      <c r="G355" s="89"/>
      <c r="H355" s="89"/>
      <c r="I355" s="89"/>
      <c r="J355" s="89"/>
      <c r="K355" s="89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</row>
    <row r="356" spans="2:23" s="14" customFormat="1" ht="17.100000000000001" customHeight="1">
      <c r="B356" s="89"/>
      <c r="C356" s="90"/>
      <c r="D356" s="91"/>
      <c r="E356" s="92"/>
      <c r="F356" s="89"/>
      <c r="G356" s="89"/>
      <c r="H356" s="89"/>
      <c r="I356" s="89"/>
      <c r="J356" s="89"/>
      <c r="K356" s="89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</row>
    <row r="357" spans="2:23" s="14" customFormat="1" ht="17.100000000000001" customHeight="1">
      <c r="B357" s="89"/>
      <c r="C357" s="90"/>
      <c r="D357" s="91"/>
      <c r="E357" s="92"/>
      <c r="F357" s="89"/>
      <c r="G357" s="89"/>
      <c r="H357" s="89"/>
      <c r="I357" s="89"/>
      <c r="J357" s="89"/>
      <c r="K357" s="89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</row>
    <row r="358" spans="2:23" s="14" customFormat="1" ht="17.100000000000001" customHeight="1">
      <c r="B358" s="89"/>
      <c r="C358" s="90"/>
      <c r="D358" s="91"/>
      <c r="E358" s="92"/>
      <c r="F358" s="89"/>
      <c r="G358" s="89"/>
      <c r="H358" s="89"/>
      <c r="I358" s="89"/>
      <c r="J358" s="89"/>
      <c r="K358" s="89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</row>
    <row r="359" spans="2:23" s="14" customFormat="1" ht="17.100000000000001" customHeight="1">
      <c r="B359" s="89"/>
      <c r="C359" s="90"/>
      <c r="D359" s="91"/>
      <c r="E359" s="92"/>
      <c r="F359" s="89"/>
      <c r="G359" s="89"/>
      <c r="H359" s="89"/>
      <c r="I359" s="89"/>
      <c r="J359" s="89"/>
      <c r="K359" s="89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</row>
    <row r="360" spans="2:23" s="14" customFormat="1" ht="17.100000000000001" customHeight="1">
      <c r="B360" s="89"/>
      <c r="C360" s="90"/>
      <c r="D360" s="91"/>
      <c r="E360" s="92"/>
      <c r="F360" s="89"/>
      <c r="G360" s="89"/>
      <c r="H360" s="89"/>
      <c r="I360" s="89"/>
      <c r="J360" s="89"/>
      <c r="K360" s="89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</row>
    <row r="361" spans="2:23" s="14" customFormat="1" ht="17.100000000000001" customHeight="1">
      <c r="B361" s="89"/>
      <c r="C361" s="90"/>
      <c r="D361" s="91"/>
      <c r="E361" s="92"/>
      <c r="F361" s="89"/>
      <c r="G361" s="89"/>
      <c r="H361" s="89"/>
      <c r="I361" s="89"/>
      <c r="J361" s="89"/>
      <c r="K361" s="89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</row>
    <row r="362" spans="2:23" s="14" customFormat="1" ht="17.100000000000001" customHeight="1">
      <c r="B362" s="89"/>
      <c r="C362" s="90"/>
      <c r="D362" s="91"/>
      <c r="E362" s="92"/>
      <c r="F362" s="89"/>
      <c r="G362" s="89"/>
      <c r="H362" s="89"/>
      <c r="I362" s="89"/>
      <c r="J362" s="89"/>
      <c r="K362" s="89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</row>
    <row r="363" spans="2:23" s="14" customFormat="1" ht="17.100000000000001" customHeight="1">
      <c r="B363" s="89"/>
      <c r="C363" s="90"/>
      <c r="D363" s="91"/>
      <c r="E363" s="92"/>
      <c r="F363" s="89"/>
      <c r="G363" s="89"/>
      <c r="H363" s="89"/>
      <c r="I363" s="89"/>
      <c r="J363" s="89"/>
      <c r="K363" s="89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</row>
    <row r="364" spans="2:23" s="14" customFormat="1" ht="17.100000000000001" customHeight="1">
      <c r="B364" s="89"/>
      <c r="C364" s="90"/>
      <c r="D364" s="91"/>
      <c r="E364" s="92"/>
      <c r="F364" s="89"/>
      <c r="G364" s="89"/>
      <c r="H364" s="89"/>
      <c r="I364" s="89"/>
      <c r="J364" s="89"/>
      <c r="K364" s="89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</row>
    <row r="365" spans="2:23" s="14" customFormat="1" ht="17.100000000000001" customHeight="1">
      <c r="B365" s="89"/>
      <c r="C365" s="90"/>
      <c r="D365" s="91"/>
      <c r="E365" s="92"/>
      <c r="F365" s="89"/>
      <c r="G365" s="89"/>
      <c r="H365" s="89"/>
      <c r="I365" s="89"/>
      <c r="J365" s="89"/>
      <c r="K365" s="89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</row>
    <row r="366" spans="2:23" s="14" customFormat="1" ht="17.100000000000001" customHeight="1">
      <c r="B366" s="89"/>
      <c r="C366" s="90"/>
      <c r="D366" s="91"/>
      <c r="E366" s="92"/>
      <c r="F366" s="89"/>
      <c r="G366" s="89"/>
      <c r="H366" s="89"/>
      <c r="I366" s="89"/>
      <c r="J366" s="89"/>
      <c r="K366" s="89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</row>
    <row r="367" spans="2:23" s="14" customFormat="1" ht="17.100000000000001" customHeight="1">
      <c r="B367" s="89"/>
      <c r="C367" s="90"/>
      <c r="D367" s="91"/>
      <c r="E367" s="92"/>
      <c r="F367" s="89"/>
      <c r="G367" s="89"/>
      <c r="H367" s="89"/>
      <c r="I367" s="89"/>
      <c r="J367" s="89"/>
      <c r="K367" s="89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</row>
    <row r="368" spans="2:23" s="14" customFormat="1" ht="17.100000000000001" customHeight="1">
      <c r="B368" s="89"/>
      <c r="C368" s="90"/>
      <c r="D368" s="91"/>
      <c r="E368" s="92"/>
      <c r="F368" s="89"/>
      <c r="G368" s="89"/>
      <c r="H368" s="89"/>
      <c r="I368" s="89"/>
      <c r="J368" s="89"/>
      <c r="K368" s="89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</row>
    <row r="369" spans="2:23" s="14" customFormat="1" ht="17.100000000000001" customHeight="1">
      <c r="B369" s="89"/>
      <c r="C369" s="90"/>
      <c r="D369" s="91"/>
      <c r="E369" s="92"/>
      <c r="F369" s="89"/>
      <c r="G369" s="89"/>
      <c r="H369" s="89"/>
      <c r="I369" s="89"/>
      <c r="J369" s="89"/>
      <c r="K369" s="89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</row>
    <row r="370" spans="2:23" s="14" customFormat="1" ht="17.100000000000001" customHeight="1">
      <c r="B370" s="89"/>
      <c r="C370" s="90"/>
      <c r="D370" s="91"/>
      <c r="E370" s="92"/>
      <c r="F370" s="89"/>
      <c r="G370" s="89"/>
      <c r="H370" s="89"/>
      <c r="I370" s="89"/>
      <c r="J370" s="89"/>
      <c r="K370" s="89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</row>
    <row r="371" spans="2:23" s="14" customFormat="1" ht="17.100000000000001" customHeight="1">
      <c r="B371" s="89"/>
      <c r="C371" s="90"/>
      <c r="D371" s="91"/>
      <c r="E371" s="92"/>
      <c r="F371" s="89"/>
      <c r="G371" s="89"/>
      <c r="H371" s="89"/>
      <c r="I371" s="89"/>
      <c r="J371" s="89"/>
      <c r="K371" s="89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</row>
    <row r="372" spans="2:23" s="14" customFormat="1" ht="17.100000000000001" customHeight="1">
      <c r="B372" s="89"/>
      <c r="C372" s="90"/>
      <c r="D372" s="91"/>
      <c r="E372" s="92"/>
      <c r="F372" s="89"/>
      <c r="G372" s="89"/>
      <c r="H372" s="89"/>
      <c r="I372" s="89"/>
      <c r="J372" s="89"/>
      <c r="K372" s="89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</row>
    <row r="373" spans="2:23" s="14" customFormat="1" ht="17.100000000000001" customHeight="1">
      <c r="B373" s="89"/>
      <c r="C373" s="90"/>
      <c r="D373" s="91"/>
      <c r="E373" s="92"/>
      <c r="F373" s="89"/>
      <c r="G373" s="89"/>
      <c r="H373" s="89"/>
      <c r="I373" s="89"/>
      <c r="J373" s="89"/>
      <c r="K373" s="89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</row>
    <row r="374" spans="2:23" s="14" customFormat="1" ht="17.100000000000001" customHeight="1">
      <c r="B374" s="89"/>
      <c r="C374" s="90"/>
      <c r="D374" s="91"/>
      <c r="E374" s="92"/>
      <c r="F374" s="89"/>
      <c r="G374" s="89"/>
      <c r="H374" s="89"/>
      <c r="I374" s="89"/>
      <c r="J374" s="89"/>
      <c r="K374" s="89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</row>
    <row r="375" spans="2:23" s="14" customFormat="1" ht="17.100000000000001" customHeight="1">
      <c r="B375" s="89"/>
      <c r="C375" s="90"/>
      <c r="D375" s="91"/>
      <c r="E375" s="92"/>
      <c r="F375" s="89"/>
      <c r="G375" s="89"/>
      <c r="H375" s="89"/>
      <c r="I375" s="89"/>
      <c r="J375" s="89"/>
      <c r="K375" s="89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</row>
    <row r="376" spans="2:23" s="14" customFormat="1" ht="17.100000000000001" customHeight="1">
      <c r="B376" s="89"/>
      <c r="C376" s="90"/>
      <c r="D376" s="91"/>
      <c r="E376" s="92"/>
      <c r="F376" s="89"/>
      <c r="G376" s="89"/>
      <c r="H376" s="89"/>
      <c r="I376" s="89"/>
      <c r="J376" s="89"/>
      <c r="K376" s="89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</row>
    <row r="377" spans="2:23" s="14" customFormat="1" ht="17.100000000000001" customHeight="1">
      <c r="B377" s="89"/>
      <c r="C377" s="90"/>
      <c r="D377" s="91"/>
      <c r="E377" s="92"/>
      <c r="F377" s="89"/>
      <c r="G377" s="89"/>
      <c r="H377" s="89"/>
      <c r="I377" s="89"/>
      <c r="J377" s="89"/>
      <c r="K377" s="89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</row>
    <row r="378" spans="2:23" s="14" customFormat="1" ht="17.100000000000001" customHeight="1">
      <c r="B378" s="89"/>
      <c r="C378" s="90"/>
      <c r="D378" s="91"/>
      <c r="E378" s="92"/>
      <c r="F378" s="89"/>
      <c r="G378" s="89"/>
      <c r="H378" s="89"/>
      <c r="I378" s="89"/>
      <c r="J378" s="89"/>
      <c r="K378" s="89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</row>
    <row r="379" spans="2:23" s="14" customFormat="1" ht="17.100000000000001" customHeight="1">
      <c r="B379" s="89"/>
      <c r="C379" s="90"/>
      <c r="D379" s="91"/>
      <c r="E379" s="92"/>
      <c r="F379" s="89"/>
      <c r="G379" s="89"/>
      <c r="H379" s="89"/>
      <c r="I379" s="89"/>
      <c r="J379" s="89"/>
      <c r="K379" s="89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</row>
    <row r="380" spans="2:23" s="14" customFormat="1" ht="17.100000000000001" customHeight="1">
      <c r="B380" s="89"/>
      <c r="C380" s="90"/>
      <c r="D380" s="91"/>
      <c r="E380" s="92"/>
      <c r="F380" s="89"/>
      <c r="G380" s="89"/>
      <c r="H380" s="89"/>
      <c r="I380" s="89"/>
      <c r="J380" s="89"/>
      <c r="K380" s="89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</row>
    <row r="381" spans="2:23" s="14" customFormat="1" ht="17.100000000000001" customHeight="1">
      <c r="B381" s="89"/>
      <c r="C381" s="90"/>
      <c r="D381" s="91"/>
      <c r="E381" s="92"/>
      <c r="F381" s="89"/>
      <c r="G381" s="89"/>
      <c r="H381" s="89"/>
      <c r="I381" s="89"/>
      <c r="J381" s="89"/>
      <c r="K381" s="89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</row>
    <row r="382" spans="2:23" s="14" customFormat="1" ht="17.100000000000001" customHeight="1">
      <c r="B382" s="89"/>
      <c r="C382" s="90"/>
      <c r="D382" s="91"/>
      <c r="E382" s="92"/>
      <c r="F382" s="89"/>
      <c r="G382" s="89"/>
      <c r="H382" s="89"/>
      <c r="I382" s="89"/>
      <c r="J382" s="89"/>
      <c r="K382" s="89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</row>
    <row r="383" spans="2:23" s="14" customFormat="1" ht="17.100000000000001" customHeight="1">
      <c r="B383" s="89"/>
      <c r="C383" s="90"/>
      <c r="D383" s="91"/>
      <c r="E383" s="92"/>
      <c r="F383" s="89"/>
      <c r="G383" s="89"/>
      <c r="H383" s="89"/>
      <c r="I383" s="89"/>
      <c r="J383" s="89"/>
      <c r="K383" s="89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</row>
    <row r="384" spans="2:23" s="14" customFormat="1" ht="17.100000000000001" customHeight="1">
      <c r="B384" s="89"/>
      <c r="C384" s="90"/>
      <c r="D384" s="91"/>
      <c r="E384" s="92"/>
      <c r="F384" s="89"/>
      <c r="G384" s="89"/>
      <c r="H384" s="89"/>
      <c r="I384" s="89"/>
      <c r="J384" s="89"/>
      <c r="K384" s="89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</row>
    <row r="385" spans="2:23" s="14" customFormat="1" ht="17.100000000000001" customHeight="1">
      <c r="B385" s="89"/>
      <c r="C385" s="90"/>
      <c r="D385" s="91"/>
      <c r="E385" s="92"/>
      <c r="F385" s="89"/>
      <c r="G385" s="89"/>
      <c r="H385" s="89"/>
      <c r="I385" s="89"/>
      <c r="J385" s="89"/>
      <c r="K385" s="89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</row>
    <row r="386" spans="2:23" s="14" customFormat="1" ht="17.100000000000001" customHeight="1">
      <c r="B386" s="89"/>
      <c r="C386" s="90"/>
      <c r="D386" s="91"/>
      <c r="E386" s="92"/>
      <c r="F386" s="89"/>
      <c r="G386" s="89"/>
      <c r="H386" s="89"/>
      <c r="I386" s="89"/>
      <c r="J386" s="89"/>
      <c r="K386" s="89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</row>
    <row r="387" spans="2:23" s="14" customFormat="1" ht="17.100000000000001" customHeight="1">
      <c r="B387" s="89"/>
      <c r="C387" s="90"/>
      <c r="D387" s="91"/>
      <c r="E387" s="92"/>
      <c r="F387" s="89"/>
      <c r="G387" s="89"/>
      <c r="H387" s="89"/>
      <c r="I387" s="89"/>
      <c r="J387" s="89"/>
      <c r="K387" s="89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</row>
    <row r="388" spans="2:23" s="14" customFormat="1" ht="17.100000000000001" customHeight="1">
      <c r="B388" s="89"/>
      <c r="C388" s="90"/>
      <c r="D388" s="91"/>
      <c r="E388" s="92"/>
      <c r="F388" s="89"/>
      <c r="G388" s="89"/>
      <c r="H388" s="89"/>
      <c r="I388" s="89"/>
      <c r="J388" s="89"/>
      <c r="K388" s="89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</row>
    <row r="389" spans="2:23" s="14" customFormat="1" ht="17.100000000000001" customHeight="1">
      <c r="B389" s="89"/>
      <c r="C389" s="90"/>
      <c r="D389" s="91"/>
      <c r="E389" s="92"/>
      <c r="F389" s="89"/>
      <c r="G389" s="89"/>
      <c r="H389" s="89"/>
      <c r="I389" s="89"/>
      <c r="J389" s="89"/>
      <c r="K389" s="89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</row>
    <row r="390" spans="2:23" s="14" customFormat="1" ht="17.100000000000001" customHeight="1">
      <c r="B390" s="89"/>
      <c r="C390" s="90"/>
      <c r="D390" s="91"/>
      <c r="E390" s="92"/>
      <c r="F390" s="89"/>
      <c r="G390" s="89"/>
      <c r="H390" s="89"/>
      <c r="I390" s="89"/>
      <c r="J390" s="89"/>
      <c r="K390" s="89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</row>
    <row r="391" spans="2:23" s="14" customFormat="1" ht="17.100000000000001" customHeight="1">
      <c r="B391" s="89"/>
      <c r="C391" s="90"/>
      <c r="D391" s="91"/>
      <c r="E391" s="92"/>
      <c r="F391" s="89"/>
      <c r="G391" s="89"/>
      <c r="H391" s="89"/>
      <c r="I391" s="89"/>
      <c r="J391" s="89"/>
      <c r="K391" s="89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</row>
    <row r="392" spans="2:23" s="14" customFormat="1" ht="17.100000000000001" customHeight="1">
      <c r="B392" s="89"/>
      <c r="C392" s="90"/>
      <c r="D392" s="91"/>
      <c r="E392" s="92"/>
      <c r="F392" s="89"/>
      <c r="G392" s="89"/>
      <c r="H392" s="89"/>
      <c r="I392" s="89"/>
      <c r="J392" s="89"/>
      <c r="K392" s="89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</row>
    <row r="393" spans="2:23" s="14" customFormat="1" ht="17.100000000000001" customHeight="1">
      <c r="B393" s="89"/>
      <c r="C393" s="90"/>
      <c r="D393" s="91"/>
      <c r="E393" s="92"/>
      <c r="F393" s="89"/>
      <c r="G393" s="89"/>
      <c r="H393" s="89"/>
      <c r="I393" s="89"/>
      <c r="J393" s="89"/>
      <c r="K393" s="89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</row>
    <row r="394" spans="2:23" s="14" customFormat="1" ht="17.100000000000001" customHeight="1">
      <c r="B394" s="89"/>
      <c r="C394" s="90"/>
      <c r="D394" s="91"/>
      <c r="E394" s="92"/>
      <c r="F394" s="89"/>
      <c r="G394" s="89"/>
      <c r="H394" s="89"/>
      <c r="I394" s="89"/>
      <c r="J394" s="89"/>
      <c r="K394" s="89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</row>
    <row r="395" spans="2:23" s="14" customFormat="1" ht="17.100000000000001" customHeight="1">
      <c r="B395" s="89"/>
      <c r="C395" s="90"/>
      <c r="D395" s="91"/>
      <c r="E395" s="92"/>
      <c r="F395" s="89"/>
      <c r="G395" s="89"/>
      <c r="H395" s="89"/>
      <c r="I395" s="89"/>
      <c r="J395" s="89"/>
      <c r="K395" s="89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</row>
    <row r="396" spans="2:23" s="14" customFormat="1" ht="17.100000000000001" customHeight="1">
      <c r="B396" s="89"/>
      <c r="C396" s="90"/>
      <c r="D396" s="91"/>
      <c r="E396" s="92"/>
      <c r="F396" s="89"/>
      <c r="G396" s="89"/>
      <c r="H396" s="89"/>
      <c r="I396" s="89"/>
      <c r="J396" s="89"/>
      <c r="K396" s="89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</row>
    <row r="397" spans="2:23" s="14" customFormat="1" ht="17.100000000000001" customHeight="1">
      <c r="B397" s="89"/>
      <c r="C397" s="90"/>
      <c r="D397" s="91"/>
      <c r="E397" s="92"/>
      <c r="F397" s="89"/>
      <c r="G397" s="89"/>
      <c r="H397" s="89"/>
      <c r="I397" s="89"/>
      <c r="J397" s="89"/>
      <c r="K397" s="89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</row>
    <row r="398" spans="2:23" s="14" customFormat="1" ht="17.100000000000001" customHeight="1">
      <c r="B398" s="89"/>
      <c r="C398" s="90"/>
      <c r="D398" s="91"/>
      <c r="E398" s="92"/>
      <c r="F398" s="89"/>
      <c r="G398" s="89"/>
      <c r="H398" s="89"/>
      <c r="I398" s="89"/>
      <c r="J398" s="89"/>
      <c r="K398" s="89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</row>
    <row r="399" spans="2:23" s="14" customFormat="1" ht="17.100000000000001" customHeight="1">
      <c r="B399" s="89"/>
      <c r="C399" s="90"/>
      <c r="D399" s="91"/>
      <c r="E399" s="92"/>
      <c r="F399" s="89"/>
      <c r="G399" s="89"/>
      <c r="H399" s="89"/>
      <c r="I399" s="89"/>
      <c r="J399" s="89"/>
      <c r="K399" s="89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</row>
    <row r="400" spans="2:23" s="14" customFormat="1" ht="17.100000000000001" customHeight="1">
      <c r="B400" s="89"/>
      <c r="C400" s="90"/>
      <c r="D400" s="91"/>
      <c r="E400" s="92"/>
      <c r="F400" s="89"/>
      <c r="G400" s="89"/>
      <c r="H400" s="89"/>
      <c r="I400" s="89"/>
      <c r="J400" s="89"/>
      <c r="K400" s="89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</row>
    <row r="401" spans="2:23" s="14" customFormat="1" ht="17.100000000000001" customHeight="1">
      <c r="B401" s="89"/>
      <c r="C401" s="90"/>
      <c r="D401" s="91"/>
      <c r="E401" s="92"/>
      <c r="F401" s="89"/>
      <c r="G401" s="89"/>
      <c r="H401" s="89"/>
      <c r="I401" s="89"/>
      <c r="J401" s="89"/>
      <c r="K401" s="89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</row>
    <row r="402" spans="2:23" s="14" customFormat="1" ht="17.100000000000001" customHeight="1">
      <c r="B402" s="89"/>
      <c r="C402" s="90"/>
      <c r="D402" s="91"/>
      <c r="E402" s="92"/>
      <c r="F402" s="89"/>
      <c r="G402" s="89"/>
      <c r="H402" s="89"/>
      <c r="I402" s="89"/>
      <c r="J402" s="89"/>
      <c r="K402" s="89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</row>
    <row r="403" spans="2:23" s="14" customFormat="1" ht="17.100000000000001" customHeight="1">
      <c r="B403" s="89"/>
      <c r="C403" s="90"/>
      <c r="D403" s="91"/>
      <c r="E403" s="92"/>
      <c r="F403" s="89"/>
      <c r="G403" s="89"/>
      <c r="H403" s="89"/>
      <c r="I403" s="89"/>
      <c r="J403" s="89"/>
      <c r="K403" s="89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</row>
    <row r="404" spans="2:23" s="14" customFormat="1" ht="17.100000000000001" customHeight="1">
      <c r="B404" s="89"/>
      <c r="C404" s="90"/>
      <c r="D404" s="91"/>
      <c r="E404" s="92"/>
      <c r="F404" s="89"/>
      <c r="G404" s="89"/>
      <c r="H404" s="89"/>
      <c r="I404" s="89"/>
      <c r="J404" s="89"/>
      <c r="K404" s="89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</row>
    <row r="405" spans="2:23" s="14" customFormat="1" ht="17.100000000000001" customHeight="1">
      <c r="B405" s="89"/>
      <c r="C405" s="90"/>
      <c r="D405" s="91"/>
      <c r="E405" s="92"/>
      <c r="F405" s="89"/>
      <c r="G405" s="89"/>
      <c r="H405" s="89"/>
      <c r="I405" s="89"/>
      <c r="J405" s="89"/>
      <c r="K405" s="89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</row>
    <row r="406" spans="2:23" s="14" customFormat="1" ht="17.100000000000001" customHeight="1">
      <c r="B406" s="89"/>
      <c r="C406" s="90"/>
      <c r="D406" s="91"/>
      <c r="E406" s="92"/>
      <c r="F406" s="89"/>
      <c r="G406" s="89"/>
      <c r="H406" s="89"/>
      <c r="I406" s="89"/>
      <c r="J406" s="89"/>
      <c r="K406" s="89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</row>
    <row r="407" spans="2:23" s="14" customFormat="1" ht="17.100000000000001" customHeight="1">
      <c r="B407" s="89"/>
      <c r="C407" s="90"/>
      <c r="D407" s="91"/>
      <c r="E407" s="92"/>
      <c r="F407" s="89"/>
      <c r="G407" s="89"/>
      <c r="H407" s="89"/>
      <c r="I407" s="89"/>
      <c r="J407" s="89"/>
      <c r="K407" s="89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</row>
    <row r="408" spans="2:23" s="14" customFormat="1" ht="17.100000000000001" customHeight="1">
      <c r="B408" s="89"/>
      <c r="C408" s="90"/>
      <c r="D408" s="91"/>
      <c r="E408" s="92"/>
      <c r="F408" s="89"/>
      <c r="G408" s="89"/>
      <c r="H408" s="89"/>
      <c r="I408" s="89"/>
      <c r="J408" s="89"/>
      <c r="K408" s="89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</row>
    <row r="409" spans="2:23" s="14" customFormat="1" ht="17.100000000000001" customHeight="1">
      <c r="B409" s="89"/>
      <c r="C409" s="90"/>
      <c r="D409" s="91"/>
      <c r="E409" s="92"/>
      <c r="F409" s="89"/>
      <c r="G409" s="89"/>
      <c r="H409" s="89"/>
      <c r="I409" s="89"/>
      <c r="J409" s="89"/>
      <c r="K409" s="89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</row>
    <row r="410" spans="2:23" s="14" customFormat="1" ht="17.100000000000001" customHeight="1">
      <c r="B410" s="89"/>
      <c r="C410" s="90"/>
      <c r="D410" s="91"/>
      <c r="E410" s="92"/>
      <c r="F410" s="89"/>
      <c r="G410" s="89"/>
      <c r="H410" s="89"/>
      <c r="I410" s="89"/>
      <c r="J410" s="89"/>
      <c r="K410" s="89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</row>
    <row r="411" spans="2:23" s="14" customFormat="1" ht="17.100000000000001" customHeight="1">
      <c r="B411" s="89"/>
      <c r="C411" s="90"/>
      <c r="D411" s="91"/>
      <c r="E411" s="92"/>
      <c r="F411" s="89"/>
      <c r="G411" s="89"/>
      <c r="H411" s="89"/>
      <c r="I411" s="89"/>
      <c r="J411" s="89"/>
      <c r="K411" s="89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</row>
    <row r="412" spans="2:23" s="14" customFormat="1" ht="17.100000000000001" customHeight="1">
      <c r="B412" s="89"/>
      <c r="C412" s="90"/>
      <c r="D412" s="91"/>
      <c r="E412" s="92"/>
      <c r="F412" s="89"/>
      <c r="G412" s="89"/>
      <c r="H412" s="89"/>
      <c r="I412" s="89"/>
      <c r="J412" s="89"/>
      <c r="K412" s="89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</row>
    <row r="413" spans="2:23" s="14" customFormat="1" ht="17.100000000000001" customHeight="1">
      <c r="B413" s="89"/>
      <c r="C413" s="90"/>
      <c r="D413" s="91"/>
      <c r="E413" s="92"/>
      <c r="F413" s="89"/>
      <c r="G413" s="89"/>
      <c r="H413" s="89"/>
      <c r="I413" s="89"/>
      <c r="J413" s="89"/>
      <c r="K413" s="89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</row>
    <row r="414" spans="2:23" s="14" customFormat="1" ht="17.100000000000001" customHeight="1">
      <c r="B414" s="89"/>
      <c r="C414" s="90"/>
      <c r="D414" s="91"/>
      <c r="E414" s="92"/>
      <c r="F414" s="89"/>
      <c r="G414" s="89"/>
      <c r="H414" s="89"/>
      <c r="I414" s="89"/>
      <c r="J414" s="89"/>
      <c r="K414" s="89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</row>
    <row r="415" spans="2:23" s="14" customFormat="1" ht="17.100000000000001" customHeight="1">
      <c r="B415" s="89"/>
      <c r="C415" s="90"/>
      <c r="D415" s="91"/>
      <c r="E415" s="92"/>
      <c r="F415" s="89"/>
      <c r="G415" s="89"/>
      <c r="H415" s="89"/>
      <c r="I415" s="89"/>
      <c r="J415" s="89"/>
      <c r="K415" s="89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</row>
    <row r="416" spans="2:23" s="14" customFormat="1" ht="17.100000000000001" customHeight="1">
      <c r="B416" s="89"/>
      <c r="C416" s="90"/>
      <c r="D416" s="91"/>
      <c r="E416" s="92"/>
      <c r="F416" s="89"/>
      <c r="G416" s="89"/>
      <c r="H416" s="89"/>
      <c r="I416" s="89"/>
      <c r="J416" s="89"/>
      <c r="K416" s="89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</row>
    <row r="417" spans="2:23" s="14" customFormat="1" ht="17.100000000000001" customHeight="1">
      <c r="B417" s="89"/>
      <c r="C417" s="90"/>
      <c r="D417" s="91"/>
      <c r="E417" s="92"/>
      <c r="F417" s="89"/>
      <c r="G417" s="89"/>
      <c r="H417" s="89"/>
      <c r="I417" s="89"/>
      <c r="J417" s="89"/>
      <c r="K417" s="89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</row>
    <row r="418" spans="2:23" s="14" customFormat="1" ht="17.100000000000001" customHeight="1">
      <c r="B418" s="89"/>
      <c r="C418" s="90"/>
      <c r="D418" s="91"/>
      <c r="E418" s="92"/>
      <c r="F418" s="89"/>
      <c r="G418" s="89"/>
      <c r="H418" s="89"/>
      <c r="I418" s="89"/>
      <c r="J418" s="89"/>
      <c r="K418" s="89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</row>
    <row r="419" spans="2:23" s="14" customFormat="1" ht="17.100000000000001" customHeight="1">
      <c r="B419" s="89"/>
      <c r="C419" s="90"/>
      <c r="D419" s="91"/>
      <c r="E419" s="92"/>
      <c r="F419" s="89"/>
      <c r="G419" s="89"/>
      <c r="H419" s="89"/>
      <c r="I419" s="89"/>
      <c r="J419" s="89"/>
      <c r="K419" s="89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</row>
    <row r="420" spans="2:23" s="14" customFormat="1" ht="17.100000000000001" customHeight="1">
      <c r="B420" s="89"/>
      <c r="C420" s="90"/>
      <c r="D420" s="91"/>
      <c r="E420" s="92"/>
      <c r="F420" s="89"/>
      <c r="G420" s="89"/>
      <c r="H420" s="89"/>
      <c r="I420" s="89"/>
      <c r="J420" s="89"/>
      <c r="K420" s="89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</row>
    <row r="421" spans="2:23" s="14" customFormat="1" ht="17.100000000000001" customHeight="1">
      <c r="B421" s="89"/>
      <c r="C421" s="90"/>
      <c r="D421" s="91"/>
      <c r="E421" s="92"/>
      <c r="F421" s="89"/>
      <c r="G421" s="89"/>
      <c r="H421" s="89"/>
      <c r="I421" s="89"/>
      <c r="J421" s="89"/>
      <c r="K421" s="89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</row>
    <row r="422" spans="2:23" s="14" customFormat="1" ht="17.100000000000001" customHeight="1">
      <c r="B422" s="89"/>
      <c r="C422" s="90"/>
      <c r="D422" s="91"/>
      <c r="E422" s="92"/>
      <c r="F422" s="89"/>
      <c r="G422" s="89"/>
      <c r="H422" s="89"/>
      <c r="I422" s="89"/>
      <c r="J422" s="89"/>
      <c r="K422" s="89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</row>
    <row r="423" spans="2:23" s="14" customFormat="1" ht="17.100000000000001" customHeight="1">
      <c r="B423" s="89"/>
      <c r="C423" s="90"/>
      <c r="D423" s="91"/>
      <c r="E423" s="92"/>
      <c r="F423" s="89"/>
      <c r="G423" s="89"/>
      <c r="H423" s="89"/>
      <c r="I423" s="89"/>
      <c r="J423" s="89"/>
      <c r="K423" s="89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</row>
    <row r="424" spans="2:23" s="14" customFormat="1" ht="17.100000000000001" customHeight="1">
      <c r="B424" s="89"/>
      <c r="C424" s="90"/>
      <c r="D424" s="91"/>
      <c r="E424" s="92"/>
      <c r="F424" s="89"/>
      <c r="G424" s="89"/>
      <c r="H424" s="89"/>
      <c r="I424" s="89"/>
      <c r="J424" s="89"/>
      <c r="K424" s="89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</row>
    <row r="425" spans="2:23" s="14" customFormat="1" ht="17.100000000000001" customHeight="1">
      <c r="B425" s="89"/>
      <c r="C425" s="90"/>
      <c r="D425" s="91"/>
      <c r="E425" s="92"/>
      <c r="F425" s="89"/>
      <c r="G425" s="89"/>
      <c r="H425" s="89"/>
      <c r="I425" s="89"/>
      <c r="J425" s="89"/>
      <c r="K425" s="89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</row>
    <row r="426" spans="2:23" s="14" customFormat="1" ht="17.100000000000001" customHeight="1">
      <c r="B426" s="89"/>
      <c r="C426" s="90"/>
      <c r="D426" s="91"/>
      <c r="E426" s="92"/>
      <c r="F426" s="89"/>
      <c r="G426" s="89"/>
      <c r="H426" s="89"/>
      <c r="I426" s="89"/>
      <c r="J426" s="89"/>
      <c r="K426" s="89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</row>
    <row r="427" spans="2:23" s="14" customFormat="1" ht="17.100000000000001" customHeight="1">
      <c r="B427" s="89"/>
      <c r="C427" s="90"/>
      <c r="D427" s="91"/>
      <c r="E427" s="92"/>
      <c r="F427" s="89"/>
      <c r="G427" s="89"/>
      <c r="H427" s="89"/>
      <c r="I427" s="89"/>
      <c r="J427" s="89"/>
      <c r="K427" s="89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</row>
    <row r="428" spans="2:23" s="14" customFormat="1" ht="17.100000000000001" customHeight="1">
      <c r="B428" s="89"/>
      <c r="C428" s="90"/>
      <c r="D428" s="91"/>
      <c r="E428" s="92"/>
      <c r="F428" s="89"/>
      <c r="G428" s="89"/>
      <c r="H428" s="89"/>
      <c r="I428" s="89"/>
      <c r="J428" s="89"/>
      <c r="K428" s="89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</row>
    <row r="429" spans="2:23" s="14" customFormat="1" ht="17.100000000000001" customHeight="1">
      <c r="B429" s="89"/>
      <c r="C429" s="90"/>
      <c r="D429" s="91"/>
      <c r="E429" s="92"/>
      <c r="F429" s="89"/>
      <c r="G429" s="89"/>
      <c r="H429" s="89"/>
      <c r="I429" s="89"/>
      <c r="J429" s="89"/>
      <c r="K429" s="89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</row>
    <row r="430" spans="2:23" s="14" customFormat="1" ht="17.100000000000001" customHeight="1">
      <c r="B430" s="89"/>
      <c r="C430" s="90"/>
      <c r="D430" s="91"/>
      <c r="E430" s="92"/>
      <c r="F430" s="89"/>
      <c r="G430" s="89"/>
      <c r="H430" s="89"/>
      <c r="I430" s="89"/>
      <c r="J430" s="89"/>
      <c r="K430" s="89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</row>
    <row r="431" spans="2:23" s="14" customFormat="1" ht="17.100000000000001" customHeight="1">
      <c r="B431" s="89"/>
      <c r="C431" s="90"/>
      <c r="D431" s="91"/>
      <c r="E431" s="92"/>
      <c r="F431" s="89"/>
      <c r="G431" s="89"/>
      <c r="H431" s="89"/>
      <c r="I431" s="89"/>
      <c r="J431" s="89"/>
      <c r="K431" s="89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</row>
    <row r="432" spans="2:23" s="14" customFormat="1" ht="17.100000000000001" customHeight="1">
      <c r="B432" s="89"/>
      <c r="C432" s="90"/>
      <c r="D432" s="91"/>
      <c r="E432" s="92"/>
      <c r="F432" s="89"/>
      <c r="G432" s="89"/>
      <c r="H432" s="89"/>
      <c r="I432" s="89"/>
      <c r="J432" s="89"/>
      <c r="K432" s="89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</row>
    <row r="433" spans="2:23" s="14" customFormat="1" ht="17.100000000000001" customHeight="1">
      <c r="B433" s="89"/>
      <c r="C433" s="90"/>
      <c r="D433" s="91"/>
      <c r="E433" s="92"/>
      <c r="F433" s="89"/>
      <c r="G433" s="89"/>
      <c r="H433" s="89"/>
      <c r="I433" s="89"/>
      <c r="J433" s="89"/>
      <c r="K433" s="89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</row>
    <row r="434" spans="2:23" s="14" customFormat="1" ht="17.100000000000001" customHeight="1">
      <c r="B434" s="89"/>
      <c r="C434" s="90"/>
      <c r="D434" s="91"/>
      <c r="E434" s="92"/>
      <c r="F434" s="89"/>
      <c r="G434" s="89"/>
      <c r="H434" s="89"/>
      <c r="I434" s="89"/>
      <c r="J434" s="89"/>
      <c r="K434" s="89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</row>
    <row r="435" spans="2:23" s="14" customFormat="1" ht="17.100000000000001" customHeight="1">
      <c r="B435" s="89"/>
      <c r="C435" s="90"/>
      <c r="D435" s="91"/>
      <c r="E435" s="92"/>
      <c r="F435" s="89"/>
      <c r="G435" s="89"/>
      <c r="H435" s="89"/>
      <c r="I435" s="89"/>
      <c r="J435" s="89"/>
      <c r="K435" s="89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</row>
    <row r="436" spans="2:23" s="14" customFormat="1" ht="17.100000000000001" customHeight="1">
      <c r="B436" s="89"/>
      <c r="C436" s="90"/>
      <c r="D436" s="91"/>
      <c r="E436" s="92"/>
      <c r="F436" s="89"/>
      <c r="G436" s="89"/>
      <c r="H436" s="89"/>
      <c r="I436" s="89"/>
      <c r="J436" s="89"/>
      <c r="K436" s="89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</row>
    <row r="437" spans="2:23" s="14" customFormat="1" ht="17.100000000000001" customHeight="1">
      <c r="B437" s="89"/>
      <c r="C437" s="90"/>
      <c r="D437" s="91"/>
      <c r="E437" s="92"/>
      <c r="F437" s="89"/>
      <c r="G437" s="89"/>
      <c r="H437" s="89"/>
      <c r="I437" s="89"/>
      <c r="J437" s="89"/>
      <c r="K437" s="89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</row>
    <row r="438" spans="2:23" s="14" customFormat="1" ht="17.100000000000001" customHeight="1">
      <c r="B438" s="89"/>
      <c r="C438" s="90"/>
      <c r="D438" s="91"/>
      <c r="E438" s="92"/>
      <c r="F438" s="89"/>
      <c r="G438" s="89"/>
      <c r="H438" s="89"/>
      <c r="I438" s="89"/>
      <c r="J438" s="89"/>
      <c r="K438" s="89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</row>
    <row r="439" spans="2:23" s="14" customFormat="1" ht="17.100000000000001" customHeight="1">
      <c r="B439" s="89"/>
      <c r="C439" s="90"/>
      <c r="D439" s="91"/>
      <c r="E439" s="92"/>
      <c r="F439" s="89"/>
      <c r="G439" s="89"/>
      <c r="H439" s="89"/>
      <c r="I439" s="89"/>
      <c r="J439" s="89"/>
      <c r="K439" s="89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</row>
    <row r="440" spans="2:23" s="14" customFormat="1" ht="17.100000000000001" customHeight="1">
      <c r="B440" s="89"/>
      <c r="C440" s="90"/>
      <c r="D440" s="91"/>
      <c r="E440" s="92"/>
      <c r="F440" s="89"/>
      <c r="G440" s="89"/>
      <c r="H440" s="89"/>
      <c r="I440" s="89"/>
      <c r="J440" s="89"/>
      <c r="K440" s="89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</row>
    <row r="441" spans="2:23" s="14" customFormat="1" ht="17.100000000000001" customHeight="1">
      <c r="B441" s="89"/>
      <c r="C441" s="90"/>
      <c r="D441" s="91"/>
      <c r="E441" s="92"/>
      <c r="F441" s="89"/>
      <c r="G441" s="89"/>
      <c r="H441" s="89"/>
      <c r="I441" s="89"/>
      <c r="J441" s="89"/>
      <c r="K441" s="89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</row>
    <row r="442" spans="2:23" s="14" customFormat="1" ht="17.100000000000001" customHeight="1">
      <c r="B442" s="89"/>
      <c r="C442" s="90"/>
      <c r="D442" s="91"/>
      <c r="E442" s="92"/>
      <c r="F442" s="89"/>
      <c r="G442" s="89"/>
      <c r="H442" s="89"/>
      <c r="I442" s="89"/>
      <c r="J442" s="89"/>
      <c r="K442" s="89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</row>
    <row r="443" spans="2:23" s="14" customFormat="1" ht="17.100000000000001" customHeight="1">
      <c r="B443" s="89"/>
      <c r="C443" s="90"/>
      <c r="D443" s="91"/>
      <c r="E443" s="92"/>
      <c r="F443" s="89"/>
      <c r="G443" s="89"/>
      <c r="H443" s="89"/>
      <c r="I443" s="89"/>
      <c r="J443" s="89"/>
      <c r="K443" s="89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</row>
    <row r="444" spans="2:23" s="14" customFormat="1" ht="17.100000000000001" customHeight="1">
      <c r="B444" s="89"/>
      <c r="C444" s="90"/>
      <c r="D444" s="91"/>
      <c r="E444" s="92"/>
      <c r="F444" s="89"/>
      <c r="G444" s="89"/>
      <c r="H444" s="89"/>
      <c r="I444" s="89"/>
      <c r="J444" s="89"/>
      <c r="K444" s="89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</row>
    <row r="445" spans="2:23" s="14" customFormat="1" ht="17.100000000000001" customHeight="1">
      <c r="B445" s="89"/>
      <c r="C445" s="90"/>
      <c r="D445" s="91"/>
      <c r="E445" s="92"/>
      <c r="F445" s="89"/>
      <c r="G445" s="89"/>
      <c r="H445" s="89"/>
      <c r="I445" s="89"/>
      <c r="J445" s="89"/>
      <c r="K445" s="89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</row>
    <row r="446" spans="2:23" s="14" customFormat="1" ht="17.100000000000001" customHeight="1">
      <c r="B446" s="89"/>
      <c r="C446" s="90"/>
      <c r="D446" s="91"/>
      <c r="E446" s="92"/>
      <c r="F446" s="89"/>
      <c r="G446" s="89"/>
      <c r="H446" s="89"/>
      <c r="I446" s="89"/>
      <c r="J446" s="89"/>
      <c r="K446" s="89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</row>
    <row r="447" spans="2:23" s="14" customFormat="1" ht="17.100000000000001" customHeight="1">
      <c r="B447" s="89"/>
      <c r="C447" s="90"/>
      <c r="D447" s="91"/>
      <c r="E447" s="92"/>
      <c r="F447" s="89"/>
      <c r="G447" s="89"/>
      <c r="H447" s="89"/>
      <c r="I447" s="89"/>
      <c r="J447" s="89"/>
      <c r="K447" s="89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</row>
    <row r="448" spans="2:23" s="14" customFormat="1" ht="17.100000000000001" customHeight="1">
      <c r="B448" s="89"/>
      <c r="C448" s="90"/>
      <c r="D448" s="91"/>
      <c r="E448" s="92"/>
      <c r="F448" s="89"/>
      <c r="G448" s="89"/>
      <c r="H448" s="89"/>
      <c r="I448" s="89"/>
      <c r="J448" s="89"/>
      <c r="K448" s="89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</row>
    <row r="449" spans="2:23" s="14" customFormat="1" ht="17.100000000000001" customHeight="1">
      <c r="B449" s="89"/>
      <c r="C449" s="90"/>
      <c r="D449" s="91"/>
      <c r="E449" s="92"/>
      <c r="F449" s="89"/>
      <c r="G449" s="89"/>
      <c r="H449" s="89"/>
      <c r="I449" s="89"/>
      <c r="J449" s="89"/>
      <c r="K449" s="89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</row>
    <row r="450" spans="2:23" s="14" customFormat="1" ht="17.100000000000001" customHeight="1">
      <c r="B450" s="89"/>
      <c r="C450" s="90"/>
      <c r="D450" s="91"/>
      <c r="E450" s="92"/>
      <c r="F450" s="89"/>
      <c r="G450" s="89"/>
      <c r="H450" s="89"/>
      <c r="I450" s="89"/>
      <c r="J450" s="89"/>
      <c r="K450" s="89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</row>
    <row r="451" spans="2:23" s="14" customFormat="1" ht="17.100000000000001" customHeight="1">
      <c r="B451" s="89"/>
      <c r="C451" s="90"/>
      <c r="D451" s="91"/>
      <c r="E451" s="92"/>
      <c r="F451" s="89"/>
      <c r="G451" s="89"/>
      <c r="H451" s="89"/>
      <c r="I451" s="89"/>
      <c r="J451" s="89"/>
      <c r="K451" s="89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</row>
    <row r="452" spans="2:23" s="14" customFormat="1" ht="17.100000000000001" customHeight="1">
      <c r="B452" s="89"/>
      <c r="C452" s="90"/>
      <c r="D452" s="91"/>
      <c r="E452" s="92"/>
      <c r="F452" s="89"/>
      <c r="G452" s="89"/>
      <c r="H452" s="89"/>
      <c r="I452" s="89"/>
      <c r="J452" s="89"/>
      <c r="K452" s="89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</row>
    <row r="453" spans="2:23" s="14" customFormat="1" ht="17.100000000000001" customHeight="1">
      <c r="B453" s="89"/>
      <c r="C453" s="90"/>
      <c r="D453" s="91"/>
      <c r="E453" s="92"/>
      <c r="F453" s="89"/>
      <c r="G453" s="89"/>
      <c r="H453" s="89"/>
      <c r="I453" s="89"/>
      <c r="J453" s="89"/>
      <c r="K453" s="89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</row>
    <row r="454" spans="2:23" s="14" customFormat="1" ht="17.100000000000001" customHeight="1">
      <c r="B454" s="89"/>
      <c r="C454" s="90"/>
      <c r="D454" s="91"/>
      <c r="E454" s="92"/>
      <c r="F454" s="89"/>
      <c r="G454" s="89"/>
      <c r="H454" s="89"/>
      <c r="I454" s="89"/>
      <c r="J454" s="89"/>
      <c r="K454" s="89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</row>
    <row r="455" spans="2:23" s="14" customFormat="1" ht="17.100000000000001" customHeight="1">
      <c r="B455" s="89"/>
      <c r="C455" s="90"/>
      <c r="D455" s="91"/>
      <c r="E455" s="92"/>
      <c r="F455" s="89"/>
      <c r="G455" s="89"/>
      <c r="H455" s="89"/>
      <c r="I455" s="89"/>
      <c r="J455" s="89"/>
      <c r="K455" s="89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</row>
    <row r="456" spans="2:23" s="14" customFormat="1" ht="17.100000000000001" customHeight="1">
      <c r="B456" s="89"/>
      <c r="C456" s="90"/>
      <c r="D456" s="91"/>
      <c r="E456" s="92"/>
      <c r="F456" s="89"/>
      <c r="G456" s="89"/>
      <c r="H456" s="89"/>
      <c r="I456" s="89"/>
      <c r="J456" s="89"/>
      <c r="K456" s="89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</row>
    <row r="457" spans="2:23" s="14" customFormat="1" ht="17.100000000000001" customHeight="1">
      <c r="B457" s="89"/>
      <c r="C457" s="90"/>
      <c r="D457" s="91"/>
      <c r="E457" s="92"/>
      <c r="F457" s="89"/>
      <c r="G457" s="89"/>
      <c r="H457" s="89"/>
      <c r="I457" s="89"/>
      <c r="J457" s="89"/>
      <c r="K457" s="89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</row>
    <row r="458" spans="2:23" s="14" customFormat="1" ht="17.100000000000001" customHeight="1">
      <c r="B458" s="89"/>
      <c r="C458" s="90"/>
      <c r="D458" s="91"/>
      <c r="E458" s="92"/>
      <c r="F458" s="89"/>
      <c r="G458" s="89"/>
      <c r="H458" s="89"/>
      <c r="I458" s="89"/>
      <c r="J458" s="89"/>
      <c r="K458" s="89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</row>
    <row r="459" spans="2:23" s="14" customFormat="1" ht="17.100000000000001" customHeight="1">
      <c r="B459" s="89"/>
      <c r="C459" s="90"/>
      <c r="D459" s="91"/>
      <c r="E459" s="92"/>
      <c r="F459" s="89"/>
      <c r="G459" s="89"/>
      <c r="H459" s="89"/>
      <c r="I459" s="89"/>
      <c r="J459" s="89"/>
      <c r="K459" s="89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</row>
    <row r="460" spans="2:23" s="14" customFormat="1" ht="17.100000000000001" customHeight="1">
      <c r="B460" s="89"/>
      <c r="C460" s="90"/>
      <c r="D460" s="91"/>
      <c r="E460" s="92"/>
      <c r="F460" s="89"/>
      <c r="G460" s="89"/>
      <c r="H460" s="89"/>
      <c r="I460" s="89"/>
      <c r="J460" s="89"/>
      <c r="K460" s="89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</row>
    <row r="461" spans="2:23" s="14" customFormat="1" ht="17.100000000000001" customHeight="1">
      <c r="B461" s="89"/>
      <c r="C461" s="90"/>
      <c r="D461" s="91"/>
      <c r="E461" s="92"/>
      <c r="F461" s="89"/>
      <c r="G461" s="89"/>
      <c r="H461" s="89"/>
      <c r="I461" s="89"/>
      <c r="J461" s="89"/>
      <c r="K461" s="89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</row>
    <row r="462" spans="2:23" s="14" customFormat="1" ht="17.100000000000001" customHeight="1">
      <c r="B462" s="89"/>
      <c r="C462" s="90"/>
      <c r="D462" s="91"/>
      <c r="E462" s="92"/>
      <c r="F462" s="89"/>
      <c r="G462" s="89"/>
      <c r="H462" s="89"/>
      <c r="I462" s="89"/>
      <c r="J462" s="89"/>
      <c r="K462" s="89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</row>
    <row r="463" spans="2:23" s="14" customFormat="1" ht="17.100000000000001" customHeight="1">
      <c r="B463" s="89"/>
      <c r="C463" s="90"/>
      <c r="D463" s="91"/>
      <c r="E463" s="92"/>
      <c r="F463" s="89"/>
      <c r="G463" s="89"/>
      <c r="H463" s="89"/>
      <c r="I463" s="89"/>
      <c r="J463" s="89"/>
      <c r="K463" s="89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</row>
    <row r="464" spans="2:23" s="14" customFormat="1" ht="17.100000000000001" customHeight="1">
      <c r="B464" s="89"/>
      <c r="C464" s="90"/>
      <c r="D464" s="91"/>
      <c r="E464" s="92"/>
      <c r="F464" s="89"/>
      <c r="G464" s="89"/>
      <c r="H464" s="89"/>
      <c r="I464" s="89"/>
      <c r="J464" s="89"/>
      <c r="K464" s="89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</row>
    <row r="465" spans="2:23" s="14" customFormat="1" ht="17.100000000000001" customHeight="1">
      <c r="B465" s="89"/>
      <c r="C465" s="90"/>
      <c r="D465" s="91"/>
      <c r="E465" s="92"/>
      <c r="F465" s="89"/>
      <c r="G465" s="89"/>
      <c r="H465" s="89"/>
      <c r="I465" s="89"/>
      <c r="J465" s="89"/>
      <c r="K465" s="89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</row>
    <row r="466" spans="2:23" s="14" customFormat="1" ht="17.100000000000001" customHeight="1">
      <c r="B466" s="89"/>
      <c r="C466" s="90"/>
      <c r="D466" s="91"/>
      <c r="E466" s="92"/>
      <c r="F466" s="89"/>
      <c r="G466" s="89"/>
      <c r="H466" s="89"/>
      <c r="I466" s="89"/>
      <c r="J466" s="89"/>
      <c r="K466" s="89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</row>
    <row r="467" spans="2:23" s="14" customFormat="1" ht="17.100000000000001" customHeight="1">
      <c r="B467" s="89"/>
      <c r="C467" s="90"/>
      <c r="D467" s="91"/>
      <c r="E467" s="92"/>
      <c r="F467" s="89"/>
      <c r="G467" s="89"/>
      <c r="H467" s="89"/>
      <c r="I467" s="89"/>
      <c r="J467" s="89"/>
      <c r="K467" s="89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</row>
    <row r="468" spans="2:23" s="14" customFormat="1" ht="17.100000000000001" customHeight="1">
      <c r="B468" s="89"/>
      <c r="C468" s="90"/>
      <c r="D468" s="91"/>
      <c r="E468" s="92"/>
      <c r="F468" s="89"/>
      <c r="G468" s="89"/>
      <c r="H468" s="89"/>
      <c r="I468" s="89"/>
      <c r="J468" s="89"/>
      <c r="K468" s="89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</row>
    <row r="469" spans="2:23" s="14" customFormat="1" ht="17.100000000000001" customHeight="1">
      <c r="B469" s="89"/>
      <c r="C469" s="90"/>
      <c r="D469" s="91"/>
      <c r="E469" s="92"/>
      <c r="F469" s="89"/>
      <c r="G469" s="89"/>
      <c r="H469" s="89"/>
      <c r="I469" s="89"/>
      <c r="J469" s="89"/>
      <c r="K469" s="89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</row>
    <row r="470" spans="2:23" s="14" customFormat="1" ht="17.100000000000001" customHeight="1">
      <c r="B470" s="89"/>
      <c r="C470" s="90"/>
      <c r="D470" s="91"/>
      <c r="E470" s="92"/>
      <c r="F470" s="89"/>
      <c r="G470" s="89"/>
      <c r="H470" s="89"/>
      <c r="I470" s="89"/>
      <c r="J470" s="89"/>
      <c r="K470" s="89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</row>
    <row r="471" spans="2:23" s="14" customFormat="1" ht="17.100000000000001" customHeight="1">
      <c r="B471" s="89"/>
      <c r="C471" s="90"/>
      <c r="D471" s="91"/>
      <c r="E471" s="92"/>
      <c r="F471" s="89"/>
      <c r="G471" s="89"/>
      <c r="H471" s="89"/>
      <c r="I471" s="89"/>
      <c r="J471" s="89"/>
      <c r="K471" s="89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</row>
    <row r="472" spans="2:23" s="14" customFormat="1" ht="17.100000000000001" customHeight="1">
      <c r="B472" s="89"/>
      <c r="C472" s="90"/>
      <c r="D472" s="91"/>
      <c r="E472" s="92"/>
      <c r="F472" s="89"/>
      <c r="G472" s="89"/>
      <c r="H472" s="89"/>
      <c r="I472" s="89"/>
      <c r="J472" s="89"/>
      <c r="K472" s="89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</row>
    <row r="473" spans="2:23" s="14" customFormat="1" ht="17.100000000000001" customHeight="1">
      <c r="B473" s="89"/>
      <c r="C473" s="90"/>
      <c r="D473" s="91"/>
      <c r="E473" s="92"/>
      <c r="F473" s="89"/>
      <c r="G473" s="89"/>
      <c r="H473" s="89"/>
      <c r="I473" s="89"/>
      <c r="J473" s="89"/>
      <c r="K473" s="89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</row>
    <row r="474" spans="2:23" s="14" customFormat="1" ht="17.100000000000001" customHeight="1">
      <c r="B474" s="89"/>
      <c r="C474" s="90"/>
      <c r="D474" s="91"/>
      <c r="E474" s="92"/>
      <c r="F474" s="89"/>
      <c r="G474" s="89"/>
      <c r="H474" s="89"/>
      <c r="I474" s="89"/>
      <c r="J474" s="89"/>
      <c r="K474" s="89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</row>
    <row r="475" spans="2:23" s="14" customFormat="1" ht="17.100000000000001" customHeight="1">
      <c r="B475" s="89"/>
      <c r="C475" s="90"/>
      <c r="D475" s="91"/>
      <c r="E475" s="92"/>
      <c r="F475" s="89"/>
      <c r="G475" s="89"/>
      <c r="H475" s="89"/>
      <c r="I475" s="89"/>
      <c r="J475" s="89"/>
      <c r="K475" s="89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</row>
    <row r="476" spans="2:23" s="14" customFormat="1" ht="17.100000000000001" customHeight="1">
      <c r="B476" s="89"/>
      <c r="C476" s="90"/>
      <c r="D476" s="91"/>
      <c r="E476" s="92"/>
      <c r="F476" s="89"/>
      <c r="G476" s="89"/>
      <c r="H476" s="89"/>
      <c r="I476" s="89"/>
      <c r="J476" s="89"/>
      <c r="K476" s="89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</row>
    <row r="477" spans="2:23" s="14" customFormat="1" ht="17.100000000000001" customHeight="1">
      <c r="B477" s="89"/>
      <c r="C477" s="90"/>
      <c r="D477" s="91"/>
      <c r="E477" s="92"/>
      <c r="F477" s="89"/>
      <c r="G477" s="89"/>
      <c r="H477" s="89"/>
      <c r="I477" s="89"/>
      <c r="J477" s="89"/>
      <c r="K477" s="89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</row>
    <row r="478" spans="2:23" s="14" customFormat="1" ht="17.100000000000001" customHeight="1">
      <c r="B478" s="89"/>
      <c r="C478" s="90"/>
      <c r="D478" s="91"/>
      <c r="E478" s="92"/>
      <c r="F478" s="89"/>
      <c r="G478" s="89"/>
      <c r="H478" s="89"/>
      <c r="I478" s="89"/>
      <c r="J478" s="89"/>
      <c r="K478" s="89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</row>
    <row r="479" spans="2:23" s="14" customFormat="1" ht="17.100000000000001" customHeight="1">
      <c r="B479" s="89"/>
      <c r="C479" s="90"/>
      <c r="D479" s="91"/>
      <c r="E479" s="92"/>
      <c r="F479" s="89"/>
      <c r="G479" s="89"/>
      <c r="H479" s="89"/>
      <c r="I479" s="89"/>
      <c r="J479" s="89"/>
      <c r="K479" s="89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</row>
    <row r="480" spans="2:23" s="14" customFormat="1" ht="17.100000000000001" customHeight="1">
      <c r="B480" s="89"/>
      <c r="C480" s="90"/>
      <c r="D480" s="91"/>
      <c r="E480" s="92"/>
      <c r="F480" s="89"/>
      <c r="G480" s="89"/>
      <c r="H480" s="89"/>
      <c r="I480" s="89"/>
      <c r="J480" s="89"/>
      <c r="K480" s="89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</row>
    <row r="481" spans="2:23" s="14" customFormat="1" ht="17.100000000000001" customHeight="1">
      <c r="B481" s="89"/>
      <c r="C481" s="90"/>
      <c r="D481" s="91"/>
      <c r="E481" s="92"/>
      <c r="F481" s="89"/>
      <c r="G481" s="89"/>
      <c r="H481" s="89"/>
      <c r="I481" s="89"/>
      <c r="J481" s="89"/>
      <c r="K481" s="89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</row>
    <row r="482" spans="2:23" s="14" customFormat="1" ht="17.100000000000001" customHeight="1">
      <c r="B482" s="89"/>
      <c r="C482" s="90"/>
      <c r="D482" s="91"/>
      <c r="E482" s="92"/>
      <c r="F482" s="89"/>
      <c r="G482" s="89"/>
      <c r="H482" s="89"/>
      <c r="I482" s="89"/>
      <c r="J482" s="89"/>
      <c r="K482" s="89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</row>
    <row r="483" spans="2:23" s="14" customFormat="1" ht="17.100000000000001" customHeight="1">
      <c r="B483" s="89"/>
      <c r="C483" s="90"/>
      <c r="D483" s="91"/>
      <c r="E483" s="92"/>
      <c r="F483" s="89"/>
      <c r="G483" s="89"/>
      <c r="H483" s="89"/>
      <c r="I483" s="89"/>
      <c r="J483" s="89"/>
      <c r="K483" s="89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</row>
    <row r="484" spans="2:23" s="14" customFormat="1" ht="17.100000000000001" customHeight="1">
      <c r="B484" s="89"/>
      <c r="C484" s="90"/>
      <c r="D484" s="91"/>
      <c r="E484" s="92"/>
      <c r="F484" s="89"/>
      <c r="G484" s="89"/>
      <c r="H484" s="89"/>
      <c r="I484" s="89"/>
      <c r="J484" s="89"/>
      <c r="K484" s="89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</row>
    <row r="485" spans="2:23" s="14" customFormat="1" ht="17.100000000000001" customHeight="1">
      <c r="B485" s="89"/>
      <c r="C485" s="90"/>
      <c r="D485" s="91"/>
      <c r="E485" s="92"/>
      <c r="F485" s="89"/>
      <c r="G485" s="89"/>
      <c r="H485" s="89"/>
      <c r="I485" s="89"/>
      <c r="J485" s="89"/>
      <c r="K485" s="89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</row>
    <row r="486" spans="2:23" s="14" customFormat="1" ht="17.100000000000001" customHeight="1">
      <c r="B486" s="89"/>
      <c r="C486" s="90"/>
      <c r="D486" s="91"/>
      <c r="E486" s="92"/>
      <c r="F486" s="89"/>
      <c r="G486" s="89"/>
      <c r="H486" s="89"/>
      <c r="I486" s="89"/>
      <c r="J486" s="89"/>
      <c r="K486" s="89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</row>
    <row r="487" spans="2:23" s="14" customFormat="1" ht="17.100000000000001" customHeight="1">
      <c r="B487" s="89"/>
      <c r="C487" s="90"/>
      <c r="D487" s="91"/>
      <c r="E487" s="92"/>
      <c r="F487" s="89"/>
      <c r="G487" s="89"/>
      <c r="H487" s="89"/>
      <c r="I487" s="89"/>
      <c r="J487" s="89"/>
      <c r="K487" s="89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</row>
    <row r="488" spans="2:23" s="14" customFormat="1" ht="17.100000000000001" customHeight="1">
      <c r="B488" s="89"/>
      <c r="C488" s="90"/>
      <c r="D488" s="91"/>
      <c r="E488" s="92"/>
      <c r="F488" s="89"/>
      <c r="G488" s="89"/>
      <c r="H488" s="89"/>
      <c r="I488" s="89"/>
      <c r="J488" s="89"/>
      <c r="K488" s="89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</row>
    <row r="489" spans="2:23" s="14" customFormat="1" ht="17.100000000000001" customHeight="1">
      <c r="B489" s="89"/>
      <c r="C489" s="90"/>
      <c r="D489" s="91"/>
      <c r="E489" s="92"/>
      <c r="F489" s="89"/>
      <c r="G489" s="89"/>
      <c r="H489" s="89"/>
      <c r="I489" s="89"/>
      <c r="J489" s="89"/>
      <c r="K489" s="89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</row>
    <row r="490" spans="2:23" s="14" customFormat="1" ht="17.100000000000001" customHeight="1">
      <c r="B490" s="89"/>
      <c r="C490" s="90"/>
      <c r="D490" s="91"/>
      <c r="E490" s="92"/>
      <c r="F490" s="89"/>
      <c r="G490" s="89"/>
      <c r="H490" s="89"/>
      <c r="I490" s="89"/>
      <c r="J490" s="89"/>
      <c r="K490" s="89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</row>
    <row r="491" spans="2:23" s="14" customFormat="1" ht="17.100000000000001" customHeight="1">
      <c r="B491" s="89"/>
      <c r="C491" s="90"/>
      <c r="D491" s="91"/>
      <c r="E491" s="92"/>
      <c r="F491" s="89"/>
      <c r="G491" s="89"/>
      <c r="H491" s="89"/>
      <c r="I491" s="89"/>
      <c r="J491" s="89"/>
      <c r="K491" s="89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</row>
    <row r="492" spans="2:23" s="14" customFormat="1" ht="17.100000000000001" customHeight="1">
      <c r="B492" s="89"/>
      <c r="C492" s="90"/>
      <c r="D492" s="91"/>
      <c r="E492" s="92"/>
      <c r="F492" s="89"/>
      <c r="G492" s="89"/>
      <c r="H492" s="89"/>
      <c r="I492" s="89"/>
      <c r="J492" s="89"/>
      <c r="K492" s="89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</row>
    <row r="493" spans="2:23" s="14" customFormat="1" ht="17.100000000000001" customHeight="1">
      <c r="B493" s="89"/>
      <c r="C493" s="90"/>
      <c r="D493" s="91"/>
      <c r="E493" s="92"/>
      <c r="F493" s="89"/>
      <c r="G493" s="89"/>
      <c r="H493" s="89"/>
      <c r="I493" s="89"/>
      <c r="J493" s="89"/>
      <c r="K493" s="89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</row>
    <row r="494" spans="2:23" s="14" customFormat="1" ht="17.100000000000001" customHeight="1">
      <c r="B494" s="89"/>
      <c r="C494" s="90"/>
      <c r="D494" s="91"/>
      <c r="E494" s="92"/>
      <c r="F494" s="89"/>
      <c r="G494" s="89"/>
      <c r="H494" s="89"/>
      <c r="I494" s="89"/>
      <c r="J494" s="89"/>
      <c r="K494" s="89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</row>
    <row r="495" spans="2:23" s="14" customFormat="1" ht="17.100000000000001" customHeight="1">
      <c r="B495" s="89"/>
      <c r="C495" s="90"/>
      <c r="D495" s="91"/>
      <c r="E495" s="92"/>
      <c r="F495" s="89"/>
      <c r="G495" s="89"/>
      <c r="H495" s="89"/>
      <c r="I495" s="89"/>
      <c r="J495" s="89"/>
      <c r="K495" s="89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</row>
    <row r="496" spans="2:23" s="14" customFormat="1" ht="17.100000000000001" customHeight="1">
      <c r="B496" s="89"/>
      <c r="C496" s="90"/>
      <c r="D496" s="91"/>
      <c r="E496" s="92"/>
      <c r="F496" s="89"/>
      <c r="G496" s="89"/>
      <c r="H496" s="89"/>
      <c r="I496" s="89"/>
      <c r="J496" s="89"/>
      <c r="K496" s="89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</row>
    <row r="497" spans="2:23" s="14" customFormat="1" ht="17.100000000000001" customHeight="1">
      <c r="B497" s="89"/>
      <c r="C497" s="90"/>
      <c r="D497" s="91"/>
      <c r="E497" s="92"/>
      <c r="F497" s="89"/>
      <c r="G497" s="89"/>
      <c r="H497" s="89"/>
      <c r="I497" s="89"/>
      <c r="J497" s="89"/>
      <c r="K497" s="89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</row>
    <row r="498" spans="2:23" s="14" customFormat="1" ht="17.100000000000001" customHeight="1">
      <c r="B498" s="89"/>
      <c r="C498" s="90"/>
      <c r="D498" s="91"/>
      <c r="E498" s="92"/>
      <c r="F498" s="89"/>
      <c r="G498" s="89"/>
      <c r="H498" s="89"/>
      <c r="I498" s="89"/>
      <c r="J498" s="89"/>
      <c r="K498" s="89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</row>
    <row r="499" spans="2:23" s="14" customFormat="1" ht="17.100000000000001" customHeight="1">
      <c r="B499" s="89"/>
      <c r="C499" s="90"/>
      <c r="D499" s="91"/>
      <c r="E499" s="92"/>
      <c r="F499" s="89"/>
      <c r="G499" s="89"/>
      <c r="H499" s="89"/>
      <c r="I499" s="89"/>
      <c r="J499" s="89"/>
      <c r="K499" s="89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</row>
    <row r="500" spans="2:23" s="14" customFormat="1" ht="17.100000000000001" customHeight="1">
      <c r="B500" s="89"/>
      <c r="C500" s="90"/>
      <c r="D500" s="91"/>
      <c r="E500" s="92"/>
      <c r="F500" s="89"/>
      <c r="G500" s="89"/>
      <c r="H500" s="89"/>
      <c r="I500" s="89"/>
      <c r="J500" s="89"/>
      <c r="K500" s="89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</row>
    <row r="501" spans="2:23" s="14" customFormat="1" ht="17.100000000000001" customHeight="1">
      <c r="B501" s="89"/>
      <c r="C501" s="90"/>
      <c r="D501" s="91"/>
      <c r="E501" s="92"/>
      <c r="F501" s="89"/>
      <c r="G501" s="89"/>
      <c r="H501" s="89"/>
      <c r="I501" s="89"/>
      <c r="J501" s="89"/>
      <c r="K501" s="89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</row>
    <row r="502" spans="2:23" s="14" customFormat="1" ht="17.100000000000001" customHeight="1">
      <c r="B502" s="89"/>
      <c r="C502" s="90"/>
      <c r="D502" s="91"/>
      <c r="E502" s="92"/>
      <c r="F502" s="89"/>
      <c r="G502" s="89"/>
      <c r="H502" s="89"/>
      <c r="I502" s="89"/>
      <c r="J502" s="89"/>
      <c r="K502" s="89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</row>
    <row r="503" spans="2:23" s="14" customFormat="1" ht="17.100000000000001" customHeight="1">
      <c r="B503" s="89"/>
      <c r="C503" s="90"/>
      <c r="D503" s="91"/>
      <c r="E503" s="92"/>
      <c r="F503" s="89"/>
      <c r="G503" s="89"/>
      <c r="H503" s="89"/>
      <c r="I503" s="89"/>
      <c r="J503" s="89"/>
      <c r="K503" s="89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</row>
    <row r="504" spans="2:23" s="14" customFormat="1" ht="17.100000000000001" customHeight="1">
      <c r="B504" s="89"/>
      <c r="C504" s="90"/>
      <c r="D504" s="91"/>
      <c r="E504" s="92"/>
      <c r="F504" s="89"/>
      <c r="G504" s="89"/>
      <c r="H504" s="89"/>
      <c r="I504" s="89"/>
      <c r="J504" s="89"/>
      <c r="K504" s="89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</row>
    <row r="505" spans="2:23" s="14" customFormat="1" ht="17.100000000000001" customHeight="1">
      <c r="B505" s="89"/>
      <c r="C505" s="90"/>
      <c r="D505" s="91"/>
      <c r="E505" s="92"/>
      <c r="F505" s="89"/>
      <c r="G505" s="89"/>
      <c r="H505" s="89"/>
      <c r="I505" s="89"/>
      <c r="J505" s="89"/>
      <c r="K505" s="89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</row>
    <row r="506" spans="2:23" s="14" customFormat="1" ht="17.100000000000001" customHeight="1">
      <c r="B506" s="89"/>
      <c r="C506" s="90"/>
      <c r="D506" s="91"/>
      <c r="E506" s="92"/>
      <c r="F506" s="89"/>
      <c r="G506" s="89"/>
      <c r="H506" s="89"/>
      <c r="I506" s="89"/>
      <c r="J506" s="89"/>
      <c r="K506" s="89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</row>
    <row r="507" spans="2:23" s="14" customFormat="1" ht="17.100000000000001" customHeight="1">
      <c r="B507" s="89"/>
      <c r="C507" s="90"/>
      <c r="D507" s="91"/>
      <c r="E507" s="92"/>
      <c r="F507" s="89"/>
      <c r="G507" s="89"/>
      <c r="H507" s="89"/>
      <c r="I507" s="89"/>
      <c r="J507" s="89"/>
      <c r="K507" s="89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</row>
    <row r="508" spans="2:23" s="14" customFormat="1" ht="17.100000000000001" customHeight="1">
      <c r="B508" s="89"/>
      <c r="C508" s="90"/>
      <c r="D508" s="91"/>
      <c r="E508" s="92"/>
      <c r="F508" s="89"/>
      <c r="G508" s="89"/>
      <c r="H508" s="89"/>
      <c r="I508" s="89"/>
      <c r="J508" s="89"/>
      <c r="K508" s="89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</row>
    <row r="509" spans="2:23" s="14" customFormat="1" ht="17.100000000000001" customHeight="1">
      <c r="B509" s="89"/>
      <c r="C509" s="90"/>
      <c r="D509" s="91"/>
      <c r="E509" s="92"/>
      <c r="F509" s="89"/>
      <c r="G509" s="89"/>
      <c r="H509" s="89"/>
      <c r="I509" s="89"/>
      <c r="J509" s="89"/>
      <c r="K509" s="89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</row>
    <row r="510" spans="2:23" s="14" customFormat="1" ht="17.100000000000001" customHeight="1">
      <c r="B510" s="89"/>
      <c r="C510" s="90"/>
      <c r="D510" s="91"/>
      <c r="E510" s="92"/>
      <c r="F510" s="89"/>
      <c r="G510" s="89"/>
      <c r="H510" s="89"/>
      <c r="I510" s="89"/>
      <c r="J510" s="89"/>
      <c r="K510" s="89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</row>
    <row r="511" spans="2:23" s="14" customFormat="1" ht="17.100000000000001" customHeight="1">
      <c r="B511" s="89"/>
      <c r="C511" s="90"/>
      <c r="D511" s="91"/>
      <c r="E511" s="92"/>
      <c r="F511" s="89"/>
      <c r="G511" s="89"/>
      <c r="H511" s="89"/>
      <c r="I511" s="89"/>
      <c r="J511" s="89"/>
      <c r="K511" s="89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</row>
    <row r="512" spans="2:23" s="14" customFormat="1" ht="17.100000000000001" customHeight="1">
      <c r="B512" s="89"/>
      <c r="C512" s="90"/>
      <c r="D512" s="91"/>
      <c r="E512" s="92"/>
      <c r="F512" s="89"/>
      <c r="G512" s="89"/>
      <c r="H512" s="89"/>
      <c r="I512" s="89"/>
      <c r="J512" s="89"/>
      <c r="K512" s="89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</row>
    <row r="513" spans="2:23" s="14" customFormat="1" ht="17.100000000000001" customHeight="1">
      <c r="B513" s="89"/>
      <c r="C513" s="90"/>
      <c r="D513" s="91"/>
      <c r="E513" s="92"/>
      <c r="F513" s="89"/>
      <c r="G513" s="89"/>
      <c r="H513" s="89"/>
      <c r="I513" s="89"/>
      <c r="J513" s="89"/>
      <c r="K513" s="89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</row>
    <row r="514" spans="2:23" s="14" customFormat="1" ht="17.100000000000001" customHeight="1">
      <c r="B514" s="89"/>
      <c r="C514" s="90"/>
      <c r="D514" s="91"/>
      <c r="E514" s="92"/>
      <c r="F514" s="89"/>
      <c r="G514" s="89"/>
      <c r="H514" s="89"/>
      <c r="I514" s="89"/>
      <c r="J514" s="89"/>
      <c r="K514" s="89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</row>
    <row r="515" spans="2:23" s="14" customFormat="1" ht="17.100000000000001" customHeight="1">
      <c r="B515" s="89"/>
      <c r="C515" s="90"/>
      <c r="D515" s="91"/>
      <c r="E515" s="92"/>
      <c r="F515" s="89"/>
      <c r="G515" s="89"/>
      <c r="H515" s="89"/>
      <c r="I515" s="89"/>
      <c r="J515" s="89"/>
      <c r="K515" s="89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</row>
    <row r="516" spans="2:23" s="14" customFormat="1" ht="17.100000000000001" customHeight="1">
      <c r="B516" s="89"/>
      <c r="C516" s="90"/>
      <c r="D516" s="91"/>
      <c r="E516" s="92"/>
      <c r="F516" s="89"/>
      <c r="G516" s="89"/>
      <c r="H516" s="89"/>
      <c r="I516" s="89"/>
      <c r="J516" s="89"/>
      <c r="K516" s="89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</row>
    <row r="517" spans="2:23" s="14" customFormat="1" ht="17.100000000000001" customHeight="1">
      <c r="B517" s="89"/>
      <c r="C517" s="90"/>
      <c r="D517" s="91"/>
      <c r="E517" s="92"/>
      <c r="F517" s="89"/>
      <c r="G517" s="89"/>
      <c r="H517" s="89"/>
      <c r="I517" s="89"/>
      <c r="J517" s="89"/>
      <c r="K517" s="89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</row>
    <row r="518" spans="2:23" s="14" customFormat="1" ht="17.100000000000001" customHeight="1">
      <c r="B518" s="89"/>
      <c r="C518" s="90"/>
      <c r="D518" s="91"/>
      <c r="E518" s="92"/>
      <c r="F518" s="89"/>
      <c r="G518" s="89"/>
      <c r="H518" s="89"/>
      <c r="I518" s="89"/>
      <c r="J518" s="89"/>
      <c r="K518" s="89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</row>
    <row r="519" spans="2:23" s="14" customFormat="1" ht="17.100000000000001" customHeight="1">
      <c r="B519" s="89"/>
      <c r="C519" s="90"/>
      <c r="D519" s="91"/>
      <c r="E519" s="92"/>
      <c r="F519" s="89"/>
      <c r="G519" s="89"/>
      <c r="H519" s="89"/>
      <c r="I519" s="89"/>
      <c r="J519" s="89"/>
      <c r="K519" s="89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</row>
    <row r="520" spans="2:23" s="14" customFormat="1" ht="17.100000000000001" customHeight="1">
      <c r="B520" s="89"/>
      <c r="C520" s="90"/>
      <c r="D520" s="91"/>
      <c r="E520" s="92"/>
      <c r="F520" s="89"/>
      <c r="G520" s="89"/>
      <c r="H520" s="89"/>
      <c r="I520" s="89"/>
      <c r="J520" s="89"/>
      <c r="K520" s="89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</row>
    <row r="521" spans="2:23" s="14" customFormat="1" ht="17.100000000000001" customHeight="1">
      <c r="B521" s="89"/>
      <c r="C521" s="90"/>
      <c r="D521" s="91"/>
      <c r="E521" s="92"/>
      <c r="F521" s="89"/>
      <c r="G521" s="89"/>
      <c r="H521" s="89"/>
      <c r="I521" s="89"/>
      <c r="J521" s="89"/>
      <c r="K521" s="89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</row>
    <row r="522" spans="2:23" s="14" customFormat="1" ht="17.100000000000001" customHeight="1">
      <c r="B522" s="89"/>
      <c r="C522" s="90"/>
      <c r="D522" s="91"/>
      <c r="E522" s="92"/>
      <c r="F522" s="89"/>
      <c r="G522" s="89"/>
      <c r="H522" s="89"/>
      <c r="I522" s="89"/>
      <c r="J522" s="89"/>
      <c r="K522" s="89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</row>
    <row r="523" spans="2:23" s="14" customFormat="1" ht="17.100000000000001" customHeight="1">
      <c r="B523" s="89"/>
      <c r="C523" s="90"/>
      <c r="D523" s="91"/>
      <c r="E523" s="92"/>
      <c r="F523" s="89"/>
      <c r="G523" s="89"/>
      <c r="H523" s="89"/>
      <c r="I523" s="89"/>
      <c r="J523" s="89"/>
      <c r="K523" s="89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</row>
    <row r="524" spans="2:23" s="14" customFormat="1" ht="17.100000000000001" customHeight="1">
      <c r="B524" s="89"/>
      <c r="C524" s="90"/>
      <c r="D524" s="91"/>
      <c r="E524" s="92"/>
      <c r="F524" s="89"/>
      <c r="G524" s="89"/>
      <c r="H524" s="89"/>
      <c r="I524" s="89"/>
      <c r="J524" s="89"/>
      <c r="K524" s="89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</row>
    <row r="525" spans="2:23" s="14" customFormat="1" ht="17.100000000000001" customHeight="1">
      <c r="B525" s="89"/>
      <c r="C525" s="90"/>
      <c r="D525" s="91"/>
      <c r="E525" s="92"/>
      <c r="F525" s="89"/>
      <c r="G525" s="89"/>
      <c r="H525" s="89"/>
      <c r="I525" s="89"/>
      <c r="J525" s="89"/>
      <c r="K525" s="89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</row>
    <row r="526" spans="2:23" s="14" customFormat="1" ht="17.100000000000001" customHeight="1">
      <c r="B526" s="89"/>
      <c r="C526" s="90"/>
      <c r="D526" s="91"/>
      <c r="E526" s="92"/>
      <c r="F526" s="89"/>
      <c r="G526" s="89"/>
      <c r="H526" s="89"/>
      <c r="I526" s="89"/>
      <c r="J526" s="89"/>
      <c r="K526" s="89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</row>
    <row r="527" spans="2:23" s="14" customFormat="1" ht="17.100000000000001" customHeight="1">
      <c r="B527" s="89"/>
      <c r="C527" s="90"/>
      <c r="D527" s="91"/>
      <c r="E527" s="92"/>
      <c r="F527" s="89"/>
      <c r="G527" s="89"/>
      <c r="H527" s="89"/>
      <c r="I527" s="89"/>
      <c r="J527" s="89"/>
      <c r="K527" s="89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</row>
    <row r="528" spans="2:23" s="14" customFormat="1" ht="17.100000000000001" customHeight="1">
      <c r="B528" s="89"/>
      <c r="C528" s="90"/>
      <c r="D528" s="91"/>
      <c r="E528" s="92"/>
      <c r="F528" s="89"/>
      <c r="G528" s="89"/>
      <c r="H528" s="89"/>
      <c r="I528" s="89"/>
      <c r="J528" s="89"/>
      <c r="K528" s="89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</row>
    <row r="529" spans="2:23" s="14" customFormat="1" ht="17.100000000000001" customHeight="1">
      <c r="B529" s="89"/>
      <c r="C529" s="90"/>
      <c r="D529" s="91"/>
      <c r="E529" s="92"/>
      <c r="F529" s="89"/>
      <c r="G529" s="89"/>
      <c r="H529" s="89"/>
      <c r="I529" s="89"/>
      <c r="J529" s="89"/>
      <c r="K529" s="89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</row>
    <row r="530" spans="2:23" s="14" customFormat="1" ht="17.100000000000001" customHeight="1">
      <c r="B530" s="89"/>
      <c r="C530" s="90"/>
      <c r="D530" s="91"/>
      <c r="E530" s="92"/>
      <c r="F530" s="89"/>
      <c r="G530" s="89"/>
      <c r="H530" s="89"/>
      <c r="I530" s="89"/>
      <c r="J530" s="89"/>
      <c r="K530" s="89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</row>
    <row r="531" spans="2:23" s="14" customFormat="1" ht="17.100000000000001" customHeight="1">
      <c r="B531" s="89"/>
      <c r="C531" s="90"/>
      <c r="D531" s="91"/>
      <c r="E531" s="92"/>
      <c r="F531" s="89"/>
      <c r="G531" s="89"/>
      <c r="H531" s="89"/>
      <c r="I531" s="89"/>
      <c r="J531" s="89"/>
      <c r="K531" s="89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</row>
    <row r="532" spans="2:23" s="14" customFormat="1" ht="17.100000000000001" customHeight="1">
      <c r="B532" s="89"/>
      <c r="C532" s="90"/>
      <c r="D532" s="91"/>
      <c r="E532" s="92"/>
      <c r="F532" s="89"/>
      <c r="G532" s="89"/>
      <c r="H532" s="89"/>
      <c r="I532" s="89"/>
      <c r="J532" s="89"/>
      <c r="K532" s="89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</row>
    <row r="533" spans="2:23" s="14" customFormat="1" ht="17.100000000000001" customHeight="1">
      <c r="B533" s="89"/>
      <c r="C533" s="90"/>
      <c r="D533" s="91"/>
      <c r="E533" s="92"/>
      <c r="F533" s="89"/>
      <c r="G533" s="89"/>
      <c r="H533" s="89"/>
      <c r="I533" s="89"/>
      <c r="J533" s="89"/>
      <c r="K533" s="89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</row>
    <row r="534" spans="2:23" s="14" customFormat="1" ht="17.100000000000001" customHeight="1">
      <c r="B534" s="89"/>
      <c r="C534" s="90"/>
      <c r="D534" s="91"/>
      <c r="E534" s="92"/>
      <c r="F534" s="89"/>
      <c r="G534" s="89"/>
      <c r="H534" s="89"/>
      <c r="I534" s="89"/>
      <c r="J534" s="89"/>
      <c r="K534" s="89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</row>
    <row r="535" spans="2:23" s="14" customFormat="1" ht="17.100000000000001" customHeight="1">
      <c r="B535" s="89"/>
      <c r="C535" s="90"/>
      <c r="D535" s="91"/>
      <c r="E535" s="92"/>
      <c r="F535" s="89"/>
      <c r="G535" s="89"/>
      <c r="H535" s="89"/>
      <c r="I535" s="89"/>
      <c r="J535" s="89"/>
      <c r="K535" s="89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</row>
    <row r="536" spans="2:23" s="14" customFormat="1" ht="17.100000000000001" customHeight="1">
      <c r="B536" s="89"/>
      <c r="C536" s="90"/>
      <c r="D536" s="91"/>
      <c r="E536" s="92"/>
      <c r="F536" s="89"/>
      <c r="G536" s="89"/>
      <c r="H536" s="89"/>
      <c r="I536" s="89"/>
      <c r="J536" s="89"/>
      <c r="K536" s="89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</row>
    <row r="537" spans="2:23" s="14" customFormat="1" ht="17.100000000000001" customHeight="1">
      <c r="B537" s="89"/>
      <c r="C537" s="90"/>
      <c r="D537" s="91"/>
      <c r="E537" s="92"/>
      <c r="F537" s="89"/>
      <c r="G537" s="89"/>
      <c r="H537" s="89"/>
      <c r="I537" s="89"/>
      <c r="J537" s="89"/>
      <c r="K537" s="89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</row>
    <row r="538" spans="2:23" s="14" customFormat="1" ht="17.100000000000001" customHeight="1">
      <c r="B538" s="89"/>
      <c r="C538" s="90"/>
      <c r="D538" s="91"/>
      <c r="E538" s="92"/>
      <c r="F538" s="89"/>
      <c r="G538" s="89"/>
      <c r="H538" s="89"/>
      <c r="I538" s="89"/>
      <c r="J538" s="89"/>
      <c r="K538" s="89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</row>
    <row r="539" spans="2:23" s="14" customFormat="1" ht="17.100000000000001" customHeight="1">
      <c r="B539" s="89"/>
      <c r="C539" s="90"/>
      <c r="D539" s="91"/>
      <c r="E539" s="92"/>
      <c r="F539" s="89"/>
      <c r="G539" s="89"/>
      <c r="H539" s="89"/>
      <c r="I539" s="89"/>
      <c r="J539" s="89"/>
      <c r="K539" s="89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</row>
    <row r="540" spans="2:23" s="14" customFormat="1" ht="17.100000000000001" customHeight="1">
      <c r="B540" s="89"/>
      <c r="C540" s="90"/>
      <c r="D540" s="91"/>
      <c r="E540" s="92"/>
      <c r="F540" s="89"/>
      <c r="G540" s="89"/>
      <c r="H540" s="89"/>
      <c r="I540" s="89"/>
      <c r="J540" s="89"/>
      <c r="K540" s="89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</row>
    <row r="541" spans="2:23" s="14" customFormat="1" ht="17.100000000000001" customHeight="1">
      <c r="B541" s="89"/>
      <c r="C541" s="90"/>
      <c r="D541" s="91"/>
      <c r="E541" s="92"/>
      <c r="F541" s="89"/>
      <c r="G541" s="89"/>
      <c r="H541" s="89"/>
      <c r="I541" s="89"/>
      <c r="J541" s="89"/>
      <c r="K541" s="89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</row>
    <row r="542" spans="2:23" s="14" customFormat="1" ht="17.100000000000001" customHeight="1">
      <c r="B542" s="89"/>
      <c r="C542" s="90"/>
      <c r="D542" s="91"/>
      <c r="E542" s="92"/>
      <c r="F542" s="89"/>
      <c r="G542" s="89"/>
      <c r="H542" s="89"/>
      <c r="I542" s="89"/>
      <c r="J542" s="89"/>
      <c r="K542" s="89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</row>
    <row r="543" spans="2:23" s="14" customFormat="1" ht="17.100000000000001" customHeight="1">
      <c r="B543" s="89"/>
      <c r="C543" s="90"/>
      <c r="D543" s="91"/>
      <c r="E543" s="92"/>
      <c r="F543" s="89"/>
      <c r="G543" s="89"/>
      <c r="H543" s="89"/>
      <c r="I543" s="89"/>
      <c r="J543" s="89"/>
      <c r="K543" s="89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</row>
    <row r="544" spans="2:23" s="14" customFormat="1" ht="17.100000000000001" customHeight="1">
      <c r="B544" s="89"/>
      <c r="C544" s="90"/>
      <c r="D544" s="91"/>
      <c r="E544" s="92"/>
      <c r="F544" s="89"/>
      <c r="G544" s="89"/>
      <c r="H544" s="89"/>
      <c r="I544" s="89"/>
      <c r="J544" s="89"/>
      <c r="K544" s="89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</row>
    <row r="545" spans="2:23" s="14" customFormat="1" ht="17.100000000000001" customHeight="1">
      <c r="B545" s="89"/>
      <c r="C545" s="90"/>
      <c r="D545" s="91"/>
      <c r="E545" s="92"/>
      <c r="F545" s="89"/>
      <c r="G545" s="89"/>
      <c r="H545" s="89"/>
      <c r="I545" s="89"/>
      <c r="J545" s="89"/>
      <c r="K545" s="89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</row>
    <row r="546" spans="2:23" s="14" customFormat="1" ht="17.100000000000001" customHeight="1">
      <c r="B546" s="89"/>
      <c r="C546" s="90"/>
      <c r="D546" s="91"/>
      <c r="E546" s="92"/>
      <c r="F546" s="89"/>
      <c r="G546" s="89"/>
      <c r="H546" s="89"/>
      <c r="I546" s="89"/>
      <c r="J546" s="89"/>
      <c r="K546" s="89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</row>
    <row r="547" spans="2:23" s="14" customFormat="1" ht="17.100000000000001" customHeight="1">
      <c r="B547" s="89"/>
      <c r="C547" s="90"/>
      <c r="D547" s="91"/>
      <c r="E547" s="92"/>
      <c r="F547" s="89"/>
      <c r="G547" s="89"/>
      <c r="H547" s="89"/>
      <c r="I547" s="89"/>
      <c r="J547" s="89"/>
      <c r="K547" s="89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</row>
    <row r="548" spans="2:23" s="14" customFormat="1" ht="17.100000000000001" customHeight="1">
      <c r="B548" s="89"/>
      <c r="C548" s="90"/>
      <c r="D548" s="91"/>
      <c r="E548" s="92"/>
      <c r="F548" s="89"/>
      <c r="G548" s="89"/>
      <c r="H548" s="89"/>
      <c r="I548" s="89"/>
      <c r="J548" s="89"/>
      <c r="K548" s="89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</row>
    <row r="549" spans="2:23" s="14" customFormat="1" ht="17.100000000000001" customHeight="1">
      <c r="B549" s="89"/>
      <c r="C549" s="90"/>
      <c r="D549" s="91"/>
      <c r="E549" s="92"/>
      <c r="F549" s="89"/>
      <c r="G549" s="89"/>
      <c r="H549" s="89"/>
      <c r="I549" s="89"/>
      <c r="J549" s="89"/>
      <c r="K549" s="89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</row>
    <row r="550" spans="2:23" s="14" customFormat="1" ht="17.100000000000001" customHeight="1">
      <c r="B550" s="89"/>
      <c r="C550" s="90"/>
      <c r="D550" s="91"/>
      <c r="E550" s="92"/>
      <c r="F550" s="89"/>
      <c r="G550" s="89"/>
      <c r="H550" s="89"/>
      <c r="I550" s="89"/>
      <c r="J550" s="89"/>
      <c r="K550" s="89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</row>
    <row r="551" spans="2:23" s="14" customFormat="1" ht="17.100000000000001" customHeight="1">
      <c r="B551" s="89"/>
      <c r="C551" s="90"/>
      <c r="D551" s="91"/>
      <c r="E551" s="92"/>
      <c r="F551" s="89"/>
      <c r="G551" s="89"/>
      <c r="H551" s="89"/>
      <c r="I551" s="89"/>
      <c r="J551" s="89"/>
      <c r="K551" s="89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</row>
    <row r="552" spans="2:23" s="14" customFormat="1" ht="17.100000000000001" customHeight="1">
      <c r="B552" s="89"/>
      <c r="C552" s="90"/>
      <c r="D552" s="91"/>
      <c r="E552" s="92"/>
      <c r="F552" s="89"/>
      <c r="G552" s="89"/>
      <c r="H552" s="89"/>
      <c r="I552" s="89"/>
      <c r="J552" s="89"/>
      <c r="K552" s="89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</row>
    <row r="553" spans="2:23" s="14" customFormat="1" ht="17.100000000000001" customHeight="1">
      <c r="B553" s="89"/>
      <c r="C553" s="90"/>
      <c r="D553" s="91"/>
      <c r="E553" s="92"/>
      <c r="F553" s="89"/>
      <c r="G553" s="89"/>
      <c r="H553" s="89"/>
      <c r="I553" s="89"/>
      <c r="J553" s="89"/>
      <c r="K553" s="89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</row>
    <row r="554" spans="2:23" s="14" customFormat="1" ht="17.100000000000001" customHeight="1">
      <c r="B554" s="89"/>
      <c r="C554" s="90"/>
      <c r="D554" s="91"/>
      <c r="E554" s="92"/>
      <c r="F554" s="89"/>
      <c r="G554" s="89"/>
      <c r="H554" s="89"/>
      <c r="I554" s="89"/>
      <c r="J554" s="89"/>
      <c r="K554" s="89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</row>
    <row r="555" spans="2:23" s="14" customFormat="1" ht="17.100000000000001" customHeight="1">
      <c r="B555" s="89"/>
      <c r="C555" s="90"/>
      <c r="D555" s="91"/>
      <c r="E555" s="92"/>
      <c r="F555" s="89"/>
      <c r="G555" s="89"/>
      <c r="H555" s="89"/>
      <c r="I555" s="89"/>
      <c r="J555" s="89"/>
      <c r="K555" s="89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</row>
    <row r="556" spans="2:23" s="14" customFormat="1" ht="17.100000000000001" customHeight="1">
      <c r="B556" s="89"/>
      <c r="C556" s="90"/>
      <c r="D556" s="91"/>
      <c r="E556" s="92"/>
      <c r="F556" s="89"/>
      <c r="G556" s="89"/>
      <c r="H556" s="89"/>
      <c r="I556" s="89"/>
      <c r="J556" s="89"/>
      <c r="K556" s="89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</row>
    <row r="557" spans="2:23" s="14" customFormat="1" ht="17.100000000000001" customHeight="1">
      <c r="B557" s="89"/>
      <c r="C557" s="90"/>
      <c r="D557" s="91"/>
      <c r="E557" s="92"/>
      <c r="F557" s="89"/>
      <c r="G557" s="89"/>
      <c r="H557" s="89"/>
      <c r="I557" s="89"/>
      <c r="J557" s="89"/>
      <c r="K557" s="89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</row>
    <row r="558" spans="2:23" s="14" customFormat="1" ht="17.100000000000001" customHeight="1">
      <c r="B558" s="89"/>
      <c r="C558" s="90"/>
      <c r="D558" s="91"/>
      <c r="E558" s="92"/>
      <c r="F558" s="89"/>
      <c r="G558" s="89"/>
      <c r="H558" s="89"/>
      <c r="I558" s="89"/>
      <c r="J558" s="89"/>
      <c r="K558" s="89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</row>
    <row r="559" spans="2:23" s="14" customFormat="1" ht="17.100000000000001" customHeight="1">
      <c r="B559" s="89"/>
      <c r="C559" s="90"/>
      <c r="D559" s="91"/>
      <c r="E559" s="92"/>
      <c r="F559" s="89"/>
      <c r="G559" s="89"/>
      <c r="H559" s="89"/>
      <c r="I559" s="89"/>
      <c r="J559" s="89"/>
      <c r="K559" s="89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</row>
    <row r="560" spans="2:23" s="14" customFormat="1" ht="17.100000000000001" customHeight="1">
      <c r="B560" s="89"/>
      <c r="C560" s="90"/>
      <c r="D560" s="91"/>
      <c r="E560" s="92"/>
      <c r="F560" s="89"/>
      <c r="G560" s="89"/>
      <c r="H560" s="89"/>
      <c r="I560" s="89"/>
      <c r="J560" s="89"/>
      <c r="K560" s="89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</row>
    <row r="561" spans="2:23" s="14" customFormat="1" ht="17.100000000000001" customHeight="1">
      <c r="B561" s="89"/>
      <c r="C561" s="90"/>
      <c r="D561" s="91"/>
      <c r="E561" s="92"/>
      <c r="F561" s="89"/>
      <c r="G561" s="89"/>
      <c r="H561" s="89"/>
      <c r="I561" s="89"/>
      <c r="J561" s="89"/>
      <c r="K561" s="89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</row>
    <row r="562" spans="2:23" s="14" customFormat="1" ht="17.100000000000001" customHeight="1">
      <c r="B562" s="89"/>
      <c r="C562" s="90"/>
      <c r="D562" s="91"/>
      <c r="E562" s="92"/>
      <c r="F562" s="89"/>
      <c r="G562" s="89"/>
      <c r="H562" s="89"/>
      <c r="I562" s="89"/>
      <c r="J562" s="89"/>
      <c r="K562" s="89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</row>
    <row r="563" spans="2:23" s="14" customFormat="1" ht="17.100000000000001" customHeight="1">
      <c r="B563" s="89"/>
      <c r="C563" s="90"/>
      <c r="D563" s="91"/>
      <c r="E563" s="92"/>
      <c r="F563" s="89"/>
      <c r="G563" s="89"/>
      <c r="H563" s="89"/>
      <c r="I563" s="89"/>
      <c r="J563" s="89"/>
      <c r="K563" s="89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</row>
    <row r="564" spans="2:23" s="14" customFormat="1" ht="17.100000000000001" customHeight="1">
      <c r="B564" s="89"/>
      <c r="C564" s="90"/>
      <c r="D564" s="91"/>
      <c r="E564" s="92"/>
      <c r="F564" s="89"/>
      <c r="G564" s="89"/>
      <c r="H564" s="89"/>
      <c r="I564" s="89"/>
      <c r="J564" s="89"/>
      <c r="K564" s="89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</row>
    <row r="565" spans="2:23" s="14" customFormat="1" ht="17.100000000000001" customHeight="1">
      <c r="B565" s="89"/>
      <c r="C565" s="90"/>
      <c r="D565" s="91"/>
      <c r="E565" s="92"/>
      <c r="F565" s="89"/>
      <c r="G565" s="89"/>
      <c r="H565" s="89"/>
      <c r="I565" s="89"/>
      <c r="J565" s="89"/>
      <c r="K565" s="89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</row>
    <row r="566" spans="2:23" s="14" customFormat="1" ht="17.100000000000001" customHeight="1">
      <c r="B566" s="89"/>
      <c r="C566" s="90"/>
      <c r="D566" s="91"/>
      <c r="E566" s="92"/>
      <c r="F566" s="89"/>
      <c r="G566" s="89"/>
      <c r="H566" s="89"/>
      <c r="I566" s="89"/>
      <c r="J566" s="89"/>
      <c r="K566" s="89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</row>
    <row r="567" spans="2:23" s="14" customFormat="1" ht="17.100000000000001" customHeight="1">
      <c r="B567" s="89"/>
      <c r="C567" s="90"/>
      <c r="D567" s="91"/>
      <c r="E567" s="92"/>
      <c r="F567" s="89"/>
      <c r="G567" s="89"/>
      <c r="H567" s="89"/>
      <c r="I567" s="89"/>
      <c r="J567" s="89"/>
      <c r="K567" s="89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</row>
    <row r="568" spans="2:23" s="14" customFormat="1" ht="17.100000000000001" customHeight="1">
      <c r="B568" s="89"/>
      <c r="C568" s="90"/>
      <c r="D568" s="91"/>
      <c r="E568" s="92"/>
      <c r="F568" s="89"/>
      <c r="G568" s="89"/>
      <c r="H568" s="89"/>
      <c r="I568" s="89"/>
      <c r="J568" s="89"/>
      <c r="K568" s="89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</row>
    <row r="569" spans="2:23" s="14" customFormat="1" ht="17.100000000000001" customHeight="1">
      <c r="B569" s="89"/>
      <c r="C569" s="90"/>
      <c r="D569" s="91"/>
      <c r="E569" s="92"/>
      <c r="F569" s="89"/>
      <c r="G569" s="89"/>
      <c r="H569" s="89"/>
      <c r="I569" s="89"/>
      <c r="J569" s="89"/>
      <c r="K569" s="89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</row>
    <row r="570" spans="2:23" s="14" customFormat="1" ht="17.100000000000001" customHeight="1">
      <c r="B570" s="89"/>
      <c r="C570" s="90"/>
      <c r="D570" s="91"/>
      <c r="E570" s="92"/>
      <c r="F570" s="89"/>
      <c r="G570" s="89"/>
      <c r="H570" s="89"/>
      <c r="I570" s="89"/>
      <c r="J570" s="89"/>
      <c r="K570" s="89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</row>
    <row r="571" spans="2:23" s="14" customFormat="1" ht="17.100000000000001" customHeight="1">
      <c r="B571" s="89"/>
      <c r="C571" s="90"/>
      <c r="D571" s="91"/>
      <c r="E571" s="92"/>
      <c r="F571" s="89"/>
      <c r="G571" s="89"/>
      <c r="H571" s="89"/>
      <c r="I571" s="89"/>
      <c r="J571" s="89"/>
      <c r="K571" s="89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</row>
    <row r="572" spans="2:23" s="14" customFormat="1" ht="17.100000000000001" customHeight="1">
      <c r="B572" s="89"/>
      <c r="C572" s="90"/>
      <c r="D572" s="91"/>
      <c r="E572" s="92"/>
      <c r="F572" s="89"/>
      <c r="G572" s="89"/>
      <c r="H572" s="89"/>
      <c r="I572" s="89"/>
      <c r="J572" s="89"/>
      <c r="K572" s="89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</row>
    <row r="573" spans="2:23" s="14" customFormat="1" ht="17.100000000000001" customHeight="1">
      <c r="B573" s="89"/>
      <c r="C573" s="90"/>
      <c r="D573" s="91"/>
      <c r="E573" s="92"/>
      <c r="F573" s="89"/>
      <c r="G573" s="89"/>
      <c r="H573" s="89"/>
      <c r="I573" s="89"/>
      <c r="J573" s="89"/>
      <c r="K573" s="89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</row>
    <row r="574" spans="2:23" s="14" customFormat="1" ht="17.100000000000001" customHeight="1">
      <c r="B574" s="89"/>
      <c r="C574" s="90"/>
      <c r="D574" s="91"/>
      <c r="E574" s="92"/>
      <c r="F574" s="89"/>
      <c r="G574" s="89"/>
      <c r="H574" s="89"/>
      <c r="I574" s="89"/>
      <c r="J574" s="89"/>
      <c r="K574" s="89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</row>
    <row r="575" spans="2:23" s="14" customFormat="1" ht="17.100000000000001" customHeight="1">
      <c r="B575" s="89"/>
      <c r="C575" s="90"/>
      <c r="D575" s="91"/>
      <c r="E575" s="92"/>
      <c r="F575" s="89"/>
      <c r="G575" s="89"/>
      <c r="H575" s="89"/>
      <c r="I575" s="89"/>
      <c r="J575" s="89"/>
      <c r="K575" s="89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</row>
    <row r="576" spans="2:23" s="14" customFormat="1" ht="17.100000000000001" customHeight="1">
      <c r="B576" s="89"/>
      <c r="C576" s="90"/>
      <c r="D576" s="91"/>
      <c r="E576" s="92"/>
      <c r="F576" s="89"/>
      <c r="G576" s="89"/>
      <c r="H576" s="89"/>
      <c r="I576" s="89"/>
      <c r="J576" s="89"/>
      <c r="K576" s="89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</row>
    <row r="577" spans="2:23" s="14" customFormat="1" ht="17.100000000000001" customHeight="1">
      <c r="B577" s="89"/>
      <c r="C577" s="90"/>
      <c r="D577" s="91"/>
      <c r="E577" s="92"/>
      <c r="F577" s="89"/>
      <c r="G577" s="89"/>
      <c r="H577" s="89"/>
      <c r="I577" s="89"/>
      <c r="J577" s="89"/>
      <c r="K577" s="89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</row>
    <row r="578" spans="2:23" s="14" customFormat="1" ht="17.100000000000001" customHeight="1">
      <c r="B578" s="89"/>
      <c r="C578" s="90"/>
      <c r="D578" s="91"/>
      <c r="E578" s="92"/>
      <c r="F578" s="89"/>
      <c r="G578" s="89"/>
      <c r="H578" s="89"/>
      <c r="I578" s="89"/>
      <c r="J578" s="89"/>
      <c r="K578" s="89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</row>
    <row r="579" spans="2:23" s="14" customFormat="1" ht="17.100000000000001" customHeight="1">
      <c r="B579" s="89"/>
      <c r="C579" s="90"/>
      <c r="D579" s="91"/>
      <c r="E579" s="92"/>
      <c r="F579" s="89"/>
      <c r="G579" s="89"/>
      <c r="H579" s="89"/>
      <c r="I579" s="89"/>
      <c r="J579" s="89"/>
      <c r="K579" s="89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</row>
    <row r="580" spans="2:23" s="14" customFormat="1" ht="17.100000000000001" customHeight="1">
      <c r="B580" s="89"/>
      <c r="C580" s="90"/>
      <c r="D580" s="91"/>
      <c r="E580" s="92"/>
      <c r="F580" s="89"/>
      <c r="G580" s="89"/>
      <c r="H580" s="89"/>
      <c r="I580" s="89"/>
      <c r="J580" s="89"/>
      <c r="K580" s="89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</row>
    <row r="581" spans="2:23" s="14" customFormat="1" ht="17.100000000000001" customHeight="1">
      <c r="B581" s="89"/>
      <c r="C581" s="90"/>
      <c r="D581" s="91"/>
      <c r="E581" s="92"/>
      <c r="F581" s="89"/>
      <c r="G581" s="89"/>
      <c r="H581" s="89"/>
      <c r="I581" s="89"/>
      <c r="J581" s="89"/>
      <c r="K581" s="89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</row>
    <row r="582" spans="2:23" s="14" customFormat="1" ht="17.100000000000001" customHeight="1">
      <c r="B582" s="89"/>
      <c r="C582" s="90"/>
      <c r="D582" s="91"/>
      <c r="E582" s="92"/>
      <c r="F582" s="89"/>
      <c r="G582" s="89"/>
      <c r="H582" s="89"/>
      <c r="I582" s="89"/>
      <c r="J582" s="89"/>
      <c r="K582" s="89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</row>
    <row r="583" spans="2:23" s="14" customFormat="1" ht="17.100000000000001" customHeight="1">
      <c r="B583" s="89"/>
      <c r="C583" s="90"/>
      <c r="D583" s="91"/>
      <c r="E583" s="92"/>
      <c r="F583" s="89"/>
      <c r="G583" s="89"/>
      <c r="H583" s="89"/>
      <c r="I583" s="89"/>
      <c r="J583" s="89"/>
      <c r="K583" s="89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</row>
    <row r="584" spans="2:23" s="14" customFormat="1" ht="17.100000000000001" customHeight="1">
      <c r="B584" s="89"/>
      <c r="C584" s="90"/>
      <c r="D584" s="91"/>
      <c r="E584" s="92"/>
      <c r="F584" s="89"/>
      <c r="G584" s="89"/>
      <c r="H584" s="89"/>
      <c r="I584" s="89"/>
      <c r="J584" s="89"/>
      <c r="K584" s="89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</row>
    <row r="585" spans="2:23" s="14" customFormat="1" ht="17.100000000000001" customHeight="1">
      <c r="B585" s="89"/>
      <c r="C585" s="90"/>
      <c r="D585" s="91"/>
      <c r="E585" s="92"/>
      <c r="F585" s="89"/>
      <c r="G585" s="89"/>
      <c r="H585" s="89"/>
      <c r="I585" s="89"/>
      <c r="J585" s="89"/>
      <c r="K585" s="89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</row>
    <row r="586" spans="2:23" s="14" customFormat="1" ht="17.100000000000001" customHeight="1">
      <c r="B586" s="89"/>
      <c r="C586" s="90"/>
      <c r="D586" s="91"/>
      <c r="E586" s="92"/>
      <c r="F586" s="89"/>
      <c r="G586" s="89"/>
      <c r="H586" s="89"/>
      <c r="I586" s="89"/>
      <c r="J586" s="89"/>
      <c r="K586" s="89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</row>
    <row r="587" spans="2:23" s="14" customFormat="1" ht="17.100000000000001" customHeight="1">
      <c r="B587" s="89"/>
      <c r="C587" s="90"/>
      <c r="D587" s="91"/>
      <c r="E587" s="92"/>
      <c r="F587" s="89"/>
      <c r="G587" s="89"/>
      <c r="H587" s="89"/>
      <c r="I587" s="89"/>
      <c r="J587" s="89"/>
      <c r="K587" s="89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</row>
    <row r="588" spans="2:23" s="14" customFormat="1" ht="17.100000000000001" customHeight="1">
      <c r="B588" s="89"/>
      <c r="C588" s="90"/>
      <c r="D588" s="91"/>
      <c r="E588" s="92"/>
      <c r="F588" s="89"/>
      <c r="G588" s="89"/>
      <c r="H588" s="89"/>
      <c r="I588" s="89"/>
      <c r="J588" s="89"/>
      <c r="K588" s="89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</row>
    <row r="589" spans="2:23" s="14" customFormat="1" ht="17.100000000000001" customHeight="1">
      <c r="B589" s="89"/>
      <c r="C589" s="90"/>
      <c r="D589" s="91"/>
      <c r="E589" s="92"/>
      <c r="F589" s="89"/>
      <c r="G589" s="89"/>
      <c r="H589" s="89"/>
      <c r="I589" s="89"/>
      <c r="J589" s="89"/>
      <c r="K589" s="89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</row>
    <row r="590" spans="2:23" s="14" customFormat="1" ht="17.100000000000001" customHeight="1">
      <c r="B590" s="89"/>
      <c r="C590" s="90"/>
      <c r="D590" s="91"/>
      <c r="E590" s="92"/>
      <c r="F590" s="89"/>
      <c r="G590" s="89"/>
      <c r="H590" s="89"/>
      <c r="I590" s="89"/>
      <c r="J590" s="89"/>
      <c r="K590" s="89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</row>
    <row r="591" spans="2:23" s="14" customFormat="1" ht="17.100000000000001" customHeight="1">
      <c r="B591" s="89"/>
      <c r="C591" s="90"/>
      <c r="D591" s="91"/>
      <c r="E591" s="92"/>
      <c r="F591" s="89"/>
      <c r="G591" s="89"/>
      <c r="H591" s="89"/>
      <c r="I591" s="89"/>
      <c r="J591" s="89"/>
      <c r="K591" s="89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</row>
    <row r="592" spans="2:23" s="14" customFormat="1" ht="17.100000000000001" customHeight="1">
      <c r="B592" s="89"/>
      <c r="C592" s="90"/>
      <c r="D592" s="91"/>
      <c r="E592" s="92"/>
      <c r="F592" s="89"/>
      <c r="G592" s="89"/>
      <c r="H592" s="89"/>
      <c r="I592" s="89"/>
      <c r="J592" s="89"/>
      <c r="K592" s="89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</row>
    <row r="593" spans="2:23" s="14" customFormat="1" ht="17.100000000000001" customHeight="1">
      <c r="B593" s="89"/>
      <c r="C593" s="90"/>
      <c r="D593" s="91"/>
      <c r="E593" s="92"/>
      <c r="F593" s="89"/>
      <c r="G593" s="89"/>
      <c r="H593" s="89"/>
      <c r="I593" s="89"/>
      <c r="J593" s="89"/>
      <c r="K593" s="89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</row>
    <row r="594" spans="2:23" s="14" customFormat="1" ht="17.100000000000001" customHeight="1">
      <c r="B594" s="89"/>
      <c r="C594" s="90"/>
      <c r="D594" s="91"/>
      <c r="E594" s="92"/>
      <c r="F594" s="89"/>
      <c r="G594" s="89"/>
      <c r="H594" s="89"/>
      <c r="I594" s="89"/>
      <c r="J594" s="89"/>
      <c r="K594" s="89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</row>
    <row r="595" spans="2:23" s="14" customFormat="1" ht="17.100000000000001" customHeight="1">
      <c r="B595" s="89"/>
      <c r="C595" s="90"/>
      <c r="D595" s="91"/>
      <c r="E595" s="92"/>
      <c r="F595" s="89"/>
      <c r="G595" s="89"/>
      <c r="H595" s="89"/>
      <c r="I595" s="89"/>
      <c r="J595" s="89"/>
      <c r="K595" s="89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</row>
    <row r="596" spans="2:23" s="14" customFormat="1" ht="17.100000000000001" customHeight="1">
      <c r="B596" s="89"/>
      <c r="C596" s="90"/>
      <c r="D596" s="91"/>
      <c r="E596" s="92"/>
      <c r="F596" s="89"/>
      <c r="G596" s="89"/>
      <c r="H596" s="89"/>
      <c r="I596" s="89"/>
      <c r="J596" s="89"/>
      <c r="K596" s="89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</row>
    <row r="597" spans="2:23" s="14" customFormat="1" ht="17.100000000000001" customHeight="1">
      <c r="B597" s="89"/>
      <c r="C597" s="90"/>
      <c r="D597" s="91"/>
      <c r="E597" s="92"/>
      <c r="F597" s="89"/>
      <c r="G597" s="89"/>
      <c r="H597" s="89"/>
      <c r="I597" s="89"/>
      <c r="J597" s="89"/>
      <c r="K597" s="89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</row>
    <row r="598" spans="2:23" s="14" customFormat="1" ht="17.100000000000001" customHeight="1">
      <c r="B598" s="89"/>
      <c r="C598" s="90"/>
      <c r="D598" s="91"/>
      <c r="E598" s="92"/>
      <c r="F598" s="89"/>
      <c r="G598" s="89"/>
      <c r="H598" s="89"/>
      <c r="I598" s="89"/>
      <c r="J598" s="89"/>
      <c r="K598" s="89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</row>
    <row r="599" spans="2:23" s="14" customFormat="1" ht="17.100000000000001" customHeight="1">
      <c r="B599" s="89"/>
      <c r="C599" s="90"/>
      <c r="D599" s="91"/>
      <c r="E599" s="92"/>
      <c r="F599" s="89"/>
      <c r="G599" s="89"/>
      <c r="H599" s="89"/>
      <c r="I599" s="89"/>
      <c r="J599" s="89"/>
      <c r="K599" s="89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</row>
    <row r="600" spans="2:23" s="14" customFormat="1" ht="17.100000000000001" customHeight="1">
      <c r="B600" s="89"/>
      <c r="C600" s="90"/>
      <c r="D600" s="91"/>
      <c r="E600" s="92"/>
      <c r="F600" s="89"/>
      <c r="G600" s="89"/>
      <c r="H600" s="89"/>
      <c r="I600" s="89"/>
      <c r="J600" s="89"/>
      <c r="K600" s="89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</row>
    <row r="601" spans="2:23" s="14" customFormat="1" ht="17.100000000000001" customHeight="1">
      <c r="B601" s="89"/>
      <c r="C601" s="90"/>
      <c r="D601" s="91"/>
      <c r="E601" s="92"/>
      <c r="F601" s="89"/>
      <c r="G601" s="89"/>
      <c r="H601" s="89"/>
      <c r="I601" s="89"/>
      <c r="J601" s="89"/>
      <c r="K601" s="89"/>
      <c r="L601" s="93"/>
      <c r="M601" s="93"/>
      <c r="N601" s="93"/>
      <c r="O601" s="93"/>
      <c r="P601" s="93"/>
      <c r="Q601" s="93"/>
      <c r="R601" s="93"/>
      <c r="S601" s="93"/>
      <c r="T601" s="93"/>
      <c r="U601" s="93"/>
      <c r="V601" s="93"/>
      <c r="W601" s="93"/>
    </row>
    <row r="602" spans="2:23" s="14" customFormat="1" ht="17.100000000000001" customHeight="1">
      <c r="B602" s="89"/>
      <c r="C602" s="90"/>
      <c r="D602" s="91"/>
      <c r="E602" s="92"/>
      <c r="F602" s="89"/>
      <c r="G602" s="89"/>
      <c r="H602" s="89"/>
      <c r="I602" s="89"/>
      <c r="J602" s="89"/>
      <c r="K602" s="89"/>
      <c r="L602" s="93"/>
      <c r="M602" s="93"/>
      <c r="N602" s="93"/>
      <c r="O602" s="93"/>
      <c r="P602" s="93"/>
      <c r="Q602" s="93"/>
      <c r="R602" s="93"/>
      <c r="S602" s="93"/>
      <c r="T602" s="93"/>
      <c r="U602" s="93"/>
      <c r="V602" s="93"/>
      <c r="W602" s="93"/>
    </row>
    <row r="603" spans="2:23" s="14" customFormat="1" ht="17.100000000000001" customHeight="1">
      <c r="B603" s="89"/>
      <c r="C603" s="90"/>
      <c r="D603" s="91"/>
      <c r="E603" s="92"/>
      <c r="F603" s="89"/>
      <c r="G603" s="89"/>
      <c r="H603" s="89"/>
      <c r="I603" s="89"/>
      <c r="J603" s="89"/>
      <c r="K603" s="89"/>
      <c r="L603" s="93"/>
      <c r="M603" s="93"/>
      <c r="N603" s="93"/>
      <c r="O603" s="93"/>
      <c r="P603" s="93"/>
      <c r="Q603" s="93"/>
      <c r="R603" s="93"/>
      <c r="S603" s="93"/>
      <c r="T603" s="93"/>
      <c r="U603" s="93"/>
      <c r="V603" s="93"/>
      <c r="W603" s="93"/>
    </row>
    <row r="604" spans="2:23" s="14" customFormat="1" ht="17.100000000000001" customHeight="1">
      <c r="B604" s="89"/>
      <c r="C604" s="90"/>
      <c r="D604" s="91"/>
      <c r="E604" s="92"/>
      <c r="F604" s="89"/>
      <c r="G604" s="89"/>
      <c r="H604" s="89"/>
      <c r="I604" s="89"/>
      <c r="J604" s="89"/>
      <c r="K604" s="89"/>
      <c r="L604" s="93"/>
      <c r="M604" s="93"/>
      <c r="N604" s="93"/>
      <c r="O604" s="93"/>
      <c r="P604" s="93"/>
      <c r="Q604" s="93"/>
      <c r="R604" s="93"/>
      <c r="S604" s="93"/>
      <c r="T604" s="93"/>
      <c r="U604" s="93"/>
      <c r="V604" s="93"/>
      <c r="W604" s="93"/>
    </row>
    <row r="605" spans="2:23" s="14" customFormat="1" ht="17.100000000000001" customHeight="1">
      <c r="B605" s="89"/>
      <c r="C605" s="90"/>
      <c r="D605" s="91"/>
      <c r="E605" s="92"/>
      <c r="F605" s="89"/>
      <c r="G605" s="89"/>
      <c r="H605" s="89"/>
      <c r="I605" s="89"/>
      <c r="J605" s="89"/>
      <c r="K605" s="89"/>
      <c r="L605" s="93"/>
      <c r="M605" s="93"/>
      <c r="N605" s="93"/>
      <c r="O605" s="93"/>
      <c r="P605" s="93"/>
      <c r="Q605" s="93"/>
      <c r="R605" s="93"/>
      <c r="S605" s="93"/>
      <c r="T605" s="93"/>
      <c r="U605" s="93"/>
      <c r="V605" s="93"/>
      <c r="W605" s="93"/>
    </row>
    <row r="606" spans="2:23" s="14" customFormat="1" ht="17.100000000000001" customHeight="1">
      <c r="B606" s="89"/>
      <c r="C606" s="90"/>
      <c r="D606" s="91"/>
      <c r="E606" s="92"/>
      <c r="F606" s="89"/>
      <c r="G606" s="89"/>
      <c r="H606" s="89"/>
      <c r="I606" s="89"/>
      <c r="J606" s="89"/>
      <c r="K606" s="89"/>
      <c r="L606" s="93"/>
      <c r="M606" s="93"/>
      <c r="N606" s="93"/>
      <c r="O606" s="93"/>
      <c r="P606" s="93"/>
      <c r="Q606" s="93"/>
      <c r="R606" s="93"/>
      <c r="S606" s="93"/>
      <c r="T606" s="93"/>
      <c r="U606" s="93"/>
      <c r="V606" s="93"/>
      <c r="W606" s="93"/>
    </row>
    <row r="607" spans="2:23" s="14" customFormat="1" ht="17.100000000000001" customHeight="1">
      <c r="B607" s="89"/>
      <c r="C607" s="90"/>
      <c r="D607" s="91"/>
      <c r="E607" s="92"/>
      <c r="F607" s="89"/>
      <c r="G607" s="89"/>
      <c r="H607" s="89"/>
      <c r="I607" s="89"/>
      <c r="J607" s="89"/>
      <c r="K607" s="89"/>
      <c r="L607" s="93"/>
      <c r="M607" s="93"/>
      <c r="N607" s="93"/>
      <c r="O607" s="93"/>
      <c r="P607" s="93"/>
      <c r="Q607" s="93"/>
      <c r="R607" s="93"/>
      <c r="S607" s="93"/>
      <c r="T607" s="93"/>
      <c r="U607" s="93"/>
      <c r="V607" s="93"/>
      <c r="W607" s="93"/>
    </row>
    <row r="608" spans="2:23" s="14" customFormat="1" ht="17.100000000000001" customHeight="1">
      <c r="B608" s="89"/>
      <c r="C608" s="90"/>
      <c r="D608" s="91"/>
      <c r="E608" s="92"/>
      <c r="F608" s="89"/>
      <c r="G608" s="89"/>
      <c r="H608" s="89"/>
      <c r="I608" s="89"/>
      <c r="J608" s="89"/>
      <c r="K608" s="89"/>
      <c r="L608" s="93"/>
      <c r="M608" s="93"/>
      <c r="N608" s="93"/>
      <c r="O608" s="93"/>
      <c r="P608" s="93"/>
      <c r="Q608" s="93"/>
      <c r="R608" s="93"/>
      <c r="S608" s="93"/>
      <c r="T608" s="93"/>
      <c r="U608" s="93"/>
      <c r="V608" s="93"/>
      <c r="W608" s="93"/>
    </row>
    <row r="609" spans="2:23" s="14" customFormat="1" ht="17.100000000000001" customHeight="1">
      <c r="B609" s="89"/>
      <c r="C609" s="90"/>
      <c r="D609" s="91"/>
      <c r="E609" s="92"/>
      <c r="F609" s="89"/>
      <c r="G609" s="89"/>
      <c r="H609" s="89"/>
      <c r="I609" s="89"/>
      <c r="J609" s="89"/>
      <c r="K609" s="89"/>
      <c r="L609" s="93"/>
      <c r="M609" s="93"/>
      <c r="N609" s="93"/>
      <c r="O609" s="93"/>
      <c r="P609" s="93"/>
      <c r="Q609" s="93"/>
      <c r="R609" s="93"/>
      <c r="S609" s="93"/>
      <c r="T609" s="93"/>
      <c r="U609" s="93"/>
      <c r="V609" s="93"/>
      <c r="W609" s="93"/>
    </row>
    <row r="610" spans="2:23" s="14" customFormat="1" ht="17.100000000000001" customHeight="1">
      <c r="B610" s="89"/>
      <c r="C610" s="90"/>
      <c r="D610" s="91"/>
      <c r="E610" s="92"/>
      <c r="F610" s="89"/>
      <c r="G610" s="89"/>
      <c r="H610" s="89"/>
      <c r="I610" s="89"/>
      <c r="J610" s="89"/>
      <c r="K610" s="89"/>
      <c r="L610" s="93"/>
      <c r="M610" s="93"/>
      <c r="N610" s="93"/>
      <c r="O610" s="93"/>
      <c r="P610" s="93"/>
      <c r="Q610" s="93"/>
      <c r="R610" s="93"/>
      <c r="S610" s="93"/>
      <c r="T610" s="93"/>
      <c r="U610" s="93"/>
      <c r="V610" s="93"/>
      <c r="W610" s="93"/>
    </row>
    <row r="611" spans="2:23" s="14" customFormat="1" ht="17.100000000000001" customHeight="1">
      <c r="B611" s="89"/>
      <c r="C611" s="90"/>
      <c r="D611" s="91"/>
      <c r="E611" s="92"/>
      <c r="F611" s="89"/>
      <c r="G611" s="89"/>
      <c r="H611" s="89"/>
      <c r="I611" s="89"/>
      <c r="J611" s="89"/>
      <c r="K611" s="89"/>
      <c r="L611" s="93"/>
      <c r="M611" s="93"/>
      <c r="N611" s="93"/>
      <c r="O611" s="93"/>
      <c r="P611" s="93"/>
      <c r="Q611" s="93"/>
      <c r="R611" s="93"/>
      <c r="S611" s="93"/>
      <c r="T611" s="93"/>
      <c r="U611" s="93"/>
      <c r="V611" s="93"/>
      <c r="W611" s="93"/>
    </row>
    <row r="612" spans="2:23" s="14" customFormat="1" ht="17.100000000000001" customHeight="1">
      <c r="B612" s="89"/>
      <c r="C612" s="90"/>
      <c r="D612" s="91"/>
      <c r="E612" s="92"/>
      <c r="F612" s="89"/>
      <c r="G612" s="89"/>
      <c r="H612" s="89"/>
      <c r="I612" s="89"/>
      <c r="J612" s="89"/>
      <c r="K612" s="89"/>
      <c r="L612" s="93"/>
      <c r="M612" s="93"/>
      <c r="N612" s="93"/>
      <c r="O612" s="93"/>
      <c r="P612" s="93"/>
      <c r="Q612" s="93"/>
      <c r="R612" s="93"/>
      <c r="S612" s="93"/>
      <c r="T612" s="93"/>
      <c r="U612" s="93"/>
      <c r="V612" s="93"/>
      <c r="W612" s="93"/>
    </row>
    <row r="613" spans="2:23" s="14" customFormat="1" ht="17.100000000000001" customHeight="1">
      <c r="B613" s="89"/>
      <c r="C613" s="90"/>
      <c r="D613" s="91"/>
      <c r="E613" s="92"/>
      <c r="F613" s="89"/>
      <c r="G613" s="89"/>
      <c r="H613" s="89"/>
      <c r="I613" s="89"/>
      <c r="J613" s="89"/>
      <c r="K613" s="89"/>
      <c r="L613" s="93"/>
      <c r="M613" s="93"/>
      <c r="N613" s="93"/>
      <c r="O613" s="93"/>
      <c r="P613" s="93"/>
      <c r="Q613" s="93"/>
      <c r="R613" s="93"/>
      <c r="S613" s="93"/>
      <c r="T613" s="93"/>
      <c r="U613" s="93"/>
      <c r="V613" s="93"/>
      <c r="W613" s="93"/>
    </row>
    <row r="614" spans="2:23" s="14" customFormat="1" ht="17.100000000000001" customHeight="1">
      <c r="B614" s="89"/>
      <c r="C614" s="90"/>
      <c r="D614" s="91"/>
      <c r="E614" s="92"/>
      <c r="F614" s="89"/>
      <c r="G614" s="89"/>
      <c r="H614" s="89"/>
      <c r="I614" s="89"/>
      <c r="J614" s="89"/>
      <c r="K614" s="89"/>
      <c r="L614" s="93"/>
      <c r="M614" s="93"/>
      <c r="N614" s="93"/>
      <c r="O614" s="93"/>
      <c r="P614" s="93"/>
      <c r="Q614" s="93"/>
      <c r="R614" s="93"/>
      <c r="S614" s="93"/>
      <c r="T614" s="93"/>
      <c r="U614" s="93"/>
      <c r="V614" s="93"/>
      <c r="W614" s="93"/>
    </row>
    <row r="615" spans="2:23" s="14" customFormat="1" ht="17.100000000000001" customHeight="1">
      <c r="B615" s="89"/>
      <c r="C615" s="90"/>
      <c r="D615" s="91"/>
      <c r="E615" s="92"/>
      <c r="F615" s="89"/>
      <c r="G615" s="89"/>
      <c r="H615" s="89"/>
      <c r="I615" s="89"/>
      <c r="J615" s="89"/>
      <c r="K615" s="89"/>
      <c r="L615" s="93"/>
      <c r="M615" s="93"/>
      <c r="N615" s="93"/>
      <c r="O615" s="93"/>
      <c r="P615" s="93"/>
      <c r="Q615" s="93"/>
      <c r="R615" s="93"/>
      <c r="S615" s="93"/>
      <c r="T615" s="93"/>
      <c r="U615" s="93"/>
      <c r="V615" s="93"/>
      <c r="W615" s="93"/>
    </row>
    <row r="616" spans="2:23" s="14" customFormat="1" ht="17.100000000000001" customHeight="1">
      <c r="B616" s="89"/>
      <c r="C616" s="90"/>
      <c r="D616" s="91"/>
      <c r="E616" s="92"/>
      <c r="F616" s="89"/>
      <c r="G616" s="89"/>
      <c r="H616" s="89"/>
      <c r="I616" s="89"/>
      <c r="J616" s="89"/>
      <c r="K616" s="89"/>
      <c r="L616" s="93"/>
      <c r="M616" s="93"/>
      <c r="N616" s="93"/>
      <c r="O616" s="93"/>
      <c r="P616" s="93"/>
      <c r="Q616" s="93"/>
      <c r="R616" s="93"/>
      <c r="S616" s="93"/>
      <c r="T616" s="93"/>
      <c r="U616" s="93"/>
      <c r="V616" s="93"/>
      <c r="W616" s="93"/>
    </row>
    <row r="617" spans="2:23" s="14" customFormat="1" ht="17.100000000000001" customHeight="1">
      <c r="B617" s="89"/>
      <c r="C617" s="90"/>
      <c r="D617" s="91"/>
      <c r="E617" s="92"/>
      <c r="F617" s="89"/>
      <c r="G617" s="89"/>
      <c r="H617" s="89"/>
      <c r="I617" s="89"/>
      <c r="J617" s="89"/>
      <c r="K617" s="89"/>
      <c r="L617" s="93"/>
      <c r="M617" s="93"/>
      <c r="N617" s="93"/>
      <c r="O617" s="93"/>
      <c r="P617" s="93"/>
      <c r="Q617" s="93"/>
      <c r="R617" s="93"/>
      <c r="S617" s="93"/>
      <c r="T617" s="93"/>
      <c r="U617" s="93"/>
      <c r="V617" s="93"/>
      <c r="W617" s="93"/>
    </row>
    <row r="618" spans="2:23" s="14" customFormat="1" ht="17.100000000000001" customHeight="1">
      <c r="B618" s="89"/>
      <c r="C618" s="90"/>
      <c r="D618" s="91"/>
      <c r="E618" s="92"/>
      <c r="F618" s="89"/>
      <c r="G618" s="89"/>
      <c r="H618" s="89"/>
      <c r="I618" s="89"/>
      <c r="J618" s="89"/>
      <c r="K618" s="89"/>
      <c r="L618" s="93"/>
      <c r="M618" s="93"/>
      <c r="N618" s="93"/>
      <c r="O618" s="93"/>
      <c r="P618" s="93"/>
      <c r="Q618" s="93"/>
      <c r="R618" s="93"/>
      <c r="S618" s="93"/>
      <c r="T618" s="93"/>
      <c r="U618" s="93"/>
      <c r="V618" s="93"/>
      <c r="W618" s="93"/>
    </row>
    <row r="619" spans="2:23" s="14" customFormat="1" ht="17.100000000000001" customHeight="1">
      <c r="B619" s="89"/>
      <c r="C619" s="90"/>
      <c r="D619" s="91"/>
      <c r="E619" s="92"/>
      <c r="F619" s="89"/>
      <c r="G619" s="89"/>
      <c r="H619" s="89"/>
      <c r="I619" s="89"/>
      <c r="J619" s="89"/>
      <c r="K619" s="89"/>
      <c r="L619" s="93"/>
      <c r="M619" s="93"/>
      <c r="N619" s="93"/>
      <c r="O619" s="93"/>
      <c r="P619" s="93"/>
      <c r="Q619" s="93"/>
      <c r="R619" s="93"/>
      <c r="S619" s="93"/>
      <c r="T619" s="93"/>
      <c r="U619" s="93"/>
      <c r="V619" s="93"/>
      <c r="W619" s="93"/>
    </row>
    <row r="620" spans="2:23" s="14" customFormat="1" ht="17.100000000000001" customHeight="1">
      <c r="B620" s="89"/>
      <c r="C620" s="90"/>
      <c r="D620" s="91"/>
      <c r="E620" s="92"/>
      <c r="F620" s="89"/>
      <c r="G620" s="89"/>
      <c r="H620" s="89"/>
      <c r="I620" s="89"/>
      <c r="J620" s="89"/>
      <c r="K620" s="89"/>
      <c r="L620" s="93"/>
      <c r="M620" s="93"/>
      <c r="N620" s="93"/>
      <c r="O620" s="93"/>
      <c r="P620" s="93"/>
      <c r="Q620" s="93"/>
      <c r="R620" s="93"/>
      <c r="S620" s="93"/>
      <c r="T620" s="93"/>
      <c r="U620" s="93"/>
      <c r="V620" s="93"/>
      <c r="W620" s="93"/>
    </row>
    <row r="621" spans="2:23" s="14" customFormat="1" ht="17.100000000000001" customHeight="1">
      <c r="B621" s="89"/>
      <c r="C621" s="90"/>
      <c r="D621" s="91"/>
      <c r="E621" s="92"/>
      <c r="F621" s="89"/>
      <c r="G621" s="89"/>
      <c r="H621" s="89"/>
      <c r="I621" s="89"/>
      <c r="J621" s="89"/>
      <c r="K621" s="89"/>
      <c r="L621" s="93"/>
      <c r="M621" s="93"/>
      <c r="N621" s="93"/>
      <c r="O621" s="93"/>
      <c r="P621" s="93"/>
      <c r="Q621" s="93"/>
      <c r="R621" s="93"/>
      <c r="S621" s="93"/>
      <c r="T621" s="93"/>
      <c r="U621" s="93"/>
      <c r="V621" s="93"/>
      <c r="W621" s="93"/>
    </row>
    <row r="622" spans="2:23" s="14" customFormat="1" ht="17.100000000000001" customHeight="1">
      <c r="B622" s="89"/>
      <c r="C622" s="90"/>
      <c r="D622" s="91"/>
      <c r="E622" s="92"/>
      <c r="F622" s="89"/>
      <c r="G622" s="89"/>
      <c r="H622" s="89"/>
      <c r="I622" s="89"/>
      <c r="J622" s="89"/>
      <c r="K622" s="89"/>
      <c r="L622" s="93"/>
      <c r="M622" s="93"/>
      <c r="N622" s="93"/>
      <c r="O622" s="93"/>
      <c r="P622" s="93"/>
      <c r="Q622" s="93"/>
      <c r="R622" s="93"/>
      <c r="S622" s="93"/>
      <c r="T622" s="93"/>
      <c r="U622" s="93"/>
      <c r="V622" s="93"/>
      <c r="W622" s="93"/>
    </row>
    <row r="623" spans="2:23" s="14" customFormat="1" ht="17.100000000000001" customHeight="1">
      <c r="B623" s="89"/>
      <c r="C623" s="90"/>
      <c r="D623" s="91"/>
      <c r="E623" s="92"/>
      <c r="F623" s="89"/>
      <c r="G623" s="89"/>
      <c r="H623" s="89"/>
      <c r="I623" s="89"/>
      <c r="J623" s="89"/>
      <c r="K623" s="89"/>
      <c r="L623" s="93"/>
      <c r="M623" s="93"/>
      <c r="N623" s="93"/>
      <c r="O623" s="93"/>
      <c r="P623" s="93"/>
      <c r="Q623" s="93"/>
      <c r="R623" s="93"/>
      <c r="S623" s="93"/>
      <c r="T623" s="93"/>
      <c r="U623" s="93"/>
      <c r="V623" s="93"/>
      <c r="W623" s="93"/>
    </row>
    <row r="624" spans="2:23" s="14" customFormat="1" ht="17.100000000000001" customHeight="1">
      <c r="B624" s="89"/>
      <c r="C624" s="90"/>
      <c r="D624" s="91"/>
      <c r="E624" s="92"/>
      <c r="F624" s="89"/>
      <c r="G624" s="89"/>
      <c r="H624" s="89"/>
      <c r="I624" s="89"/>
      <c r="J624" s="89"/>
      <c r="K624" s="89"/>
      <c r="L624" s="93"/>
      <c r="M624" s="93"/>
      <c r="N624" s="93"/>
      <c r="O624" s="93"/>
      <c r="P624" s="93"/>
      <c r="Q624" s="93"/>
      <c r="R624" s="93"/>
      <c r="S624" s="93"/>
      <c r="T624" s="93"/>
      <c r="U624" s="93"/>
      <c r="V624" s="93"/>
      <c r="W624" s="93"/>
    </row>
    <row r="625" spans="2:23" s="14" customFormat="1" ht="17.100000000000001" customHeight="1">
      <c r="B625" s="89"/>
      <c r="C625" s="90"/>
      <c r="D625" s="91"/>
      <c r="E625" s="92"/>
      <c r="F625" s="89"/>
      <c r="G625" s="89"/>
      <c r="H625" s="89"/>
      <c r="I625" s="89"/>
      <c r="J625" s="89"/>
      <c r="K625" s="89"/>
      <c r="L625" s="93"/>
      <c r="M625" s="93"/>
      <c r="N625" s="93"/>
      <c r="O625" s="93"/>
      <c r="P625" s="93"/>
      <c r="Q625" s="93"/>
      <c r="R625" s="93"/>
      <c r="S625" s="93"/>
      <c r="T625" s="93"/>
      <c r="U625" s="93"/>
      <c r="V625" s="93"/>
      <c r="W625" s="93"/>
    </row>
    <row r="626" spans="2:23" s="14" customFormat="1" ht="17.100000000000001" customHeight="1">
      <c r="B626" s="89"/>
      <c r="C626" s="90"/>
      <c r="D626" s="91"/>
      <c r="E626" s="92"/>
      <c r="F626" s="89"/>
      <c r="G626" s="89"/>
      <c r="H626" s="89"/>
      <c r="I626" s="89"/>
      <c r="J626" s="89"/>
      <c r="K626" s="89"/>
      <c r="L626" s="93"/>
      <c r="M626" s="93"/>
      <c r="N626" s="93"/>
      <c r="O626" s="93"/>
      <c r="P626" s="93"/>
      <c r="Q626" s="93"/>
      <c r="R626" s="93"/>
      <c r="S626" s="93"/>
      <c r="T626" s="93"/>
      <c r="U626" s="93"/>
      <c r="V626" s="93"/>
      <c r="W626" s="93"/>
    </row>
    <row r="627" spans="2:23" s="14" customFormat="1" ht="17.100000000000001" customHeight="1">
      <c r="B627" s="89"/>
      <c r="C627" s="90"/>
      <c r="D627" s="91"/>
      <c r="E627" s="92"/>
      <c r="F627" s="89"/>
      <c r="G627" s="89"/>
      <c r="H627" s="89"/>
      <c r="I627" s="89"/>
      <c r="J627" s="89"/>
      <c r="K627" s="89"/>
      <c r="L627" s="93"/>
      <c r="M627" s="93"/>
      <c r="N627" s="93"/>
      <c r="O627" s="93"/>
      <c r="P627" s="93"/>
      <c r="Q627" s="93"/>
      <c r="R627" s="93"/>
      <c r="S627" s="93"/>
      <c r="T627" s="93"/>
      <c r="U627" s="93"/>
      <c r="V627" s="93"/>
      <c r="W627" s="93"/>
    </row>
    <row r="628" spans="2:23" s="14" customFormat="1" ht="17.100000000000001" customHeight="1">
      <c r="B628" s="89"/>
      <c r="C628" s="90"/>
      <c r="D628" s="91"/>
      <c r="E628" s="92"/>
      <c r="F628" s="89"/>
      <c r="G628" s="89"/>
      <c r="H628" s="89"/>
      <c r="I628" s="89"/>
      <c r="J628" s="89"/>
      <c r="K628" s="89"/>
      <c r="L628" s="93"/>
      <c r="M628" s="93"/>
      <c r="N628" s="93"/>
      <c r="O628" s="93"/>
      <c r="P628" s="93"/>
      <c r="Q628" s="93"/>
      <c r="R628" s="93"/>
      <c r="S628" s="93"/>
      <c r="T628" s="93"/>
      <c r="U628" s="93"/>
      <c r="V628" s="93"/>
      <c r="W628" s="93"/>
    </row>
    <row r="629" spans="2:23" s="14" customFormat="1" ht="17.100000000000001" customHeight="1">
      <c r="B629" s="89"/>
      <c r="C629" s="90"/>
      <c r="D629" s="91"/>
      <c r="E629" s="92"/>
      <c r="F629" s="89"/>
      <c r="G629" s="89"/>
      <c r="H629" s="89"/>
      <c r="I629" s="89"/>
      <c r="J629" s="89"/>
      <c r="K629" s="89"/>
      <c r="L629" s="93"/>
      <c r="M629" s="93"/>
      <c r="N629" s="93"/>
      <c r="O629" s="93"/>
      <c r="P629" s="93"/>
      <c r="Q629" s="93"/>
      <c r="R629" s="93"/>
      <c r="S629" s="93"/>
      <c r="T629" s="93"/>
      <c r="U629" s="93"/>
      <c r="V629" s="93"/>
      <c r="W629" s="93"/>
    </row>
    <row r="630" spans="2:23" s="14" customFormat="1" ht="17.100000000000001" customHeight="1">
      <c r="B630" s="89"/>
      <c r="C630" s="90"/>
      <c r="D630" s="91"/>
      <c r="E630" s="92"/>
      <c r="F630" s="89"/>
      <c r="G630" s="89"/>
      <c r="H630" s="89"/>
      <c r="I630" s="89"/>
      <c r="J630" s="89"/>
      <c r="K630" s="89"/>
      <c r="L630" s="93"/>
      <c r="M630" s="93"/>
      <c r="N630" s="93"/>
      <c r="O630" s="93"/>
      <c r="P630" s="93"/>
      <c r="Q630" s="93"/>
      <c r="R630" s="93"/>
      <c r="S630" s="93"/>
      <c r="T630" s="93"/>
      <c r="U630" s="93"/>
      <c r="V630" s="93"/>
      <c r="W630" s="93"/>
    </row>
    <row r="631" spans="2:23" s="14" customFormat="1" ht="17.100000000000001" customHeight="1">
      <c r="B631" s="89"/>
      <c r="C631" s="90"/>
      <c r="D631" s="91"/>
      <c r="E631" s="92"/>
      <c r="F631" s="89"/>
      <c r="G631" s="89"/>
      <c r="H631" s="89"/>
      <c r="I631" s="89"/>
      <c r="J631" s="89"/>
      <c r="K631" s="89"/>
      <c r="L631" s="93"/>
      <c r="M631" s="93"/>
      <c r="N631" s="93"/>
      <c r="O631" s="93"/>
      <c r="P631" s="93"/>
      <c r="Q631" s="93"/>
      <c r="R631" s="93"/>
      <c r="S631" s="93"/>
      <c r="T631" s="93"/>
      <c r="U631" s="93"/>
      <c r="V631" s="93"/>
      <c r="W631" s="93"/>
    </row>
    <row r="632" spans="2:23" s="14" customFormat="1" ht="17.100000000000001" customHeight="1">
      <c r="B632" s="89"/>
      <c r="C632" s="90"/>
      <c r="D632" s="91"/>
      <c r="E632" s="92"/>
      <c r="F632" s="89"/>
      <c r="G632" s="89"/>
      <c r="H632" s="89"/>
      <c r="I632" s="89"/>
      <c r="J632" s="89"/>
      <c r="K632" s="89"/>
      <c r="L632" s="93"/>
      <c r="M632" s="93"/>
      <c r="N632" s="93"/>
      <c r="O632" s="93"/>
      <c r="P632" s="93"/>
      <c r="Q632" s="93"/>
      <c r="R632" s="93"/>
      <c r="S632" s="93"/>
      <c r="T632" s="93"/>
      <c r="U632" s="93"/>
      <c r="V632" s="93"/>
      <c r="W632" s="93"/>
    </row>
    <row r="633" spans="2:23" s="14" customFormat="1" ht="17.100000000000001" customHeight="1">
      <c r="B633" s="89"/>
      <c r="C633" s="90"/>
      <c r="D633" s="91"/>
      <c r="E633" s="92"/>
      <c r="F633" s="89"/>
      <c r="G633" s="89"/>
      <c r="H633" s="89"/>
      <c r="I633" s="89"/>
      <c r="J633" s="89"/>
      <c r="K633" s="89"/>
      <c r="L633" s="93"/>
      <c r="M633" s="93"/>
      <c r="N633" s="93"/>
      <c r="O633" s="93"/>
      <c r="P633" s="93"/>
      <c r="Q633" s="93"/>
      <c r="R633" s="93"/>
      <c r="S633" s="93"/>
      <c r="T633" s="93"/>
      <c r="U633" s="93"/>
      <c r="V633" s="93"/>
      <c r="W633" s="93"/>
    </row>
    <row r="634" spans="2:23" s="14" customFormat="1" ht="17.100000000000001" customHeight="1">
      <c r="B634" s="89"/>
      <c r="C634" s="90"/>
      <c r="D634" s="91"/>
      <c r="E634" s="92"/>
      <c r="F634" s="89"/>
      <c r="G634" s="89"/>
      <c r="H634" s="89"/>
      <c r="I634" s="89"/>
      <c r="J634" s="89"/>
      <c r="K634" s="89"/>
      <c r="L634" s="93"/>
      <c r="M634" s="93"/>
      <c r="N634" s="93"/>
      <c r="O634" s="93"/>
      <c r="P634" s="93"/>
      <c r="Q634" s="93"/>
      <c r="R634" s="93"/>
      <c r="S634" s="93"/>
      <c r="T634" s="93"/>
      <c r="U634" s="93"/>
      <c r="V634" s="93"/>
      <c r="W634" s="93"/>
    </row>
    <row r="635" spans="2:23" s="14" customFormat="1" ht="17.100000000000001" customHeight="1">
      <c r="B635" s="89"/>
      <c r="C635" s="90"/>
      <c r="D635" s="91"/>
      <c r="E635" s="92"/>
      <c r="F635" s="89"/>
      <c r="G635" s="89"/>
      <c r="H635" s="89"/>
      <c r="I635" s="89"/>
      <c r="J635" s="89"/>
      <c r="K635" s="89"/>
      <c r="L635" s="93"/>
      <c r="M635" s="93"/>
      <c r="N635" s="93"/>
      <c r="O635" s="93"/>
      <c r="P635" s="93"/>
      <c r="Q635" s="93"/>
      <c r="R635" s="93"/>
      <c r="S635" s="93"/>
      <c r="T635" s="93"/>
      <c r="U635" s="93"/>
      <c r="V635" s="93"/>
      <c r="W635" s="93"/>
    </row>
    <row r="636" spans="2:23" s="14" customFormat="1" ht="17.100000000000001" customHeight="1">
      <c r="B636" s="89"/>
      <c r="C636" s="90"/>
      <c r="D636" s="91"/>
      <c r="E636" s="92"/>
      <c r="F636" s="89"/>
      <c r="G636" s="89"/>
      <c r="H636" s="89"/>
      <c r="I636" s="89"/>
      <c r="J636" s="89"/>
      <c r="K636" s="89"/>
      <c r="L636" s="93"/>
      <c r="M636" s="93"/>
      <c r="N636" s="93"/>
      <c r="O636" s="93"/>
      <c r="P636" s="93"/>
      <c r="Q636" s="93"/>
      <c r="R636" s="93"/>
      <c r="S636" s="93"/>
      <c r="T636" s="93"/>
      <c r="U636" s="93"/>
      <c r="V636" s="93"/>
      <c r="W636" s="93"/>
    </row>
    <row r="637" spans="2:23" s="14" customFormat="1" ht="17.100000000000001" customHeight="1">
      <c r="B637" s="89"/>
      <c r="C637" s="90"/>
      <c r="D637" s="91"/>
      <c r="E637" s="92"/>
      <c r="F637" s="89"/>
      <c r="G637" s="89"/>
      <c r="H637" s="89"/>
      <c r="I637" s="89"/>
      <c r="J637" s="89"/>
      <c r="K637" s="89"/>
      <c r="L637" s="93"/>
      <c r="M637" s="93"/>
      <c r="N637" s="93"/>
      <c r="O637" s="93"/>
      <c r="P637" s="93"/>
      <c r="Q637" s="93"/>
      <c r="R637" s="93"/>
      <c r="S637" s="93"/>
      <c r="T637" s="93"/>
      <c r="U637" s="93"/>
      <c r="V637" s="93"/>
      <c r="W637" s="93"/>
    </row>
    <row r="638" spans="2:23" s="14" customFormat="1" ht="17.100000000000001" customHeight="1">
      <c r="B638" s="89"/>
      <c r="C638" s="90"/>
      <c r="D638" s="91"/>
      <c r="E638" s="92"/>
      <c r="F638" s="89"/>
      <c r="G638" s="89"/>
      <c r="H638" s="89"/>
      <c r="I638" s="89"/>
      <c r="J638" s="89"/>
      <c r="K638" s="89"/>
      <c r="L638" s="93"/>
      <c r="M638" s="93"/>
      <c r="N638" s="93"/>
      <c r="O638" s="93"/>
      <c r="P638" s="93"/>
      <c r="Q638" s="93"/>
      <c r="R638" s="93"/>
      <c r="S638" s="93"/>
      <c r="T638" s="93"/>
      <c r="U638" s="93"/>
      <c r="V638" s="93"/>
      <c r="W638" s="93"/>
    </row>
    <row r="639" spans="2:23" s="14" customFormat="1" ht="17.100000000000001" customHeight="1">
      <c r="B639" s="89"/>
      <c r="C639" s="90"/>
      <c r="D639" s="91"/>
      <c r="E639" s="92"/>
      <c r="F639" s="89"/>
      <c r="G639" s="89"/>
      <c r="H639" s="89"/>
      <c r="I639" s="89"/>
      <c r="J639" s="89"/>
      <c r="K639" s="89"/>
      <c r="L639" s="93"/>
      <c r="M639" s="93"/>
      <c r="N639" s="93"/>
      <c r="O639" s="93"/>
      <c r="P639" s="93"/>
      <c r="Q639" s="93"/>
      <c r="R639" s="93"/>
      <c r="S639" s="93"/>
      <c r="T639" s="93"/>
      <c r="U639" s="93"/>
      <c r="V639" s="93"/>
      <c r="W639" s="93"/>
    </row>
    <row r="640" spans="2:23" s="14" customFormat="1" ht="17.100000000000001" customHeight="1">
      <c r="B640" s="89"/>
      <c r="C640" s="90"/>
      <c r="D640" s="91"/>
      <c r="E640" s="92"/>
      <c r="F640" s="89"/>
      <c r="G640" s="89"/>
      <c r="H640" s="89"/>
      <c r="I640" s="89"/>
      <c r="J640" s="89"/>
      <c r="K640" s="89"/>
      <c r="L640" s="93"/>
      <c r="M640" s="93"/>
      <c r="N640" s="93"/>
      <c r="O640" s="93"/>
      <c r="P640" s="93"/>
      <c r="Q640" s="93"/>
      <c r="R640" s="93"/>
      <c r="S640" s="93"/>
      <c r="T640" s="93"/>
      <c r="U640" s="93"/>
      <c r="V640" s="93"/>
      <c r="W640" s="93"/>
    </row>
    <row r="641" spans="2:23" s="14" customFormat="1" ht="17.100000000000001" customHeight="1">
      <c r="B641" s="89"/>
      <c r="C641" s="90"/>
      <c r="D641" s="91"/>
      <c r="E641" s="92"/>
      <c r="F641" s="89"/>
      <c r="G641" s="89"/>
      <c r="H641" s="89"/>
      <c r="I641" s="89"/>
      <c r="J641" s="89"/>
      <c r="K641" s="89"/>
      <c r="L641" s="93"/>
      <c r="M641" s="93"/>
      <c r="N641" s="93"/>
      <c r="O641" s="93"/>
      <c r="P641" s="93"/>
      <c r="Q641" s="93"/>
      <c r="R641" s="93"/>
      <c r="S641" s="93"/>
      <c r="T641" s="93"/>
      <c r="U641" s="93"/>
      <c r="V641" s="93"/>
      <c r="W641" s="93"/>
    </row>
    <row r="642" spans="2:23" s="14" customFormat="1" ht="17.100000000000001" customHeight="1">
      <c r="B642" s="89"/>
      <c r="C642" s="90"/>
      <c r="D642" s="91"/>
      <c r="E642" s="92"/>
      <c r="F642" s="89"/>
      <c r="G642" s="89"/>
      <c r="H642" s="89"/>
      <c r="I642" s="89"/>
      <c r="J642" s="89"/>
      <c r="K642" s="89"/>
      <c r="L642" s="93"/>
      <c r="M642" s="93"/>
      <c r="N642" s="93"/>
      <c r="O642" s="93"/>
      <c r="P642" s="93"/>
      <c r="Q642" s="93"/>
      <c r="R642" s="93"/>
      <c r="S642" s="93"/>
      <c r="T642" s="93"/>
      <c r="U642" s="93"/>
      <c r="V642" s="93"/>
      <c r="W642" s="93"/>
    </row>
    <row r="643" spans="2:23" s="14" customFormat="1" ht="17.100000000000001" customHeight="1">
      <c r="B643" s="89"/>
      <c r="C643" s="90"/>
      <c r="D643" s="91"/>
      <c r="E643" s="92"/>
      <c r="F643" s="89"/>
      <c r="G643" s="89"/>
      <c r="H643" s="89"/>
      <c r="I643" s="89"/>
      <c r="J643" s="89"/>
      <c r="K643" s="89"/>
      <c r="L643" s="93"/>
      <c r="M643" s="93"/>
      <c r="N643" s="93"/>
      <c r="O643" s="93"/>
      <c r="P643" s="93"/>
      <c r="Q643" s="93"/>
      <c r="R643" s="93"/>
      <c r="S643" s="93"/>
      <c r="T643" s="93"/>
      <c r="U643" s="93"/>
      <c r="V643" s="93"/>
      <c r="W643" s="93"/>
    </row>
    <row r="644" spans="2:23" s="14" customFormat="1" ht="17.100000000000001" customHeight="1">
      <c r="B644" s="89"/>
      <c r="C644" s="90"/>
      <c r="D644" s="91"/>
      <c r="E644" s="92"/>
      <c r="F644" s="89"/>
      <c r="G644" s="89"/>
      <c r="H644" s="89"/>
      <c r="I644" s="89"/>
      <c r="J644" s="89"/>
      <c r="K644" s="89"/>
      <c r="L644" s="93"/>
      <c r="M644" s="93"/>
      <c r="N644" s="93"/>
      <c r="O644" s="93"/>
      <c r="P644" s="93"/>
      <c r="Q644" s="93"/>
      <c r="R644" s="93"/>
      <c r="S644" s="93"/>
      <c r="T644" s="93"/>
      <c r="U644" s="93"/>
      <c r="V644" s="93"/>
      <c r="W644" s="93"/>
    </row>
    <row r="645" spans="2:23" s="14" customFormat="1" ht="17.100000000000001" customHeight="1">
      <c r="B645" s="89"/>
      <c r="C645" s="90"/>
      <c r="D645" s="91"/>
      <c r="E645" s="92"/>
      <c r="F645" s="89"/>
      <c r="G645" s="89"/>
      <c r="H645" s="89"/>
      <c r="I645" s="89"/>
      <c r="J645" s="89"/>
      <c r="K645" s="89"/>
      <c r="L645" s="93"/>
      <c r="M645" s="93"/>
      <c r="N645" s="93"/>
      <c r="O645" s="93"/>
      <c r="P645" s="93"/>
      <c r="Q645" s="93"/>
      <c r="R645" s="93"/>
      <c r="S645" s="93"/>
      <c r="T645" s="93"/>
      <c r="U645" s="93"/>
      <c r="V645" s="93"/>
      <c r="W645" s="93"/>
    </row>
    <row r="646" spans="2:23" s="14" customFormat="1" ht="17.100000000000001" customHeight="1">
      <c r="B646" s="89"/>
      <c r="C646" s="90"/>
      <c r="D646" s="91"/>
      <c r="E646" s="92"/>
      <c r="F646" s="89"/>
      <c r="G646" s="89"/>
      <c r="H646" s="89"/>
      <c r="I646" s="89"/>
      <c r="J646" s="89"/>
      <c r="K646" s="89"/>
      <c r="L646" s="93"/>
      <c r="M646" s="93"/>
      <c r="N646" s="93"/>
      <c r="O646" s="93"/>
      <c r="P646" s="93"/>
      <c r="Q646" s="93"/>
      <c r="R646" s="93"/>
      <c r="S646" s="93"/>
      <c r="T646" s="93"/>
      <c r="U646" s="93"/>
      <c r="V646" s="93"/>
      <c r="W646" s="93"/>
    </row>
    <row r="647" spans="2:23" s="14" customFormat="1" ht="17.100000000000001" customHeight="1">
      <c r="B647" s="89"/>
      <c r="C647" s="90"/>
      <c r="D647" s="91"/>
      <c r="E647" s="92"/>
      <c r="F647" s="89"/>
      <c r="G647" s="89"/>
      <c r="H647" s="89"/>
      <c r="I647" s="89"/>
      <c r="J647" s="89"/>
      <c r="K647" s="89"/>
      <c r="L647" s="93"/>
      <c r="M647" s="93"/>
      <c r="N647" s="93"/>
      <c r="O647" s="93"/>
      <c r="P647" s="93"/>
      <c r="Q647" s="93"/>
      <c r="R647" s="93"/>
      <c r="S647" s="93"/>
      <c r="T647" s="93"/>
      <c r="U647" s="93"/>
      <c r="V647" s="93"/>
      <c r="W647" s="93"/>
    </row>
    <row r="648" spans="2:23" s="14" customFormat="1" ht="17.100000000000001" customHeight="1">
      <c r="B648" s="89"/>
      <c r="C648" s="90"/>
      <c r="D648" s="91"/>
      <c r="E648" s="92"/>
      <c r="F648" s="89"/>
      <c r="G648" s="89"/>
      <c r="H648" s="89"/>
      <c r="I648" s="89"/>
      <c r="J648" s="89"/>
      <c r="K648" s="89"/>
      <c r="L648" s="93"/>
      <c r="M648" s="93"/>
      <c r="N648" s="93"/>
      <c r="O648" s="93"/>
      <c r="P648" s="93"/>
      <c r="Q648" s="93"/>
      <c r="R648" s="93"/>
      <c r="S648" s="93"/>
      <c r="T648" s="93"/>
      <c r="U648" s="93"/>
      <c r="V648" s="93"/>
      <c r="W648" s="93"/>
    </row>
    <row r="649" spans="2:23" s="14" customFormat="1" ht="17.100000000000001" customHeight="1">
      <c r="B649" s="89"/>
      <c r="C649" s="90"/>
      <c r="D649" s="91"/>
      <c r="E649" s="92"/>
      <c r="F649" s="89"/>
      <c r="G649" s="89"/>
      <c r="H649" s="89"/>
      <c r="I649" s="89"/>
      <c r="J649" s="89"/>
      <c r="K649" s="89"/>
      <c r="L649" s="93"/>
      <c r="M649" s="93"/>
      <c r="N649" s="93"/>
      <c r="O649" s="93"/>
      <c r="P649" s="93"/>
      <c r="Q649" s="93"/>
      <c r="R649" s="93"/>
      <c r="S649" s="93"/>
      <c r="T649" s="93"/>
      <c r="U649" s="93"/>
      <c r="V649" s="93"/>
      <c r="W649" s="93"/>
    </row>
    <row r="650" spans="2:23" s="14" customFormat="1" ht="17.100000000000001" customHeight="1">
      <c r="B650" s="89"/>
      <c r="C650" s="90"/>
      <c r="D650" s="91"/>
      <c r="E650" s="92"/>
      <c r="F650" s="89"/>
      <c r="G650" s="89"/>
      <c r="H650" s="89"/>
      <c r="I650" s="89"/>
      <c r="J650" s="89"/>
      <c r="K650" s="89"/>
      <c r="L650" s="93"/>
      <c r="M650" s="93"/>
      <c r="N650" s="93"/>
      <c r="O650" s="93"/>
      <c r="P650" s="93"/>
      <c r="Q650" s="93"/>
      <c r="R650" s="93"/>
      <c r="S650" s="93"/>
      <c r="T650" s="93"/>
      <c r="U650" s="93"/>
      <c r="V650" s="93"/>
      <c r="W650" s="93"/>
    </row>
    <row r="651" spans="2:23" s="14" customFormat="1" ht="17.100000000000001" customHeight="1">
      <c r="B651" s="89"/>
      <c r="C651" s="90"/>
      <c r="D651" s="91"/>
      <c r="E651" s="92"/>
      <c r="F651" s="89"/>
      <c r="G651" s="89"/>
      <c r="H651" s="89"/>
      <c r="I651" s="89"/>
      <c r="J651" s="89"/>
      <c r="K651" s="89"/>
      <c r="L651" s="93"/>
      <c r="M651" s="93"/>
      <c r="N651" s="93"/>
      <c r="O651" s="93"/>
      <c r="P651" s="93"/>
      <c r="Q651" s="93"/>
      <c r="R651" s="93"/>
      <c r="S651" s="93"/>
      <c r="T651" s="93"/>
      <c r="U651" s="93"/>
      <c r="V651" s="93"/>
      <c r="W651" s="93"/>
    </row>
    <row r="652" spans="2:23" s="14" customFormat="1" ht="17.100000000000001" customHeight="1">
      <c r="B652" s="89"/>
      <c r="C652" s="90"/>
      <c r="D652" s="91"/>
      <c r="E652" s="92"/>
      <c r="F652" s="89"/>
      <c r="G652" s="89"/>
      <c r="H652" s="89"/>
      <c r="I652" s="89"/>
      <c r="J652" s="89"/>
      <c r="K652" s="89"/>
      <c r="L652" s="93"/>
      <c r="M652" s="93"/>
      <c r="N652" s="93"/>
      <c r="O652" s="93"/>
      <c r="P652" s="93"/>
      <c r="Q652" s="93"/>
      <c r="R652" s="93"/>
      <c r="S652" s="93"/>
      <c r="T652" s="93"/>
      <c r="U652" s="93"/>
      <c r="V652" s="93"/>
      <c r="W652" s="93"/>
    </row>
    <row r="653" spans="2:23" s="14" customFormat="1" ht="17.100000000000001" customHeight="1">
      <c r="B653" s="89"/>
      <c r="C653" s="90"/>
      <c r="D653" s="91"/>
      <c r="E653" s="92"/>
      <c r="F653" s="89"/>
      <c r="G653" s="89"/>
      <c r="H653" s="89"/>
      <c r="I653" s="89"/>
      <c r="J653" s="89"/>
      <c r="K653" s="89"/>
      <c r="L653" s="93"/>
      <c r="M653" s="93"/>
      <c r="N653" s="93"/>
      <c r="O653" s="93"/>
      <c r="P653" s="93"/>
      <c r="Q653" s="93"/>
      <c r="R653" s="93"/>
      <c r="S653" s="93"/>
      <c r="T653" s="93"/>
      <c r="U653" s="93"/>
      <c r="V653" s="93"/>
      <c r="W653" s="93"/>
    </row>
    <row r="654" spans="2:23" s="14" customFormat="1" ht="17.100000000000001" customHeight="1">
      <c r="B654" s="89"/>
      <c r="C654" s="90"/>
      <c r="D654" s="91"/>
      <c r="E654" s="92"/>
      <c r="F654" s="89"/>
      <c r="G654" s="89"/>
      <c r="H654" s="89"/>
      <c r="I654" s="89"/>
      <c r="J654" s="89"/>
      <c r="K654" s="89"/>
      <c r="L654" s="93"/>
      <c r="M654" s="93"/>
      <c r="N654" s="93"/>
      <c r="O654" s="93"/>
      <c r="P654" s="93"/>
      <c r="Q654" s="93"/>
      <c r="R654" s="93"/>
      <c r="S654" s="93"/>
      <c r="T654" s="93"/>
      <c r="U654" s="93"/>
      <c r="V654" s="93"/>
      <c r="W654" s="93"/>
    </row>
    <row r="655" spans="2:23" s="14" customFormat="1" ht="17.100000000000001" customHeight="1">
      <c r="B655" s="89"/>
      <c r="C655" s="90"/>
      <c r="D655" s="91"/>
      <c r="E655" s="92"/>
      <c r="F655" s="89"/>
      <c r="G655" s="89"/>
      <c r="H655" s="89"/>
      <c r="I655" s="89"/>
      <c r="J655" s="89"/>
      <c r="K655" s="89"/>
      <c r="L655" s="93"/>
      <c r="M655" s="93"/>
      <c r="N655" s="93"/>
      <c r="O655" s="93"/>
      <c r="P655" s="93"/>
      <c r="Q655" s="93"/>
      <c r="R655" s="93"/>
      <c r="S655" s="93"/>
      <c r="T655" s="93"/>
      <c r="U655" s="93"/>
      <c r="V655" s="93"/>
      <c r="W655" s="93"/>
    </row>
    <row r="656" spans="2:23" s="14" customFormat="1" ht="17.100000000000001" customHeight="1">
      <c r="B656" s="89"/>
      <c r="C656" s="90"/>
      <c r="D656" s="91"/>
      <c r="E656" s="92"/>
      <c r="F656" s="89"/>
      <c r="G656" s="89"/>
      <c r="H656" s="89"/>
      <c r="I656" s="89"/>
      <c r="J656" s="89"/>
      <c r="K656" s="89"/>
      <c r="L656" s="93"/>
      <c r="M656" s="93"/>
      <c r="N656" s="93"/>
      <c r="O656" s="93"/>
      <c r="P656" s="93"/>
      <c r="Q656" s="93"/>
      <c r="R656" s="93"/>
      <c r="S656" s="93"/>
      <c r="T656" s="93"/>
      <c r="U656" s="93"/>
      <c r="V656" s="93"/>
      <c r="W656" s="93"/>
    </row>
    <row r="657" spans="2:23" s="14" customFormat="1" ht="17.100000000000001" customHeight="1">
      <c r="B657" s="89"/>
      <c r="C657" s="90"/>
      <c r="D657" s="91"/>
      <c r="E657" s="92"/>
      <c r="F657" s="89"/>
      <c r="G657" s="89"/>
      <c r="H657" s="89"/>
      <c r="I657" s="89"/>
      <c r="J657" s="89"/>
      <c r="K657" s="89"/>
      <c r="L657" s="93"/>
      <c r="M657" s="93"/>
      <c r="N657" s="93"/>
      <c r="O657" s="93"/>
      <c r="P657" s="93"/>
      <c r="Q657" s="93"/>
      <c r="R657" s="93"/>
      <c r="S657" s="93"/>
      <c r="T657" s="93"/>
      <c r="U657" s="93"/>
      <c r="V657" s="93"/>
      <c r="W657" s="93"/>
    </row>
    <row r="658" spans="2:23" s="14" customFormat="1" ht="17.100000000000001" customHeight="1">
      <c r="B658" s="89"/>
      <c r="C658" s="90"/>
      <c r="D658" s="91"/>
      <c r="E658" s="92"/>
      <c r="F658" s="89"/>
      <c r="G658" s="89"/>
      <c r="H658" s="89"/>
      <c r="I658" s="89"/>
      <c r="J658" s="89"/>
      <c r="K658" s="89"/>
      <c r="L658" s="93"/>
      <c r="M658" s="93"/>
      <c r="N658" s="93"/>
      <c r="O658" s="93"/>
      <c r="P658" s="93"/>
      <c r="Q658" s="93"/>
      <c r="R658" s="93"/>
      <c r="S658" s="93"/>
      <c r="T658" s="93"/>
      <c r="U658" s="93"/>
      <c r="V658" s="93"/>
      <c r="W658" s="93"/>
    </row>
    <row r="659" spans="2:23" s="14" customFormat="1" ht="17.100000000000001" customHeight="1">
      <c r="B659" s="89"/>
      <c r="C659" s="90"/>
      <c r="D659" s="91"/>
      <c r="E659" s="92"/>
      <c r="F659" s="89"/>
      <c r="G659" s="89"/>
      <c r="H659" s="89"/>
      <c r="I659" s="89"/>
      <c r="J659" s="89"/>
      <c r="K659" s="89"/>
      <c r="L659" s="93"/>
      <c r="M659" s="93"/>
      <c r="N659" s="93"/>
      <c r="O659" s="93"/>
      <c r="P659" s="93"/>
      <c r="Q659" s="93"/>
      <c r="R659" s="93"/>
      <c r="S659" s="93"/>
      <c r="T659" s="93"/>
      <c r="U659" s="93"/>
      <c r="V659" s="93"/>
      <c r="W659" s="93"/>
    </row>
    <row r="660" spans="2:23" s="14" customFormat="1" ht="17.100000000000001" customHeight="1">
      <c r="B660" s="89"/>
      <c r="C660" s="90"/>
      <c r="D660" s="91"/>
      <c r="E660" s="92"/>
      <c r="F660" s="89"/>
      <c r="G660" s="89"/>
      <c r="H660" s="89"/>
      <c r="I660" s="89"/>
      <c r="J660" s="89"/>
      <c r="K660" s="89"/>
      <c r="L660" s="93"/>
      <c r="M660" s="93"/>
      <c r="N660" s="93"/>
      <c r="O660" s="93"/>
      <c r="P660" s="93"/>
      <c r="Q660" s="93"/>
      <c r="R660" s="93"/>
      <c r="S660" s="93"/>
      <c r="T660" s="93"/>
      <c r="U660" s="93"/>
      <c r="V660" s="93"/>
      <c r="W660" s="93"/>
    </row>
    <row r="661" spans="2:23" s="14" customFormat="1" ht="17.100000000000001" customHeight="1">
      <c r="B661" s="89"/>
      <c r="C661" s="90"/>
      <c r="D661" s="91"/>
      <c r="E661" s="92"/>
      <c r="F661" s="89"/>
      <c r="G661" s="89"/>
      <c r="H661" s="89"/>
      <c r="I661" s="89"/>
      <c r="J661" s="89"/>
      <c r="K661" s="89"/>
      <c r="L661" s="93"/>
      <c r="M661" s="93"/>
      <c r="N661" s="93"/>
      <c r="O661" s="93"/>
      <c r="P661" s="93"/>
      <c r="Q661" s="93"/>
      <c r="R661" s="93"/>
      <c r="S661" s="93"/>
      <c r="T661" s="93"/>
      <c r="U661" s="93"/>
      <c r="V661" s="93"/>
      <c r="W661" s="93"/>
    </row>
    <row r="662" spans="2:23" s="14" customFormat="1" ht="17.100000000000001" customHeight="1">
      <c r="B662" s="89"/>
      <c r="C662" s="90"/>
      <c r="D662" s="91"/>
      <c r="E662" s="92"/>
      <c r="F662" s="89"/>
      <c r="G662" s="89"/>
      <c r="H662" s="89"/>
      <c r="I662" s="89"/>
      <c r="J662" s="89"/>
      <c r="K662" s="89"/>
      <c r="L662" s="93"/>
      <c r="M662" s="93"/>
      <c r="N662" s="93"/>
      <c r="O662" s="93"/>
      <c r="P662" s="93"/>
      <c r="Q662" s="93"/>
      <c r="R662" s="93"/>
      <c r="S662" s="93"/>
      <c r="T662" s="93"/>
      <c r="U662" s="93"/>
      <c r="V662" s="93"/>
      <c r="W662" s="93"/>
    </row>
    <row r="663" spans="2:23" s="14" customFormat="1" ht="17.100000000000001" customHeight="1">
      <c r="B663" s="89"/>
      <c r="C663" s="90"/>
      <c r="D663" s="91"/>
      <c r="E663" s="92"/>
      <c r="F663" s="89"/>
      <c r="G663" s="89"/>
      <c r="H663" s="89"/>
      <c r="I663" s="89"/>
      <c r="J663" s="89"/>
      <c r="K663" s="89"/>
      <c r="L663" s="93"/>
      <c r="M663" s="93"/>
      <c r="N663" s="93"/>
      <c r="O663" s="93"/>
      <c r="P663" s="93"/>
      <c r="Q663" s="93"/>
      <c r="R663" s="93"/>
      <c r="S663" s="93"/>
      <c r="T663" s="93"/>
      <c r="U663" s="93"/>
      <c r="V663" s="93"/>
      <c r="W663" s="93"/>
    </row>
    <row r="664" spans="2:23" s="14" customFormat="1" ht="17.100000000000001" customHeight="1">
      <c r="B664" s="89"/>
      <c r="C664" s="90"/>
      <c r="D664" s="91"/>
      <c r="E664" s="92"/>
      <c r="F664" s="89"/>
      <c r="G664" s="89"/>
      <c r="H664" s="89"/>
      <c r="I664" s="89"/>
      <c r="J664" s="89"/>
      <c r="K664" s="89"/>
      <c r="L664" s="93"/>
      <c r="M664" s="93"/>
      <c r="N664" s="93"/>
      <c r="O664" s="93"/>
      <c r="P664" s="93"/>
      <c r="Q664" s="93"/>
      <c r="R664" s="93"/>
      <c r="S664" s="93"/>
      <c r="T664" s="93"/>
      <c r="U664" s="93"/>
      <c r="V664" s="93"/>
      <c r="W664" s="93"/>
    </row>
    <row r="665" spans="2:23" s="14" customFormat="1" ht="17.100000000000001" customHeight="1">
      <c r="B665" s="89"/>
      <c r="C665" s="90"/>
      <c r="D665" s="91"/>
      <c r="E665" s="92"/>
      <c r="F665" s="89"/>
      <c r="G665" s="89"/>
      <c r="H665" s="89"/>
      <c r="I665" s="89"/>
      <c r="J665" s="89"/>
      <c r="K665" s="89"/>
      <c r="L665" s="93"/>
      <c r="M665" s="93"/>
      <c r="N665" s="93"/>
      <c r="O665" s="93"/>
      <c r="P665" s="93"/>
      <c r="Q665" s="93"/>
      <c r="R665" s="93"/>
      <c r="S665" s="93"/>
      <c r="T665" s="93"/>
      <c r="U665" s="93"/>
      <c r="V665" s="93"/>
      <c r="W665" s="93"/>
    </row>
    <row r="666" spans="2:23" s="14" customFormat="1" ht="17.100000000000001" customHeight="1">
      <c r="B666" s="89"/>
      <c r="C666" s="90"/>
      <c r="D666" s="91"/>
      <c r="E666" s="92"/>
      <c r="F666" s="89"/>
      <c r="G666" s="89"/>
      <c r="H666" s="89"/>
      <c r="I666" s="89"/>
      <c r="J666" s="89"/>
      <c r="K666" s="89"/>
      <c r="L666" s="93"/>
      <c r="M666" s="93"/>
      <c r="N666" s="93"/>
      <c r="O666" s="93"/>
      <c r="P666" s="93"/>
      <c r="Q666" s="93"/>
      <c r="R666" s="93"/>
      <c r="S666" s="93"/>
      <c r="T666" s="93"/>
      <c r="U666" s="93"/>
      <c r="V666" s="93"/>
      <c r="W666" s="93"/>
    </row>
    <row r="667" spans="2:23" s="14" customFormat="1" ht="17.100000000000001" customHeight="1">
      <c r="B667" s="89"/>
      <c r="C667" s="90"/>
      <c r="D667" s="91"/>
      <c r="E667" s="92"/>
      <c r="F667" s="89"/>
      <c r="G667" s="89"/>
      <c r="H667" s="89"/>
      <c r="I667" s="89"/>
      <c r="J667" s="89"/>
      <c r="K667" s="89"/>
      <c r="L667" s="93"/>
      <c r="M667" s="93"/>
      <c r="N667" s="93"/>
      <c r="O667" s="93"/>
      <c r="P667" s="93"/>
      <c r="Q667" s="93"/>
      <c r="R667" s="93"/>
      <c r="S667" s="93"/>
      <c r="T667" s="93"/>
      <c r="U667" s="93"/>
      <c r="V667" s="93"/>
      <c r="W667" s="93"/>
    </row>
    <row r="668" spans="2:23" s="14" customFormat="1" ht="17.100000000000001" customHeight="1">
      <c r="B668" s="89"/>
      <c r="C668" s="90"/>
      <c r="D668" s="91"/>
      <c r="E668" s="92"/>
      <c r="F668" s="89"/>
      <c r="G668" s="89"/>
      <c r="H668" s="89"/>
      <c r="I668" s="89"/>
      <c r="J668" s="89"/>
      <c r="K668" s="89"/>
      <c r="L668" s="93"/>
      <c r="M668" s="93"/>
      <c r="N668" s="93"/>
      <c r="O668" s="93"/>
      <c r="P668" s="93"/>
      <c r="Q668" s="93"/>
      <c r="R668" s="93"/>
      <c r="S668" s="93"/>
      <c r="T668" s="93"/>
      <c r="U668" s="93"/>
      <c r="V668" s="93"/>
      <c r="W668" s="93"/>
    </row>
    <row r="669" spans="2:23" s="14" customFormat="1" ht="17.100000000000001" customHeight="1">
      <c r="B669" s="89"/>
      <c r="C669" s="90"/>
      <c r="D669" s="91"/>
      <c r="E669" s="92"/>
      <c r="F669" s="89"/>
      <c r="G669" s="89"/>
      <c r="H669" s="89"/>
      <c r="I669" s="89"/>
      <c r="J669" s="89"/>
      <c r="K669" s="89"/>
      <c r="L669" s="93"/>
      <c r="M669" s="93"/>
      <c r="N669" s="93"/>
      <c r="O669" s="93"/>
      <c r="P669" s="93"/>
      <c r="Q669" s="93"/>
      <c r="R669" s="93"/>
      <c r="S669" s="93"/>
      <c r="T669" s="93"/>
      <c r="U669" s="93"/>
      <c r="V669" s="93"/>
      <c r="W669" s="93"/>
    </row>
    <row r="670" spans="2:23" s="14" customFormat="1" ht="17.100000000000001" customHeight="1">
      <c r="B670" s="89"/>
      <c r="C670" s="90"/>
      <c r="D670" s="91"/>
      <c r="E670" s="92"/>
      <c r="F670" s="89"/>
      <c r="G670" s="89"/>
      <c r="H670" s="89"/>
      <c r="I670" s="89"/>
      <c r="J670" s="89"/>
      <c r="K670" s="89"/>
      <c r="L670" s="93"/>
      <c r="M670" s="93"/>
      <c r="N670" s="93"/>
      <c r="O670" s="93"/>
      <c r="P670" s="93"/>
      <c r="Q670" s="93"/>
      <c r="R670" s="93"/>
      <c r="S670" s="93"/>
      <c r="T670" s="93"/>
      <c r="U670" s="93"/>
      <c r="V670" s="93"/>
      <c r="W670" s="93"/>
    </row>
    <row r="671" spans="2:23" s="14" customFormat="1" ht="17.100000000000001" customHeight="1">
      <c r="B671" s="89"/>
      <c r="C671" s="90"/>
      <c r="D671" s="91"/>
      <c r="E671" s="92"/>
      <c r="F671" s="89"/>
      <c r="G671" s="89"/>
      <c r="H671" s="89"/>
      <c r="I671" s="89"/>
      <c r="J671" s="89"/>
      <c r="K671" s="89"/>
      <c r="L671" s="93"/>
      <c r="M671" s="93"/>
      <c r="N671" s="93"/>
      <c r="O671" s="93"/>
      <c r="P671" s="93"/>
      <c r="Q671" s="93"/>
      <c r="R671" s="93"/>
      <c r="S671" s="93"/>
      <c r="T671" s="93"/>
      <c r="U671" s="93"/>
      <c r="V671" s="93"/>
      <c r="W671" s="93"/>
    </row>
    <row r="672" spans="2:23" s="14" customFormat="1" ht="17.100000000000001" customHeight="1">
      <c r="B672" s="89"/>
      <c r="C672" s="90"/>
      <c r="D672" s="91"/>
      <c r="E672" s="92"/>
      <c r="F672" s="89"/>
      <c r="G672" s="89"/>
      <c r="H672" s="89"/>
      <c r="I672" s="89"/>
      <c r="J672" s="89"/>
      <c r="K672" s="89"/>
      <c r="L672" s="93"/>
      <c r="M672" s="93"/>
      <c r="N672" s="93"/>
      <c r="O672" s="93"/>
      <c r="P672" s="93"/>
      <c r="Q672" s="93"/>
      <c r="R672" s="93"/>
      <c r="S672" s="93"/>
      <c r="T672" s="93"/>
      <c r="U672" s="93"/>
      <c r="V672" s="93"/>
      <c r="W672" s="93"/>
    </row>
    <row r="673" spans="2:23" s="14" customFormat="1" ht="17.100000000000001" customHeight="1">
      <c r="B673" s="89"/>
      <c r="C673" s="90"/>
      <c r="D673" s="91"/>
      <c r="E673" s="92"/>
      <c r="F673" s="89"/>
      <c r="G673" s="89"/>
      <c r="H673" s="89"/>
      <c r="I673" s="89"/>
      <c r="J673" s="89"/>
      <c r="K673" s="89"/>
      <c r="L673" s="93"/>
      <c r="M673" s="93"/>
      <c r="N673" s="93"/>
      <c r="O673" s="93"/>
      <c r="P673" s="93"/>
      <c r="Q673" s="93"/>
      <c r="R673" s="93"/>
      <c r="S673" s="93"/>
      <c r="T673" s="93"/>
      <c r="U673" s="93"/>
      <c r="V673" s="93"/>
      <c r="W673" s="93"/>
    </row>
    <row r="674" spans="2:23" s="14" customFormat="1" ht="17.100000000000001" customHeight="1">
      <c r="B674" s="89"/>
      <c r="C674" s="90"/>
      <c r="D674" s="91"/>
      <c r="E674" s="92"/>
      <c r="F674" s="89"/>
      <c r="G674" s="89"/>
      <c r="H674" s="89"/>
      <c r="I674" s="89"/>
      <c r="J674" s="89"/>
      <c r="K674" s="89"/>
      <c r="L674" s="93"/>
      <c r="M674" s="93"/>
      <c r="N674" s="93"/>
      <c r="O674" s="93"/>
      <c r="P674" s="93"/>
      <c r="Q674" s="93"/>
      <c r="R674" s="93"/>
      <c r="S674" s="93"/>
      <c r="T674" s="93"/>
      <c r="U674" s="93"/>
      <c r="V674" s="93"/>
      <c r="W674" s="93"/>
    </row>
    <row r="675" spans="2:23" s="14" customFormat="1" ht="17.100000000000001" customHeight="1">
      <c r="B675" s="89"/>
      <c r="C675" s="90"/>
      <c r="D675" s="91"/>
      <c r="E675" s="92"/>
      <c r="F675" s="89"/>
      <c r="G675" s="89"/>
      <c r="H675" s="89"/>
      <c r="I675" s="89"/>
      <c r="J675" s="89"/>
      <c r="K675" s="89"/>
      <c r="L675" s="93"/>
      <c r="M675" s="93"/>
      <c r="N675" s="93"/>
      <c r="O675" s="93"/>
      <c r="P675" s="93"/>
      <c r="Q675" s="93"/>
      <c r="R675" s="93"/>
      <c r="S675" s="93"/>
      <c r="T675" s="93"/>
      <c r="U675" s="93"/>
      <c r="V675" s="93"/>
      <c r="W675" s="93"/>
    </row>
    <row r="676" spans="2:23" s="14" customFormat="1" ht="17.100000000000001" customHeight="1">
      <c r="B676" s="89"/>
      <c r="C676" s="90"/>
      <c r="D676" s="91"/>
      <c r="E676" s="92"/>
      <c r="F676" s="89"/>
      <c r="G676" s="89"/>
      <c r="H676" s="89"/>
      <c r="I676" s="89"/>
      <c r="J676" s="89"/>
      <c r="K676" s="89"/>
      <c r="L676" s="93"/>
      <c r="M676" s="93"/>
      <c r="N676" s="93"/>
      <c r="O676" s="93"/>
      <c r="P676" s="93"/>
      <c r="Q676" s="93"/>
      <c r="R676" s="93"/>
      <c r="S676" s="93"/>
      <c r="T676" s="93"/>
      <c r="U676" s="93"/>
      <c r="V676" s="93"/>
      <c r="W676" s="93"/>
    </row>
    <row r="677" spans="2:23" s="14" customFormat="1" ht="17.100000000000001" customHeight="1">
      <c r="B677" s="89"/>
      <c r="C677" s="90"/>
      <c r="D677" s="91"/>
      <c r="E677" s="92"/>
      <c r="F677" s="89"/>
      <c r="G677" s="89"/>
      <c r="H677" s="89"/>
      <c r="I677" s="89"/>
      <c r="J677" s="89"/>
      <c r="K677" s="89"/>
      <c r="L677" s="93"/>
      <c r="M677" s="93"/>
      <c r="N677" s="93"/>
      <c r="O677" s="93"/>
      <c r="P677" s="93"/>
      <c r="Q677" s="93"/>
      <c r="R677" s="93"/>
      <c r="S677" s="93"/>
      <c r="T677" s="93"/>
      <c r="U677" s="93"/>
      <c r="V677" s="93"/>
      <c r="W677" s="93"/>
    </row>
    <row r="678" spans="2:23" s="14" customFormat="1" ht="17.100000000000001" customHeight="1">
      <c r="B678" s="89"/>
      <c r="C678" s="90"/>
      <c r="D678" s="91"/>
      <c r="E678" s="92"/>
      <c r="F678" s="89"/>
      <c r="G678" s="89"/>
      <c r="H678" s="89"/>
      <c r="I678" s="89"/>
      <c r="J678" s="89"/>
      <c r="K678" s="89"/>
      <c r="L678" s="93"/>
      <c r="M678" s="93"/>
      <c r="N678" s="93"/>
      <c r="O678" s="93"/>
      <c r="P678" s="93"/>
      <c r="Q678" s="93"/>
      <c r="R678" s="93"/>
      <c r="S678" s="93"/>
      <c r="T678" s="93"/>
      <c r="U678" s="93"/>
      <c r="V678" s="93"/>
      <c r="W678" s="93"/>
    </row>
    <row r="679" spans="2:23" s="14" customFormat="1" ht="17.100000000000001" customHeight="1">
      <c r="B679" s="89"/>
      <c r="C679" s="90"/>
      <c r="D679" s="91"/>
      <c r="E679" s="92"/>
      <c r="F679" s="89"/>
      <c r="G679" s="89"/>
      <c r="H679" s="89"/>
      <c r="I679" s="89"/>
      <c r="J679" s="89"/>
      <c r="K679" s="89"/>
      <c r="L679" s="93"/>
      <c r="M679" s="93"/>
      <c r="N679" s="93"/>
      <c r="O679" s="93"/>
      <c r="P679" s="93"/>
      <c r="Q679" s="93"/>
      <c r="R679" s="93"/>
      <c r="S679" s="93"/>
      <c r="T679" s="93"/>
      <c r="U679" s="93"/>
      <c r="V679" s="93"/>
      <c r="W679" s="93"/>
    </row>
    <row r="680" spans="2:23" s="14" customFormat="1" ht="17.100000000000001" customHeight="1">
      <c r="B680" s="89"/>
      <c r="C680" s="90"/>
      <c r="D680" s="91"/>
      <c r="E680" s="92"/>
      <c r="F680" s="89"/>
      <c r="G680" s="89"/>
      <c r="H680" s="89"/>
      <c r="I680" s="89"/>
      <c r="J680" s="89"/>
      <c r="K680" s="89"/>
      <c r="L680" s="93"/>
      <c r="M680" s="93"/>
      <c r="N680" s="93"/>
      <c r="O680" s="93"/>
      <c r="P680" s="93"/>
      <c r="Q680" s="93"/>
      <c r="R680" s="93"/>
      <c r="S680" s="93"/>
      <c r="T680" s="93"/>
      <c r="U680" s="93"/>
      <c r="V680" s="93"/>
      <c r="W680" s="93"/>
    </row>
    <row r="681" spans="2:23" s="14" customFormat="1" ht="17.100000000000001" customHeight="1">
      <c r="B681" s="89"/>
      <c r="C681" s="90"/>
      <c r="D681" s="91"/>
      <c r="E681" s="92"/>
      <c r="F681" s="89"/>
      <c r="G681" s="89"/>
      <c r="H681" s="89"/>
      <c r="I681" s="89"/>
      <c r="J681" s="89"/>
      <c r="K681" s="89"/>
      <c r="L681" s="93"/>
      <c r="M681" s="93"/>
      <c r="N681" s="93"/>
      <c r="O681" s="93"/>
      <c r="P681" s="93"/>
      <c r="Q681" s="93"/>
      <c r="R681" s="93"/>
      <c r="S681" s="93"/>
      <c r="T681" s="93"/>
      <c r="U681" s="93"/>
      <c r="V681" s="93"/>
      <c r="W681" s="93"/>
    </row>
    <row r="682" spans="2:23" s="14" customFormat="1" ht="17.100000000000001" customHeight="1">
      <c r="B682" s="89"/>
      <c r="C682" s="90"/>
      <c r="D682" s="91"/>
      <c r="E682" s="92"/>
      <c r="F682" s="89"/>
      <c r="G682" s="89"/>
      <c r="H682" s="89"/>
      <c r="I682" s="89"/>
      <c r="J682" s="89"/>
      <c r="K682" s="89"/>
      <c r="L682" s="93"/>
      <c r="M682" s="93"/>
      <c r="N682" s="93"/>
      <c r="O682" s="93"/>
      <c r="P682" s="93"/>
      <c r="Q682" s="93"/>
      <c r="R682" s="93"/>
      <c r="S682" s="93"/>
      <c r="T682" s="93"/>
      <c r="U682" s="93"/>
      <c r="V682" s="93"/>
      <c r="W682" s="93"/>
    </row>
    <row r="683" spans="2:23" s="14" customFormat="1" ht="17.100000000000001" customHeight="1">
      <c r="B683" s="89"/>
      <c r="C683" s="90"/>
      <c r="D683" s="91"/>
      <c r="E683" s="92"/>
      <c r="F683" s="89"/>
      <c r="G683" s="89"/>
      <c r="H683" s="89"/>
      <c r="I683" s="89"/>
      <c r="J683" s="89"/>
      <c r="K683" s="89"/>
      <c r="L683" s="93"/>
      <c r="M683" s="93"/>
      <c r="N683" s="93"/>
      <c r="O683" s="93"/>
      <c r="P683" s="93"/>
      <c r="Q683" s="93"/>
      <c r="R683" s="93"/>
      <c r="S683" s="93"/>
      <c r="T683" s="93"/>
      <c r="U683" s="93"/>
      <c r="V683" s="93"/>
      <c r="W683" s="93"/>
    </row>
    <row r="684" spans="2:23" s="14" customFormat="1" ht="17.100000000000001" customHeight="1">
      <c r="B684" s="89"/>
      <c r="C684" s="90"/>
      <c r="D684" s="91"/>
      <c r="E684" s="92"/>
      <c r="F684" s="89"/>
      <c r="G684" s="89"/>
      <c r="H684" s="89"/>
      <c r="I684" s="89"/>
      <c r="J684" s="89"/>
      <c r="K684" s="89"/>
      <c r="L684" s="93"/>
      <c r="M684" s="93"/>
      <c r="N684" s="93"/>
      <c r="O684" s="93"/>
      <c r="P684" s="93"/>
      <c r="Q684" s="93"/>
      <c r="R684" s="93"/>
      <c r="S684" s="93"/>
      <c r="T684" s="93"/>
      <c r="U684" s="93"/>
      <c r="V684" s="93"/>
      <c r="W684" s="93"/>
    </row>
    <row r="685" spans="2:23" s="14" customFormat="1" ht="17.100000000000001" customHeight="1">
      <c r="B685" s="89"/>
      <c r="C685" s="90"/>
      <c r="D685" s="91"/>
      <c r="E685" s="92"/>
      <c r="F685" s="89"/>
      <c r="G685" s="89"/>
      <c r="H685" s="89"/>
      <c r="I685" s="89"/>
      <c r="J685" s="89"/>
      <c r="K685" s="89"/>
      <c r="L685" s="93"/>
      <c r="M685" s="93"/>
      <c r="N685" s="93"/>
      <c r="O685" s="93"/>
      <c r="P685" s="93"/>
      <c r="Q685" s="93"/>
      <c r="R685" s="93"/>
      <c r="S685" s="93"/>
      <c r="T685" s="93"/>
      <c r="U685" s="93"/>
      <c r="V685" s="93"/>
      <c r="W685" s="93"/>
    </row>
    <row r="686" spans="2:23" s="14" customFormat="1" ht="17.100000000000001" customHeight="1">
      <c r="B686" s="89"/>
      <c r="C686" s="90"/>
      <c r="D686" s="91"/>
      <c r="E686" s="92"/>
      <c r="F686" s="89"/>
      <c r="G686" s="89"/>
      <c r="H686" s="89"/>
      <c r="I686" s="89"/>
      <c r="J686" s="89"/>
      <c r="K686" s="89"/>
      <c r="L686" s="93"/>
      <c r="M686" s="93"/>
      <c r="N686" s="93"/>
      <c r="O686" s="93"/>
      <c r="P686" s="93"/>
      <c r="Q686" s="93"/>
      <c r="R686" s="93"/>
      <c r="S686" s="93"/>
      <c r="T686" s="93"/>
      <c r="U686" s="93"/>
      <c r="V686" s="93"/>
      <c r="W686" s="93"/>
    </row>
    <row r="687" spans="2:23" s="14" customFormat="1" ht="17.100000000000001" customHeight="1">
      <c r="B687" s="89"/>
      <c r="C687" s="90"/>
      <c r="D687" s="91"/>
      <c r="E687" s="92"/>
      <c r="F687" s="89"/>
      <c r="G687" s="89"/>
      <c r="H687" s="89"/>
      <c r="I687" s="89"/>
      <c r="J687" s="89"/>
      <c r="K687" s="89"/>
      <c r="L687" s="93"/>
      <c r="M687" s="93"/>
      <c r="N687" s="93"/>
      <c r="O687" s="93"/>
      <c r="P687" s="93"/>
      <c r="Q687" s="93"/>
      <c r="R687" s="93"/>
      <c r="S687" s="93"/>
      <c r="T687" s="93"/>
      <c r="U687" s="93"/>
      <c r="V687" s="93"/>
      <c r="W687" s="93"/>
    </row>
    <row r="688" spans="2:23" s="14" customFormat="1" ht="17.100000000000001" customHeight="1">
      <c r="B688" s="89"/>
      <c r="C688" s="90"/>
      <c r="D688" s="91"/>
      <c r="E688" s="92"/>
      <c r="F688" s="89"/>
      <c r="G688" s="89"/>
      <c r="H688" s="89"/>
      <c r="I688" s="89"/>
      <c r="J688" s="89"/>
      <c r="K688" s="89"/>
      <c r="L688" s="93"/>
      <c r="M688" s="93"/>
      <c r="N688" s="93"/>
      <c r="O688" s="93"/>
      <c r="P688" s="93"/>
      <c r="Q688" s="93"/>
      <c r="R688" s="93"/>
      <c r="S688" s="93"/>
      <c r="T688" s="93"/>
      <c r="U688" s="93"/>
      <c r="V688" s="93"/>
      <c r="W688" s="93"/>
    </row>
    <row r="689" spans="2:23" s="14" customFormat="1" ht="17.100000000000001" customHeight="1">
      <c r="B689" s="89"/>
      <c r="C689" s="90"/>
      <c r="D689" s="91"/>
      <c r="E689" s="92"/>
      <c r="F689" s="89"/>
      <c r="G689" s="89"/>
      <c r="H689" s="89"/>
      <c r="I689" s="89"/>
      <c r="J689" s="89"/>
      <c r="K689" s="89"/>
      <c r="L689" s="93"/>
      <c r="M689" s="93"/>
      <c r="N689" s="93"/>
      <c r="O689" s="93"/>
      <c r="P689" s="93"/>
      <c r="Q689" s="93"/>
      <c r="R689" s="93"/>
      <c r="S689" s="93"/>
      <c r="T689" s="93"/>
      <c r="U689" s="93"/>
      <c r="V689" s="93"/>
      <c r="W689" s="93"/>
    </row>
    <row r="690" spans="2:23" s="14" customFormat="1" ht="17.100000000000001" customHeight="1">
      <c r="B690" s="89"/>
      <c r="C690" s="90"/>
      <c r="D690" s="91"/>
      <c r="E690" s="92"/>
      <c r="F690" s="89"/>
      <c r="G690" s="89"/>
      <c r="H690" s="89"/>
      <c r="I690" s="89"/>
      <c r="J690" s="89"/>
      <c r="K690" s="89"/>
      <c r="L690" s="93"/>
      <c r="M690" s="93"/>
      <c r="N690" s="93"/>
      <c r="O690" s="93"/>
      <c r="P690" s="93"/>
      <c r="Q690" s="93"/>
      <c r="R690" s="93"/>
      <c r="S690" s="93"/>
      <c r="T690" s="93"/>
      <c r="U690" s="93"/>
      <c r="V690" s="93"/>
      <c r="W690" s="93"/>
    </row>
    <row r="691" spans="2:23" s="14" customFormat="1" ht="17.100000000000001" customHeight="1">
      <c r="B691" s="89"/>
      <c r="C691" s="90"/>
      <c r="D691" s="91"/>
      <c r="E691" s="92"/>
      <c r="F691" s="89"/>
      <c r="G691" s="89"/>
      <c r="H691" s="89"/>
      <c r="I691" s="89"/>
      <c r="J691" s="89"/>
      <c r="K691" s="89"/>
      <c r="L691" s="93"/>
      <c r="M691" s="93"/>
      <c r="N691" s="93"/>
      <c r="O691" s="93"/>
      <c r="P691" s="93"/>
      <c r="Q691" s="93"/>
      <c r="R691" s="93"/>
      <c r="S691" s="93"/>
      <c r="T691" s="93"/>
      <c r="U691" s="93"/>
      <c r="V691" s="93"/>
      <c r="W691" s="93"/>
    </row>
    <row r="692" spans="2:23" s="14" customFormat="1" ht="17.100000000000001" customHeight="1">
      <c r="B692" s="89"/>
      <c r="C692" s="90"/>
      <c r="D692" s="91"/>
      <c r="E692" s="92"/>
      <c r="F692" s="89"/>
      <c r="G692" s="89"/>
      <c r="H692" s="89"/>
      <c r="I692" s="89"/>
      <c r="J692" s="89"/>
      <c r="K692" s="89"/>
      <c r="L692" s="93"/>
      <c r="M692" s="93"/>
      <c r="N692" s="93"/>
      <c r="O692" s="93"/>
      <c r="P692" s="93"/>
      <c r="Q692" s="93"/>
      <c r="R692" s="93"/>
      <c r="S692" s="93"/>
      <c r="T692" s="93"/>
      <c r="U692" s="93"/>
      <c r="V692" s="93"/>
      <c r="W692" s="93"/>
    </row>
    <row r="693" spans="2:23" s="14" customFormat="1" ht="17.100000000000001" customHeight="1">
      <c r="B693" s="89"/>
      <c r="C693" s="90"/>
      <c r="D693" s="91"/>
      <c r="E693" s="92"/>
      <c r="F693" s="89"/>
      <c r="G693" s="89"/>
      <c r="H693" s="89"/>
      <c r="I693" s="89"/>
      <c r="J693" s="89"/>
      <c r="K693" s="89"/>
      <c r="L693" s="93"/>
      <c r="M693" s="93"/>
      <c r="N693" s="93"/>
      <c r="O693" s="93"/>
      <c r="P693" s="93"/>
      <c r="Q693" s="93"/>
      <c r="R693" s="93"/>
      <c r="S693" s="93"/>
      <c r="T693" s="93"/>
      <c r="U693" s="93"/>
      <c r="V693" s="93"/>
      <c r="W693" s="93"/>
    </row>
    <row r="694" spans="2:23" s="14" customFormat="1" ht="17.100000000000001" customHeight="1">
      <c r="B694" s="89"/>
      <c r="C694" s="90"/>
      <c r="D694" s="91"/>
      <c r="E694" s="92"/>
      <c r="F694" s="89"/>
      <c r="G694" s="89"/>
      <c r="H694" s="89"/>
      <c r="I694" s="89"/>
      <c r="J694" s="89"/>
      <c r="K694" s="89"/>
      <c r="L694" s="93"/>
      <c r="M694" s="93"/>
      <c r="N694" s="93"/>
      <c r="O694" s="93"/>
      <c r="P694" s="93"/>
      <c r="Q694" s="93"/>
      <c r="R694" s="93"/>
      <c r="S694" s="93"/>
      <c r="T694" s="93"/>
      <c r="U694" s="93"/>
      <c r="V694" s="93"/>
      <c r="W694" s="93"/>
    </row>
    <row r="695" spans="2:23" s="14" customFormat="1" ht="17.100000000000001" customHeight="1">
      <c r="B695" s="89"/>
      <c r="C695" s="90"/>
      <c r="D695" s="91"/>
      <c r="E695" s="92"/>
      <c r="F695" s="89"/>
      <c r="G695" s="89"/>
      <c r="H695" s="89"/>
      <c r="I695" s="89"/>
      <c r="J695" s="89"/>
      <c r="K695" s="89"/>
      <c r="L695" s="93"/>
      <c r="M695" s="93"/>
      <c r="N695" s="93"/>
      <c r="O695" s="93"/>
      <c r="P695" s="93"/>
      <c r="Q695" s="93"/>
      <c r="R695" s="93"/>
      <c r="S695" s="93"/>
      <c r="T695" s="93"/>
      <c r="U695" s="93"/>
      <c r="V695" s="93"/>
      <c r="W695" s="93"/>
    </row>
    <row r="696" spans="2:23" s="14" customFormat="1" ht="17.100000000000001" customHeight="1">
      <c r="B696" s="89"/>
      <c r="C696" s="90"/>
      <c r="D696" s="91"/>
      <c r="E696" s="92"/>
      <c r="F696" s="89"/>
      <c r="G696" s="89"/>
      <c r="H696" s="89"/>
      <c r="I696" s="89"/>
      <c r="J696" s="89"/>
      <c r="K696" s="89"/>
      <c r="L696" s="93"/>
      <c r="M696" s="93"/>
      <c r="N696" s="93"/>
      <c r="O696" s="93"/>
      <c r="P696" s="93"/>
      <c r="Q696" s="93"/>
      <c r="R696" s="93"/>
      <c r="S696" s="93"/>
      <c r="T696" s="93"/>
      <c r="U696" s="93"/>
      <c r="V696" s="93"/>
      <c r="W696" s="93"/>
    </row>
    <row r="697" spans="2:23" s="14" customFormat="1" ht="17.100000000000001" customHeight="1">
      <c r="B697" s="89"/>
      <c r="C697" s="90"/>
      <c r="D697" s="91"/>
      <c r="E697" s="92"/>
      <c r="F697" s="89"/>
      <c r="G697" s="89"/>
      <c r="H697" s="89"/>
      <c r="I697" s="89"/>
      <c r="J697" s="89"/>
      <c r="K697" s="89"/>
      <c r="L697" s="93"/>
      <c r="M697" s="93"/>
      <c r="N697" s="93"/>
      <c r="O697" s="93"/>
      <c r="P697" s="93"/>
      <c r="Q697" s="93"/>
      <c r="R697" s="93"/>
      <c r="S697" s="93"/>
      <c r="T697" s="93"/>
      <c r="U697" s="93"/>
      <c r="V697" s="93"/>
      <c r="W697" s="93"/>
    </row>
    <row r="698" spans="2:23" s="14" customFormat="1" ht="17.100000000000001" customHeight="1">
      <c r="B698" s="89"/>
      <c r="C698" s="90"/>
      <c r="D698" s="91"/>
      <c r="E698" s="92"/>
      <c r="F698" s="89"/>
      <c r="G698" s="89"/>
      <c r="H698" s="89"/>
      <c r="I698" s="89"/>
      <c r="J698" s="89"/>
      <c r="K698" s="89"/>
      <c r="L698" s="93"/>
      <c r="M698" s="93"/>
      <c r="N698" s="93"/>
      <c r="O698" s="93"/>
      <c r="P698" s="93"/>
      <c r="Q698" s="93"/>
      <c r="R698" s="93"/>
      <c r="S698" s="93"/>
      <c r="T698" s="93"/>
      <c r="U698" s="93"/>
      <c r="V698" s="93"/>
      <c r="W698" s="93"/>
    </row>
    <row r="699" spans="2:23" s="14" customFormat="1" ht="17.100000000000001" customHeight="1">
      <c r="B699" s="89"/>
      <c r="C699" s="90"/>
      <c r="D699" s="91"/>
      <c r="E699" s="92"/>
      <c r="F699" s="89"/>
      <c r="G699" s="89"/>
      <c r="H699" s="89"/>
      <c r="I699" s="89"/>
      <c r="J699" s="89"/>
      <c r="K699" s="89"/>
      <c r="L699" s="93"/>
      <c r="M699" s="93"/>
      <c r="N699" s="93"/>
      <c r="O699" s="93"/>
      <c r="P699" s="93"/>
      <c r="Q699" s="93"/>
      <c r="R699" s="93"/>
      <c r="S699" s="93"/>
      <c r="T699" s="93"/>
      <c r="U699" s="93"/>
      <c r="V699" s="93"/>
      <c r="W699" s="93"/>
    </row>
    <row r="700" spans="2:23" s="14" customFormat="1" ht="17.100000000000001" customHeight="1">
      <c r="B700" s="89"/>
      <c r="C700" s="90"/>
      <c r="D700" s="91"/>
      <c r="E700" s="92"/>
      <c r="F700" s="89"/>
      <c r="G700" s="89"/>
      <c r="H700" s="89"/>
      <c r="I700" s="89"/>
      <c r="J700" s="89"/>
      <c r="K700" s="89"/>
      <c r="L700" s="93"/>
      <c r="M700" s="93"/>
      <c r="N700" s="93"/>
      <c r="O700" s="93"/>
      <c r="P700" s="93"/>
      <c r="Q700" s="93"/>
      <c r="R700" s="93"/>
      <c r="S700" s="93"/>
      <c r="T700" s="93"/>
      <c r="U700" s="93"/>
      <c r="V700" s="93"/>
      <c r="W700" s="93"/>
    </row>
    <row r="701" spans="2:23" s="14" customFormat="1" ht="17.100000000000001" customHeight="1">
      <c r="B701" s="89"/>
      <c r="C701" s="90"/>
      <c r="D701" s="91"/>
      <c r="E701" s="92"/>
      <c r="F701" s="89"/>
      <c r="G701" s="89"/>
      <c r="H701" s="89"/>
      <c r="I701" s="89"/>
      <c r="J701" s="89"/>
      <c r="K701" s="89"/>
      <c r="L701" s="93"/>
      <c r="M701" s="93"/>
      <c r="N701" s="93"/>
      <c r="O701" s="93"/>
      <c r="P701" s="93"/>
      <c r="Q701" s="93"/>
      <c r="R701" s="93"/>
      <c r="S701" s="93"/>
      <c r="T701" s="93"/>
      <c r="U701" s="93"/>
      <c r="V701" s="93"/>
      <c r="W701" s="93"/>
    </row>
    <row r="702" spans="2:23" s="14" customFormat="1" ht="17.100000000000001" customHeight="1">
      <c r="B702" s="89"/>
      <c r="C702" s="90"/>
      <c r="D702" s="91"/>
      <c r="E702" s="92"/>
      <c r="F702" s="89"/>
      <c r="G702" s="89"/>
      <c r="H702" s="89"/>
      <c r="I702" s="89"/>
      <c r="J702" s="89"/>
      <c r="K702" s="89"/>
      <c r="L702" s="93"/>
      <c r="M702" s="93"/>
      <c r="N702" s="93"/>
      <c r="O702" s="93"/>
      <c r="P702" s="93"/>
      <c r="Q702" s="93"/>
      <c r="R702" s="93"/>
      <c r="S702" s="93"/>
      <c r="T702" s="93"/>
      <c r="U702" s="93"/>
      <c r="V702" s="93"/>
      <c r="W702" s="93"/>
    </row>
    <row r="703" spans="2:23" s="14" customFormat="1" ht="17.100000000000001" customHeight="1">
      <c r="B703" s="89"/>
      <c r="C703" s="90"/>
      <c r="D703" s="91"/>
      <c r="E703" s="92"/>
      <c r="F703" s="89"/>
      <c r="G703" s="89"/>
      <c r="H703" s="89"/>
      <c r="I703" s="89"/>
      <c r="J703" s="89"/>
      <c r="K703" s="89"/>
      <c r="L703" s="93"/>
      <c r="M703" s="93"/>
      <c r="N703" s="93"/>
      <c r="O703" s="93"/>
      <c r="P703" s="93"/>
      <c r="Q703" s="93"/>
      <c r="R703" s="93"/>
      <c r="S703" s="93"/>
      <c r="T703" s="93"/>
      <c r="U703" s="93"/>
      <c r="V703" s="93"/>
      <c r="W703" s="93"/>
    </row>
    <row r="704" spans="2:23" s="14" customFormat="1" ht="17.100000000000001" customHeight="1">
      <c r="B704" s="89"/>
      <c r="C704" s="90"/>
      <c r="D704" s="91"/>
      <c r="E704" s="92"/>
      <c r="F704" s="89"/>
      <c r="G704" s="89"/>
      <c r="H704" s="89"/>
      <c r="I704" s="89"/>
      <c r="J704" s="89"/>
      <c r="K704" s="89"/>
      <c r="L704" s="93"/>
      <c r="M704" s="93"/>
      <c r="N704" s="93"/>
      <c r="O704" s="93"/>
      <c r="P704" s="93"/>
      <c r="Q704" s="93"/>
      <c r="R704" s="93"/>
      <c r="S704" s="93"/>
      <c r="T704" s="93"/>
      <c r="U704" s="93"/>
      <c r="V704" s="93"/>
      <c r="W704" s="93"/>
    </row>
    <row r="705" spans="2:23" s="14" customFormat="1" ht="17.100000000000001" customHeight="1">
      <c r="B705" s="89"/>
      <c r="C705" s="90"/>
      <c r="D705" s="91"/>
      <c r="E705" s="92"/>
      <c r="F705" s="89"/>
      <c r="G705" s="89"/>
      <c r="H705" s="89"/>
      <c r="I705" s="89"/>
      <c r="J705" s="89"/>
      <c r="K705" s="89"/>
      <c r="L705" s="93"/>
      <c r="M705" s="93"/>
      <c r="N705" s="93"/>
      <c r="O705" s="93"/>
      <c r="P705" s="93"/>
      <c r="Q705" s="93"/>
      <c r="R705" s="93"/>
      <c r="S705" s="93"/>
      <c r="T705" s="93"/>
      <c r="U705" s="93"/>
      <c r="V705" s="93"/>
      <c r="W705" s="93"/>
    </row>
    <row r="706" spans="2:23" s="14" customFormat="1" ht="17.100000000000001" customHeight="1">
      <c r="B706" s="89"/>
      <c r="C706" s="90"/>
      <c r="D706" s="91"/>
      <c r="E706" s="92"/>
      <c r="F706" s="89"/>
      <c r="G706" s="89"/>
      <c r="H706" s="89"/>
      <c r="I706" s="89"/>
      <c r="J706" s="89"/>
      <c r="K706" s="89"/>
      <c r="L706" s="93"/>
      <c r="M706" s="93"/>
      <c r="N706" s="93"/>
      <c r="O706" s="93"/>
      <c r="P706" s="93"/>
      <c r="Q706" s="93"/>
      <c r="R706" s="93"/>
      <c r="S706" s="93"/>
      <c r="T706" s="93"/>
      <c r="U706" s="93"/>
      <c r="V706" s="93"/>
      <c r="W706" s="93"/>
    </row>
    <row r="707" spans="2:23" s="14" customFormat="1" ht="17.100000000000001" customHeight="1">
      <c r="B707" s="89"/>
      <c r="C707" s="90"/>
      <c r="D707" s="91"/>
      <c r="E707" s="92"/>
      <c r="F707" s="89"/>
      <c r="G707" s="89"/>
      <c r="H707" s="89"/>
      <c r="I707" s="89"/>
      <c r="J707" s="89"/>
      <c r="K707" s="89"/>
      <c r="L707" s="93"/>
      <c r="M707" s="93"/>
      <c r="N707" s="93"/>
      <c r="O707" s="93"/>
      <c r="P707" s="93"/>
      <c r="Q707" s="93"/>
      <c r="R707" s="93"/>
      <c r="S707" s="93"/>
      <c r="T707" s="93"/>
      <c r="U707" s="93"/>
      <c r="V707" s="93"/>
      <c r="W707" s="93"/>
    </row>
    <row r="708" spans="2:23" s="14" customFormat="1" ht="17.100000000000001" customHeight="1">
      <c r="B708" s="89"/>
      <c r="C708" s="90"/>
      <c r="D708" s="91"/>
      <c r="E708" s="92"/>
      <c r="F708" s="89"/>
      <c r="G708" s="89"/>
      <c r="H708" s="89"/>
      <c r="I708" s="89"/>
      <c r="J708" s="89"/>
      <c r="K708" s="89"/>
      <c r="L708" s="93"/>
      <c r="M708" s="93"/>
      <c r="N708" s="93"/>
      <c r="O708" s="93"/>
      <c r="P708" s="93"/>
      <c r="Q708" s="93"/>
      <c r="R708" s="93"/>
      <c r="S708" s="93"/>
      <c r="T708" s="93"/>
      <c r="U708" s="93"/>
      <c r="V708" s="93"/>
      <c r="W708" s="93"/>
    </row>
    <row r="709" spans="2:23" s="14" customFormat="1" ht="17.100000000000001" customHeight="1">
      <c r="B709" s="89"/>
      <c r="C709" s="90"/>
      <c r="D709" s="91"/>
      <c r="E709" s="92"/>
      <c r="F709" s="89"/>
      <c r="G709" s="89"/>
      <c r="H709" s="89"/>
      <c r="I709" s="89"/>
      <c r="J709" s="89"/>
      <c r="K709" s="89"/>
      <c r="L709" s="93"/>
      <c r="M709" s="93"/>
      <c r="N709" s="93"/>
      <c r="O709" s="93"/>
      <c r="P709" s="93"/>
      <c r="Q709" s="93"/>
      <c r="R709" s="93"/>
      <c r="S709" s="93"/>
      <c r="T709" s="93"/>
      <c r="U709" s="93"/>
      <c r="V709" s="93"/>
      <c r="W709" s="93"/>
    </row>
    <row r="710" spans="2:23" s="14" customFormat="1" ht="17.100000000000001" customHeight="1">
      <c r="B710" s="89"/>
      <c r="C710" s="90"/>
      <c r="D710" s="91"/>
      <c r="E710" s="92"/>
      <c r="F710" s="89"/>
      <c r="G710" s="89"/>
      <c r="H710" s="89"/>
      <c r="I710" s="89"/>
      <c r="J710" s="89"/>
      <c r="K710" s="89"/>
      <c r="L710" s="93"/>
      <c r="M710" s="93"/>
      <c r="N710" s="93"/>
      <c r="O710" s="93"/>
      <c r="P710" s="93"/>
      <c r="Q710" s="93"/>
      <c r="R710" s="93"/>
      <c r="S710" s="93"/>
      <c r="T710" s="93"/>
      <c r="U710" s="93"/>
      <c r="V710" s="93"/>
      <c r="W710" s="93"/>
    </row>
    <row r="711" spans="2:23" s="14" customFormat="1" ht="17.100000000000001" customHeight="1">
      <c r="B711" s="89"/>
      <c r="C711" s="90"/>
      <c r="D711" s="91"/>
      <c r="E711" s="92"/>
      <c r="F711" s="89"/>
      <c r="G711" s="89"/>
      <c r="H711" s="89"/>
      <c r="I711" s="89"/>
      <c r="J711" s="89"/>
      <c r="K711" s="89"/>
      <c r="L711" s="93"/>
      <c r="M711" s="93"/>
      <c r="N711" s="93"/>
      <c r="O711" s="93"/>
      <c r="P711" s="93"/>
      <c r="Q711" s="93"/>
      <c r="R711" s="93"/>
      <c r="S711" s="93"/>
      <c r="T711" s="93"/>
      <c r="U711" s="93"/>
      <c r="V711" s="93"/>
      <c r="W711" s="93"/>
    </row>
    <row r="712" spans="2:23" s="14" customFormat="1" ht="17.100000000000001" customHeight="1">
      <c r="B712" s="89"/>
      <c r="C712" s="90"/>
      <c r="D712" s="91"/>
      <c r="E712" s="92"/>
      <c r="F712" s="89"/>
      <c r="G712" s="89"/>
      <c r="H712" s="89"/>
      <c r="I712" s="89"/>
      <c r="J712" s="89"/>
      <c r="K712" s="89"/>
      <c r="L712" s="93"/>
      <c r="M712" s="93"/>
      <c r="N712" s="93"/>
      <c r="O712" s="93"/>
      <c r="P712" s="93"/>
      <c r="Q712" s="93"/>
      <c r="R712" s="93"/>
      <c r="S712" s="93"/>
      <c r="T712" s="93"/>
      <c r="U712" s="93"/>
      <c r="V712" s="93"/>
      <c r="W712" s="93"/>
    </row>
    <row r="713" spans="2:23" s="14" customFormat="1" ht="17.100000000000001" customHeight="1">
      <c r="B713" s="89"/>
      <c r="C713" s="90"/>
      <c r="D713" s="91"/>
      <c r="E713" s="92"/>
      <c r="F713" s="89"/>
      <c r="G713" s="89"/>
      <c r="H713" s="89"/>
      <c r="I713" s="89"/>
      <c r="J713" s="89"/>
      <c r="K713" s="89"/>
      <c r="L713" s="93"/>
      <c r="M713" s="93"/>
      <c r="N713" s="93"/>
      <c r="O713" s="93"/>
      <c r="P713" s="93"/>
      <c r="Q713" s="93"/>
      <c r="R713" s="93"/>
      <c r="S713" s="93"/>
      <c r="T713" s="93"/>
      <c r="U713" s="93"/>
      <c r="V713" s="93"/>
      <c r="W713" s="93"/>
    </row>
    <row r="714" spans="2:23" s="14" customFormat="1" ht="17.100000000000001" customHeight="1">
      <c r="B714" s="89"/>
      <c r="C714" s="90"/>
      <c r="D714" s="91"/>
      <c r="E714" s="92"/>
      <c r="F714" s="89"/>
      <c r="G714" s="89"/>
      <c r="H714" s="89"/>
      <c r="I714" s="89"/>
      <c r="J714" s="89"/>
      <c r="K714" s="89"/>
      <c r="L714" s="93"/>
      <c r="M714" s="93"/>
      <c r="N714" s="93"/>
      <c r="O714" s="93"/>
      <c r="P714" s="93"/>
      <c r="Q714" s="93"/>
      <c r="R714" s="93"/>
      <c r="S714" s="93"/>
      <c r="T714" s="93"/>
      <c r="U714" s="93"/>
      <c r="V714" s="93"/>
      <c r="W714" s="93"/>
    </row>
    <row r="715" spans="2:23" s="14" customFormat="1" ht="17.100000000000001" customHeight="1">
      <c r="B715" s="89"/>
      <c r="C715" s="90"/>
      <c r="D715" s="91"/>
      <c r="E715" s="92"/>
      <c r="F715" s="89"/>
      <c r="G715" s="89"/>
      <c r="H715" s="89"/>
      <c r="I715" s="89"/>
      <c r="J715" s="89"/>
      <c r="K715" s="89"/>
      <c r="L715" s="93"/>
      <c r="M715" s="93"/>
      <c r="N715" s="93"/>
      <c r="O715" s="93"/>
      <c r="P715" s="93"/>
      <c r="Q715" s="93"/>
      <c r="R715" s="93"/>
      <c r="S715" s="93"/>
      <c r="T715" s="93"/>
      <c r="U715" s="93"/>
      <c r="V715" s="93"/>
      <c r="W715" s="93"/>
    </row>
    <row r="716" spans="2:23" s="14" customFormat="1" ht="17.100000000000001" customHeight="1">
      <c r="B716" s="89"/>
      <c r="C716" s="90"/>
      <c r="D716" s="91"/>
      <c r="E716" s="92"/>
      <c r="F716" s="89"/>
      <c r="G716" s="89"/>
      <c r="H716" s="89"/>
      <c r="I716" s="89"/>
      <c r="J716" s="89"/>
      <c r="K716" s="89"/>
      <c r="L716" s="93"/>
      <c r="M716" s="93"/>
      <c r="N716" s="93"/>
      <c r="O716" s="93"/>
      <c r="P716" s="93"/>
      <c r="Q716" s="93"/>
      <c r="R716" s="93"/>
      <c r="S716" s="93"/>
      <c r="T716" s="93"/>
      <c r="U716" s="93"/>
      <c r="V716" s="93"/>
      <c r="W716" s="93"/>
    </row>
    <row r="717" spans="2:23" s="14" customFormat="1" ht="17.100000000000001" customHeight="1">
      <c r="B717" s="89"/>
      <c r="C717" s="90"/>
      <c r="D717" s="91"/>
      <c r="E717" s="92"/>
      <c r="F717" s="89"/>
      <c r="G717" s="89"/>
      <c r="H717" s="89"/>
      <c r="I717" s="89"/>
      <c r="J717" s="89"/>
      <c r="K717" s="89"/>
      <c r="L717" s="93"/>
      <c r="M717" s="93"/>
      <c r="N717" s="93"/>
      <c r="O717" s="93"/>
      <c r="P717" s="93"/>
      <c r="Q717" s="93"/>
      <c r="R717" s="93"/>
      <c r="S717" s="93"/>
      <c r="T717" s="93"/>
      <c r="U717" s="93"/>
      <c r="V717" s="93"/>
      <c r="W717" s="93"/>
    </row>
    <row r="718" spans="2:23" s="14" customFormat="1" ht="17.100000000000001" customHeight="1">
      <c r="B718" s="89"/>
      <c r="C718" s="90"/>
      <c r="D718" s="91"/>
      <c r="E718" s="92"/>
      <c r="F718" s="89"/>
      <c r="G718" s="89"/>
      <c r="H718" s="89"/>
      <c r="I718" s="89"/>
      <c r="J718" s="89"/>
      <c r="K718" s="89"/>
      <c r="L718" s="93"/>
      <c r="M718" s="93"/>
      <c r="N718" s="93"/>
      <c r="O718" s="93"/>
      <c r="P718" s="93"/>
      <c r="Q718" s="93"/>
      <c r="R718" s="93"/>
      <c r="S718" s="93"/>
      <c r="T718" s="93"/>
      <c r="U718" s="93"/>
      <c r="V718" s="93"/>
      <c r="W718" s="93"/>
    </row>
    <row r="719" spans="2:23" s="14" customFormat="1" ht="17.100000000000001" customHeight="1">
      <c r="B719" s="89"/>
      <c r="C719" s="90"/>
      <c r="D719" s="91"/>
      <c r="E719" s="92"/>
      <c r="F719" s="89"/>
      <c r="G719" s="89"/>
      <c r="H719" s="89"/>
      <c r="I719" s="89"/>
      <c r="J719" s="89"/>
      <c r="K719" s="89"/>
      <c r="L719" s="93"/>
      <c r="M719" s="93"/>
      <c r="N719" s="93"/>
      <c r="O719" s="93"/>
      <c r="P719" s="93"/>
      <c r="Q719" s="93"/>
      <c r="R719" s="93"/>
      <c r="S719" s="93"/>
      <c r="T719" s="93"/>
      <c r="U719" s="93"/>
      <c r="V719" s="93"/>
      <c r="W719" s="93"/>
    </row>
    <row r="720" spans="2:23" s="14" customFormat="1" ht="17.100000000000001" customHeight="1">
      <c r="B720" s="89"/>
      <c r="C720" s="90"/>
      <c r="D720" s="91"/>
      <c r="E720" s="92"/>
      <c r="F720" s="89"/>
      <c r="G720" s="89"/>
      <c r="H720" s="89"/>
      <c r="I720" s="89"/>
      <c r="J720" s="89"/>
      <c r="K720" s="89"/>
      <c r="L720" s="93"/>
      <c r="M720" s="93"/>
      <c r="N720" s="93"/>
      <c r="O720" s="93"/>
      <c r="P720" s="93"/>
      <c r="Q720" s="93"/>
      <c r="R720" s="93"/>
      <c r="S720" s="93"/>
      <c r="T720" s="93"/>
      <c r="U720" s="93"/>
      <c r="V720" s="93"/>
      <c r="W720" s="93"/>
    </row>
    <row r="721" spans="2:23" s="14" customFormat="1" ht="17.100000000000001" customHeight="1">
      <c r="B721" s="89"/>
      <c r="C721" s="90"/>
      <c r="D721" s="91"/>
      <c r="E721" s="92"/>
      <c r="F721" s="89"/>
      <c r="G721" s="89"/>
      <c r="H721" s="89"/>
      <c r="I721" s="89"/>
      <c r="J721" s="89"/>
      <c r="K721" s="89"/>
      <c r="L721" s="93"/>
      <c r="M721" s="93"/>
      <c r="N721" s="93"/>
      <c r="O721" s="93"/>
      <c r="P721" s="93"/>
      <c r="Q721" s="93"/>
      <c r="R721" s="93"/>
      <c r="S721" s="93"/>
      <c r="T721" s="93"/>
      <c r="U721" s="93"/>
      <c r="V721" s="93"/>
      <c r="W721" s="93"/>
    </row>
    <row r="722" spans="2:23" s="14" customFormat="1" ht="17.100000000000001" customHeight="1">
      <c r="B722" s="89"/>
      <c r="C722" s="90"/>
      <c r="D722" s="91"/>
      <c r="E722" s="92"/>
      <c r="F722" s="89"/>
      <c r="G722" s="89"/>
      <c r="H722" s="89"/>
      <c r="I722" s="89"/>
      <c r="J722" s="89"/>
      <c r="K722" s="89"/>
      <c r="L722" s="93"/>
      <c r="M722" s="93"/>
      <c r="N722" s="93"/>
      <c r="O722" s="93"/>
      <c r="P722" s="93"/>
      <c r="Q722" s="93"/>
      <c r="R722" s="93"/>
      <c r="S722" s="93"/>
      <c r="T722" s="93"/>
      <c r="U722" s="93"/>
      <c r="V722" s="93"/>
      <c r="W722" s="93"/>
    </row>
    <row r="723" spans="2:23" s="14" customFormat="1" ht="17.100000000000001" customHeight="1">
      <c r="B723" s="89"/>
      <c r="C723" s="90"/>
      <c r="D723" s="91"/>
      <c r="E723" s="92"/>
      <c r="F723" s="89"/>
      <c r="G723" s="89"/>
      <c r="H723" s="89"/>
      <c r="I723" s="89"/>
      <c r="J723" s="89"/>
      <c r="K723" s="89"/>
      <c r="L723" s="93"/>
      <c r="M723" s="93"/>
      <c r="N723" s="93"/>
      <c r="O723" s="93"/>
      <c r="P723" s="93"/>
      <c r="Q723" s="93"/>
      <c r="R723" s="93"/>
      <c r="S723" s="93"/>
      <c r="T723" s="93"/>
      <c r="U723" s="93"/>
      <c r="V723" s="93"/>
      <c r="W723" s="93"/>
    </row>
    <row r="724" spans="2:23" s="14" customFormat="1" ht="17.100000000000001" customHeight="1">
      <c r="B724" s="89"/>
      <c r="C724" s="90"/>
      <c r="D724" s="91"/>
      <c r="E724" s="92"/>
      <c r="F724" s="89"/>
      <c r="G724" s="89"/>
      <c r="H724" s="89"/>
      <c r="I724" s="89"/>
      <c r="J724" s="89"/>
      <c r="K724" s="89"/>
      <c r="L724" s="93"/>
      <c r="M724" s="93"/>
      <c r="N724" s="93"/>
      <c r="O724" s="93"/>
      <c r="P724" s="93"/>
      <c r="Q724" s="93"/>
      <c r="R724" s="93"/>
      <c r="S724" s="93"/>
      <c r="T724" s="93"/>
      <c r="U724" s="93"/>
      <c r="V724" s="93"/>
      <c r="W724" s="93"/>
    </row>
    <row r="725" spans="2:23" s="14" customFormat="1" ht="17.100000000000001" customHeight="1">
      <c r="B725" s="89"/>
      <c r="C725" s="90"/>
      <c r="D725" s="91"/>
      <c r="E725" s="92"/>
      <c r="F725" s="89"/>
      <c r="G725" s="89"/>
      <c r="H725" s="89"/>
      <c r="I725" s="89"/>
      <c r="J725" s="89"/>
      <c r="K725" s="89"/>
      <c r="L725" s="93"/>
      <c r="M725" s="93"/>
      <c r="N725" s="93"/>
      <c r="O725" s="93"/>
      <c r="P725" s="93"/>
      <c r="Q725" s="93"/>
      <c r="R725" s="93"/>
      <c r="S725" s="93"/>
      <c r="T725" s="93"/>
      <c r="U725" s="93"/>
      <c r="V725" s="93"/>
      <c r="W725" s="93"/>
    </row>
    <row r="726" spans="2:23" s="14" customFormat="1" ht="17.100000000000001" customHeight="1">
      <c r="B726" s="89"/>
      <c r="C726" s="90"/>
      <c r="D726" s="91"/>
      <c r="E726" s="92"/>
      <c r="F726" s="89"/>
      <c r="G726" s="89"/>
      <c r="H726" s="89"/>
      <c r="I726" s="89"/>
      <c r="J726" s="89"/>
      <c r="K726" s="89"/>
      <c r="L726" s="93"/>
      <c r="M726" s="93"/>
      <c r="N726" s="93"/>
      <c r="O726" s="93"/>
      <c r="P726" s="93"/>
      <c r="Q726" s="93"/>
      <c r="R726" s="93"/>
      <c r="S726" s="93"/>
      <c r="T726" s="93"/>
      <c r="U726" s="93"/>
      <c r="V726" s="93"/>
      <c r="W726" s="93"/>
    </row>
    <row r="727" spans="2:23" s="14" customFormat="1" ht="17.100000000000001" customHeight="1">
      <c r="B727" s="89"/>
      <c r="C727" s="90"/>
      <c r="D727" s="91"/>
      <c r="E727" s="92"/>
      <c r="F727" s="89"/>
      <c r="G727" s="89"/>
      <c r="H727" s="89"/>
      <c r="I727" s="89"/>
      <c r="J727" s="89"/>
      <c r="K727" s="89"/>
      <c r="L727" s="93"/>
      <c r="M727" s="93"/>
      <c r="N727" s="93"/>
      <c r="O727" s="93"/>
      <c r="P727" s="93"/>
      <c r="Q727" s="93"/>
      <c r="R727" s="93"/>
      <c r="S727" s="93"/>
      <c r="T727" s="93"/>
      <c r="U727" s="93"/>
      <c r="V727" s="93"/>
      <c r="W727" s="93"/>
    </row>
    <row r="728" spans="2:23" s="14" customFormat="1" ht="17.100000000000001" customHeight="1">
      <c r="B728" s="89"/>
      <c r="C728" s="90"/>
      <c r="D728" s="91"/>
      <c r="E728" s="92"/>
      <c r="F728" s="89"/>
      <c r="G728" s="89"/>
      <c r="H728" s="89"/>
      <c r="I728" s="89"/>
      <c r="J728" s="89"/>
      <c r="K728" s="89"/>
      <c r="L728" s="93"/>
      <c r="M728" s="93"/>
      <c r="N728" s="93"/>
      <c r="O728" s="93"/>
      <c r="P728" s="93"/>
      <c r="Q728" s="93"/>
      <c r="R728" s="93"/>
      <c r="S728" s="93"/>
      <c r="T728" s="93"/>
      <c r="U728" s="93"/>
      <c r="V728" s="93"/>
      <c r="W728" s="93"/>
    </row>
    <row r="729" spans="2:23" s="14" customFormat="1" ht="17.100000000000001" customHeight="1">
      <c r="B729" s="89"/>
      <c r="C729" s="90"/>
      <c r="D729" s="91"/>
      <c r="E729" s="92"/>
      <c r="F729" s="89"/>
      <c r="G729" s="89"/>
      <c r="H729" s="89"/>
      <c r="I729" s="89"/>
      <c r="J729" s="89"/>
      <c r="K729" s="89"/>
      <c r="L729" s="93"/>
      <c r="M729" s="93"/>
      <c r="N729" s="93"/>
      <c r="O729" s="93"/>
      <c r="P729" s="93"/>
      <c r="Q729" s="93"/>
      <c r="R729" s="93"/>
      <c r="S729" s="93"/>
      <c r="T729" s="93"/>
      <c r="U729" s="93"/>
      <c r="V729" s="93"/>
      <c r="W729" s="93"/>
    </row>
    <row r="730" spans="2:23" s="14" customFormat="1" ht="17.100000000000001" customHeight="1">
      <c r="B730" s="89"/>
      <c r="C730" s="90"/>
      <c r="D730" s="91"/>
      <c r="E730" s="92"/>
      <c r="F730" s="89"/>
      <c r="G730" s="89"/>
      <c r="H730" s="89"/>
      <c r="I730" s="89"/>
      <c r="J730" s="89"/>
      <c r="K730" s="89"/>
      <c r="L730" s="93"/>
      <c r="M730" s="93"/>
      <c r="N730" s="93"/>
      <c r="O730" s="93"/>
      <c r="P730" s="93"/>
      <c r="Q730" s="93"/>
      <c r="R730" s="93"/>
      <c r="S730" s="93"/>
      <c r="T730" s="93"/>
      <c r="U730" s="93"/>
      <c r="V730" s="93"/>
      <c r="W730" s="93"/>
    </row>
    <row r="731" spans="2:23" s="14" customFormat="1" ht="17.100000000000001" customHeight="1">
      <c r="B731" s="89"/>
      <c r="C731" s="90"/>
      <c r="D731" s="91"/>
      <c r="E731" s="92"/>
      <c r="F731" s="89"/>
      <c r="G731" s="89"/>
      <c r="H731" s="89"/>
      <c r="I731" s="89"/>
      <c r="J731" s="89"/>
      <c r="K731" s="89"/>
      <c r="L731" s="93"/>
      <c r="M731" s="93"/>
      <c r="N731" s="93"/>
      <c r="O731" s="93"/>
      <c r="P731" s="93"/>
      <c r="Q731" s="93"/>
      <c r="R731" s="93"/>
      <c r="S731" s="93"/>
      <c r="T731" s="93"/>
      <c r="U731" s="93"/>
      <c r="V731" s="93"/>
      <c r="W731" s="93"/>
    </row>
    <row r="732" spans="2:23" s="14" customFormat="1" ht="17.100000000000001" customHeight="1">
      <c r="B732" s="89"/>
      <c r="C732" s="90"/>
      <c r="D732" s="91"/>
      <c r="E732" s="92"/>
      <c r="F732" s="89"/>
      <c r="G732" s="89"/>
      <c r="H732" s="89"/>
      <c r="I732" s="89"/>
      <c r="J732" s="89"/>
      <c r="K732" s="89"/>
      <c r="L732" s="93"/>
      <c r="M732" s="93"/>
      <c r="N732" s="93"/>
      <c r="O732" s="93"/>
      <c r="P732" s="93"/>
      <c r="Q732" s="93"/>
      <c r="R732" s="93"/>
      <c r="S732" s="93"/>
      <c r="T732" s="93"/>
      <c r="U732" s="93"/>
      <c r="V732" s="93"/>
      <c r="W732" s="93"/>
    </row>
    <row r="733" spans="2:23" s="14" customFormat="1" ht="17.100000000000001" customHeight="1">
      <c r="B733" s="89"/>
      <c r="C733" s="90"/>
      <c r="D733" s="91"/>
      <c r="E733" s="92"/>
      <c r="F733" s="89"/>
      <c r="G733" s="89"/>
      <c r="H733" s="89"/>
      <c r="I733" s="89"/>
      <c r="J733" s="89"/>
      <c r="K733" s="89"/>
      <c r="L733" s="93"/>
      <c r="M733" s="93"/>
      <c r="N733" s="93"/>
      <c r="O733" s="93"/>
      <c r="P733" s="93"/>
      <c r="Q733" s="93"/>
      <c r="R733" s="93"/>
      <c r="S733" s="93"/>
      <c r="T733" s="93"/>
      <c r="U733" s="93"/>
      <c r="V733" s="93"/>
      <c r="W733" s="93"/>
    </row>
    <row r="734" spans="2:23" s="14" customFormat="1" ht="17.100000000000001" customHeight="1">
      <c r="B734" s="89"/>
      <c r="C734" s="90"/>
      <c r="D734" s="91"/>
      <c r="E734" s="92"/>
      <c r="F734" s="89"/>
      <c r="G734" s="89"/>
      <c r="H734" s="89"/>
      <c r="I734" s="89"/>
      <c r="J734" s="89"/>
      <c r="K734" s="89"/>
      <c r="L734" s="93"/>
      <c r="M734" s="93"/>
      <c r="N734" s="93"/>
      <c r="O734" s="93"/>
      <c r="P734" s="93"/>
      <c r="Q734" s="93"/>
      <c r="R734" s="93"/>
      <c r="S734" s="93"/>
      <c r="T734" s="93"/>
      <c r="U734" s="93"/>
      <c r="V734" s="93"/>
      <c r="W734" s="93"/>
    </row>
    <row r="735" spans="2:23" s="14" customFormat="1" ht="17.100000000000001" customHeight="1">
      <c r="B735" s="89"/>
      <c r="C735" s="90"/>
      <c r="D735" s="91"/>
      <c r="E735" s="92"/>
      <c r="F735" s="89"/>
      <c r="G735" s="89"/>
      <c r="H735" s="89"/>
      <c r="I735" s="89"/>
      <c r="J735" s="89"/>
      <c r="K735" s="89"/>
      <c r="L735" s="93"/>
      <c r="M735" s="93"/>
      <c r="N735" s="93"/>
      <c r="O735" s="93"/>
      <c r="P735" s="93"/>
      <c r="Q735" s="93"/>
      <c r="R735" s="93"/>
      <c r="S735" s="93"/>
      <c r="T735" s="93"/>
      <c r="U735" s="93"/>
      <c r="V735" s="93"/>
      <c r="W735" s="93"/>
    </row>
    <row r="736" spans="2:23" s="14" customFormat="1" ht="17.100000000000001" customHeight="1">
      <c r="B736" s="89"/>
      <c r="C736" s="90"/>
      <c r="D736" s="91"/>
      <c r="E736" s="92"/>
      <c r="F736" s="89"/>
      <c r="G736" s="89"/>
      <c r="H736" s="89"/>
      <c r="I736" s="89"/>
      <c r="J736" s="89"/>
      <c r="K736" s="89"/>
      <c r="L736" s="93"/>
      <c r="M736" s="93"/>
      <c r="N736" s="93"/>
      <c r="O736" s="93"/>
      <c r="P736" s="93"/>
      <c r="Q736" s="93"/>
      <c r="R736" s="93"/>
      <c r="S736" s="93"/>
      <c r="T736" s="93"/>
      <c r="U736" s="93"/>
      <c r="V736" s="93"/>
      <c r="W736" s="93"/>
    </row>
    <row r="737" spans="2:23" s="14" customFormat="1" ht="17.100000000000001" customHeight="1">
      <c r="B737" s="89"/>
      <c r="C737" s="90"/>
      <c r="D737" s="91"/>
      <c r="E737" s="92"/>
      <c r="F737" s="89"/>
      <c r="G737" s="89"/>
      <c r="H737" s="89"/>
      <c r="I737" s="89"/>
      <c r="J737" s="89"/>
      <c r="K737" s="89"/>
      <c r="L737" s="93"/>
      <c r="M737" s="93"/>
      <c r="N737" s="93"/>
      <c r="O737" s="93"/>
      <c r="P737" s="93"/>
      <c r="Q737" s="93"/>
      <c r="R737" s="93"/>
      <c r="S737" s="93"/>
      <c r="T737" s="93"/>
      <c r="U737" s="93"/>
      <c r="V737" s="93"/>
      <c r="W737" s="93"/>
    </row>
    <row r="738" spans="2:23" s="14" customFormat="1" ht="17.100000000000001" customHeight="1">
      <c r="B738" s="89"/>
      <c r="C738" s="90"/>
      <c r="D738" s="91"/>
      <c r="E738" s="92"/>
      <c r="F738" s="89"/>
      <c r="G738" s="89"/>
      <c r="H738" s="89"/>
      <c r="I738" s="89"/>
      <c r="J738" s="89"/>
      <c r="K738" s="89"/>
      <c r="L738" s="93"/>
      <c r="M738" s="93"/>
      <c r="N738" s="93"/>
      <c r="O738" s="93"/>
      <c r="P738" s="93"/>
      <c r="Q738" s="93"/>
      <c r="R738" s="93"/>
      <c r="S738" s="93"/>
      <c r="T738" s="93"/>
      <c r="U738" s="93"/>
      <c r="V738" s="93"/>
      <c r="W738" s="93"/>
    </row>
    <row r="739" spans="2:23" s="14" customFormat="1" ht="17.100000000000001" customHeight="1">
      <c r="B739" s="89"/>
      <c r="C739" s="90"/>
      <c r="D739" s="91"/>
      <c r="E739" s="92"/>
      <c r="F739" s="89"/>
      <c r="G739" s="89"/>
      <c r="H739" s="89"/>
      <c r="I739" s="89"/>
      <c r="J739" s="89"/>
      <c r="K739" s="89"/>
      <c r="L739" s="93"/>
      <c r="M739" s="93"/>
      <c r="N739" s="93"/>
      <c r="O739" s="93"/>
      <c r="P739" s="93"/>
      <c r="Q739" s="93"/>
      <c r="R739" s="93"/>
      <c r="S739" s="93"/>
      <c r="T739" s="93"/>
      <c r="U739" s="93"/>
      <c r="V739" s="93"/>
      <c r="W739" s="93"/>
    </row>
    <row r="740" spans="2:23" s="14" customFormat="1" ht="17.100000000000001" customHeight="1">
      <c r="B740" s="89"/>
      <c r="C740" s="90"/>
      <c r="D740" s="91"/>
      <c r="E740" s="92"/>
      <c r="F740" s="89"/>
      <c r="G740" s="89"/>
      <c r="H740" s="89"/>
      <c r="I740" s="89"/>
      <c r="J740" s="89"/>
      <c r="K740" s="89"/>
      <c r="L740" s="93"/>
      <c r="M740" s="93"/>
      <c r="N740" s="93"/>
      <c r="O740" s="93"/>
      <c r="P740" s="93"/>
      <c r="Q740" s="93"/>
      <c r="R740" s="93"/>
      <c r="S740" s="93"/>
      <c r="T740" s="93"/>
      <c r="U740" s="93"/>
      <c r="V740" s="93"/>
      <c r="W740" s="93"/>
    </row>
    <row r="741" spans="2:23" s="14" customFormat="1" ht="17.100000000000001" customHeight="1">
      <c r="B741" s="89"/>
      <c r="C741" s="90"/>
      <c r="D741" s="91"/>
      <c r="E741" s="92"/>
      <c r="F741" s="89"/>
      <c r="G741" s="89"/>
      <c r="H741" s="89"/>
      <c r="I741" s="89"/>
      <c r="J741" s="89"/>
      <c r="K741" s="89"/>
      <c r="L741" s="93"/>
      <c r="M741" s="93"/>
      <c r="N741" s="93"/>
      <c r="O741" s="93"/>
      <c r="P741" s="93"/>
      <c r="Q741" s="93"/>
      <c r="R741" s="93"/>
      <c r="S741" s="93"/>
      <c r="T741" s="93"/>
      <c r="U741" s="93"/>
      <c r="V741" s="93"/>
      <c r="W741" s="93"/>
    </row>
    <row r="742" spans="2:23" s="14" customFormat="1" ht="17.100000000000001" customHeight="1">
      <c r="B742" s="89"/>
      <c r="C742" s="90"/>
      <c r="D742" s="91"/>
      <c r="E742" s="92"/>
      <c r="F742" s="89"/>
      <c r="G742" s="89"/>
      <c r="H742" s="89"/>
      <c r="I742" s="89"/>
      <c r="J742" s="89"/>
      <c r="K742" s="89"/>
      <c r="L742" s="93"/>
      <c r="M742" s="93"/>
      <c r="N742" s="93"/>
      <c r="O742" s="93"/>
      <c r="P742" s="93"/>
      <c r="Q742" s="93"/>
      <c r="R742" s="93"/>
      <c r="S742" s="93"/>
      <c r="T742" s="93"/>
      <c r="U742" s="93"/>
      <c r="V742" s="93"/>
      <c r="W742" s="93"/>
    </row>
    <row r="743" spans="2:23" s="14" customFormat="1" ht="17.100000000000001" customHeight="1">
      <c r="B743" s="89"/>
      <c r="C743" s="90"/>
      <c r="D743" s="91"/>
      <c r="E743" s="92"/>
      <c r="F743" s="89"/>
      <c r="G743" s="89"/>
      <c r="H743" s="89"/>
      <c r="I743" s="89"/>
      <c r="J743" s="89"/>
      <c r="K743" s="89"/>
      <c r="L743" s="93"/>
      <c r="M743" s="93"/>
      <c r="N743" s="93"/>
      <c r="O743" s="93"/>
      <c r="P743" s="93"/>
      <c r="Q743" s="93"/>
      <c r="R743" s="93"/>
      <c r="S743" s="93"/>
      <c r="T743" s="93"/>
      <c r="U743" s="93"/>
      <c r="V743" s="93"/>
      <c r="W743" s="93"/>
    </row>
    <row r="744" spans="2:23" s="14" customFormat="1" ht="17.100000000000001" customHeight="1">
      <c r="B744" s="89"/>
      <c r="C744" s="90"/>
      <c r="D744" s="91"/>
      <c r="E744" s="92"/>
      <c r="F744" s="89"/>
      <c r="G744" s="89"/>
      <c r="H744" s="89"/>
      <c r="I744" s="89"/>
      <c r="J744" s="89"/>
      <c r="K744" s="89"/>
      <c r="L744" s="93"/>
      <c r="M744" s="93"/>
      <c r="N744" s="93"/>
      <c r="O744" s="93"/>
      <c r="P744" s="93"/>
      <c r="Q744" s="93"/>
      <c r="R744" s="93"/>
      <c r="S744" s="93"/>
      <c r="T744" s="93"/>
      <c r="U744" s="93"/>
      <c r="V744" s="93"/>
      <c r="W744" s="93"/>
    </row>
    <row r="745" spans="2:23" s="14" customFormat="1" ht="17.100000000000001" customHeight="1">
      <c r="B745" s="89"/>
      <c r="C745" s="90"/>
      <c r="D745" s="91"/>
      <c r="E745" s="92"/>
      <c r="F745" s="89"/>
      <c r="G745" s="89"/>
      <c r="H745" s="89"/>
      <c r="I745" s="89"/>
      <c r="J745" s="89"/>
      <c r="K745" s="89"/>
      <c r="L745" s="93"/>
      <c r="M745" s="93"/>
      <c r="N745" s="93"/>
      <c r="O745" s="93"/>
      <c r="P745" s="93"/>
      <c r="Q745" s="93"/>
      <c r="R745" s="93"/>
      <c r="S745" s="93"/>
      <c r="T745" s="93"/>
      <c r="U745" s="93"/>
      <c r="V745" s="93"/>
      <c r="W745" s="93"/>
    </row>
    <row r="746" spans="2:23" s="14" customFormat="1" ht="17.100000000000001" customHeight="1">
      <c r="B746" s="89"/>
      <c r="C746" s="90"/>
      <c r="D746" s="91"/>
      <c r="E746" s="92"/>
      <c r="F746" s="89"/>
      <c r="G746" s="89"/>
      <c r="H746" s="89"/>
      <c r="I746" s="89"/>
      <c r="J746" s="89"/>
      <c r="K746" s="89"/>
      <c r="L746" s="93"/>
      <c r="M746" s="93"/>
      <c r="N746" s="93"/>
      <c r="O746" s="93"/>
      <c r="P746" s="93"/>
      <c r="Q746" s="93"/>
      <c r="R746" s="93"/>
      <c r="S746" s="93"/>
      <c r="T746" s="93"/>
      <c r="U746" s="93"/>
      <c r="V746" s="93"/>
      <c r="W746" s="93"/>
    </row>
    <row r="747" spans="2:23" s="14" customFormat="1" ht="17.100000000000001" customHeight="1">
      <c r="B747" s="89"/>
      <c r="C747" s="90"/>
      <c r="D747" s="91"/>
      <c r="E747" s="92"/>
      <c r="F747" s="89"/>
      <c r="G747" s="89"/>
      <c r="H747" s="89"/>
      <c r="I747" s="89"/>
      <c r="J747" s="89"/>
      <c r="K747" s="89"/>
      <c r="L747" s="93"/>
      <c r="M747" s="93"/>
      <c r="N747" s="93"/>
      <c r="O747" s="93"/>
      <c r="P747" s="93"/>
      <c r="Q747" s="93"/>
      <c r="R747" s="93"/>
      <c r="S747" s="93"/>
      <c r="T747" s="93"/>
      <c r="U747" s="93"/>
      <c r="V747" s="93"/>
      <c r="W747" s="93"/>
    </row>
    <row r="748" spans="2:23" s="14" customFormat="1" ht="17.100000000000001" customHeight="1">
      <c r="B748" s="89"/>
      <c r="C748" s="90"/>
      <c r="D748" s="91"/>
      <c r="E748" s="92"/>
      <c r="F748" s="89"/>
      <c r="G748" s="89"/>
      <c r="H748" s="89"/>
      <c r="I748" s="89"/>
      <c r="J748" s="89"/>
      <c r="K748" s="89"/>
      <c r="L748" s="93"/>
      <c r="M748" s="93"/>
      <c r="N748" s="93"/>
      <c r="O748" s="93"/>
      <c r="P748" s="93"/>
      <c r="Q748" s="93"/>
      <c r="R748" s="93"/>
      <c r="S748" s="93"/>
      <c r="T748" s="93"/>
      <c r="U748" s="93"/>
      <c r="V748" s="93"/>
      <c r="W748" s="93"/>
    </row>
    <row r="749" spans="2:23" s="14" customFormat="1" ht="17.100000000000001" customHeight="1">
      <c r="B749" s="89"/>
      <c r="C749" s="90"/>
      <c r="D749" s="91"/>
      <c r="E749" s="92"/>
      <c r="F749" s="89"/>
      <c r="G749" s="89"/>
      <c r="H749" s="89"/>
      <c r="I749" s="89"/>
      <c r="J749" s="89"/>
      <c r="K749" s="89"/>
      <c r="L749" s="93"/>
      <c r="M749" s="93"/>
      <c r="N749" s="93"/>
      <c r="O749" s="93"/>
      <c r="P749" s="93"/>
      <c r="Q749" s="93"/>
      <c r="R749" s="93"/>
      <c r="S749" s="93"/>
      <c r="T749" s="93"/>
      <c r="U749" s="93"/>
      <c r="V749" s="93"/>
      <c r="W749" s="93"/>
    </row>
    <row r="750" spans="2:23" s="14" customFormat="1" ht="17.100000000000001" customHeight="1">
      <c r="B750" s="89"/>
      <c r="C750" s="90"/>
      <c r="D750" s="91"/>
      <c r="E750" s="92"/>
      <c r="F750" s="89"/>
      <c r="G750" s="89"/>
      <c r="H750" s="89"/>
      <c r="I750" s="89"/>
      <c r="J750" s="89"/>
      <c r="K750" s="89"/>
      <c r="L750" s="93"/>
      <c r="M750" s="93"/>
      <c r="N750" s="93"/>
      <c r="O750" s="93"/>
      <c r="P750" s="93"/>
      <c r="Q750" s="93"/>
      <c r="R750" s="93"/>
      <c r="S750" s="93"/>
      <c r="T750" s="93"/>
      <c r="U750" s="93"/>
      <c r="V750" s="93"/>
      <c r="W750" s="93"/>
    </row>
    <row r="751" spans="2:23" s="14" customFormat="1" ht="17.100000000000001" customHeight="1">
      <c r="B751" s="89"/>
      <c r="C751" s="90"/>
      <c r="D751" s="91"/>
      <c r="E751" s="92"/>
      <c r="F751" s="89"/>
      <c r="G751" s="89"/>
      <c r="H751" s="89"/>
      <c r="I751" s="89"/>
      <c r="J751" s="89"/>
      <c r="K751" s="89"/>
      <c r="L751" s="93"/>
      <c r="M751" s="93"/>
      <c r="N751" s="93"/>
      <c r="O751" s="93"/>
      <c r="P751" s="93"/>
      <c r="Q751" s="93"/>
      <c r="R751" s="93"/>
      <c r="S751" s="93"/>
      <c r="T751" s="93"/>
      <c r="U751" s="93"/>
      <c r="V751" s="93"/>
      <c r="W751" s="93"/>
    </row>
    <row r="752" spans="2:23" s="14" customFormat="1" ht="17.100000000000001" customHeight="1">
      <c r="B752" s="89"/>
      <c r="C752" s="90"/>
      <c r="D752" s="91"/>
      <c r="E752" s="92"/>
      <c r="F752" s="89"/>
      <c r="G752" s="89"/>
      <c r="H752" s="89"/>
      <c r="I752" s="89"/>
      <c r="J752" s="89"/>
      <c r="K752" s="89"/>
      <c r="L752" s="93"/>
      <c r="M752" s="93"/>
      <c r="N752" s="93"/>
      <c r="O752" s="93"/>
      <c r="P752" s="93"/>
      <c r="Q752" s="93"/>
      <c r="R752" s="93"/>
      <c r="S752" s="93"/>
      <c r="T752" s="93"/>
      <c r="U752" s="93"/>
      <c r="V752" s="93"/>
      <c r="W752" s="93"/>
    </row>
    <row r="753" spans="2:23" s="14" customFormat="1" ht="17.100000000000001" customHeight="1">
      <c r="B753" s="89"/>
      <c r="C753" s="90"/>
      <c r="D753" s="91"/>
      <c r="E753" s="92"/>
      <c r="F753" s="89"/>
      <c r="G753" s="89"/>
      <c r="H753" s="89"/>
      <c r="I753" s="89"/>
      <c r="J753" s="89"/>
      <c r="K753" s="89"/>
      <c r="L753" s="93"/>
      <c r="M753" s="93"/>
      <c r="N753" s="93"/>
      <c r="O753" s="93"/>
      <c r="P753" s="93"/>
      <c r="Q753" s="93"/>
      <c r="R753" s="93"/>
      <c r="S753" s="93"/>
      <c r="T753" s="93"/>
      <c r="U753" s="93"/>
      <c r="V753" s="93"/>
      <c r="W753" s="93"/>
    </row>
    <row r="754" spans="2:23" s="14" customFormat="1" ht="17.100000000000001" customHeight="1">
      <c r="B754" s="89"/>
      <c r="C754" s="90"/>
      <c r="D754" s="91"/>
      <c r="E754" s="92"/>
      <c r="F754" s="89"/>
      <c r="G754" s="89"/>
      <c r="H754" s="89"/>
      <c r="I754" s="89"/>
      <c r="J754" s="89"/>
      <c r="K754" s="89"/>
      <c r="L754" s="93"/>
      <c r="M754" s="93"/>
      <c r="N754" s="93"/>
      <c r="O754" s="93"/>
      <c r="P754" s="93"/>
      <c r="Q754" s="93"/>
      <c r="R754" s="93"/>
      <c r="S754" s="93"/>
      <c r="T754" s="93"/>
      <c r="U754" s="93"/>
      <c r="V754" s="93"/>
      <c r="W754" s="93"/>
    </row>
    <row r="755" spans="2:23" s="14" customFormat="1" ht="17.100000000000001" customHeight="1">
      <c r="B755" s="89"/>
      <c r="C755" s="90"/>
      <c r="D755" s="91"/>
      <c r="E755" s="92"/>
      <c r="F755" s="89"/>
      <c r="G755" s="89"/>
      <c r="H755" s="89"/>
      <c r="I755" s="89"/>
      <c r="J755" s="89"/>
      <c r="K755" s="89"/>
      <c r="L755" s="93"/>
      <c r="M755" s="93"/>
      <c r="N755" s="93"/>
      <c r="O755" s="93"/>
      <c r="P755" s="93"/>
      <c r="Q755" s="93"/>
      <c r="R755" s="93"/>
      <c r="S755" s="93"/>
      <c r="T755" s="93"/>
      <c r="U755" s="93"/>
      <c r="V755" s="93"/>
      <c r="W755" s="93"/>
    </row>
    <row r="756" spans="2:23" s="14" customFormat="1" ht="17.100000000000001" customHeight="1">
      <c r="B756" s="89"/>
      <c r="C756" s="90"/>
      <c r="D756" s="91"/>
      <c r="E756" s="92"/>
      <c r="F756" s="89"/>
      <c r="G756" s="89"/>
      <c r="H756" s="89"/>
      <c r="I756" s="89"/>
      <c r="J756" s="89"/>
      <c r="K756" s="89"/>
      <c r="L756" s="93"/>
      <c r="M756" s="93"/>
      <c r="N756" s="93"/>
      <c r="O756" s="93"/>
      <c r="P756" s="93"/>
      <c r="Q756" s="93"/>
      <c r="R756" s="93"/>
      <c r="S756" s="93"/>
      <c r="T756" s="93"/>
      <c r="U756" s="93"/>
      <c r="V756" s="93"/>
      <c r="W756" s="93"/>
    </row>
    <row r="757" spans="2:23" s="14" customFormat="1" ht="17.100000000000001" customHeight="1">
      <c r="B757" s="89"/>
      <c r="C757" s="90"/>
      <c r="D757" s="91"/>
      <c r="E757" s="92"/>
      <c r="F757" s="89"/>
      <c r="G757" s="89"/>
      <c r="H757" s="89"/>
      <c r="I757" s="89"/>
      <c r="J757" s="89"/>
      <c r="K757" s="89"/>
      <c r="L757" s="93"/>
      <c r="M757" s="93"/>
      <c r="N757" s="93"/>
      <c r="O757" s="93"/>
      <c r="P757" s="93"/>
      <c r="Q757" s="93"/>
      <c r="R757" s="93"/>
      <c r="S757" s="93"/>
      <c r="T757" s="93"/>
      <c r="U757" s="93"/>
      <c r="V757" s="93"/>
      <c r="W757" s="93"/>
    </row>
    <row r="758" spans="2:23" s="14" customFormat="1" ht="17.100000000000001" customHeight="1">
      <c r="B758" s="89"/>
      <c r="C758" s="90"/>
      <c r="D758" s="91"/>
      <c r="E758" s="92"/>
      <c r="F758" s="89"/>
      <c r="G758" s="89"/>
      <c r="H758" s="89"/>
      <c r="I758" s="89"/>
      <c r="J758" s="89"/>
      <c r="K758" s="89"/>
      <c r="L758" s="93"/>
      <c r="M758" s="93"/>
      <c r="N758" s="93"/>
      <c r="O758" s="93"/>
      <c r="P758" s="93"/>
      <c r="Q758" s="93"/>
      <c r="R758" s="93"/>
      <c r="S758" s="93"/>
      <c r="T758" s="93"/>
      <c r="U758" s="93"/>
      <c r="V758" s="93"/>
      <c r="W758" s="93"/>
    </row>
    <row r="759" spans="2:23" s="14" customFormat="1" ht="17.100000000000001" customHeight="1">
      <c r="B759" s="89"/>
      <c r="C759" s="90"/>
      <c r="D759" s="91"/>
      <c r="E759" s="92"/>
      <c r="F759" s="89"/>
      <c r="G759" s="89"/>
      <c r="H759" s="89"/>
      <c r="I759" s="89"/>
      <c r="J759" s="89"/>
      <c r="K759" s="89"/>
      <c r="L759" s="93"/>
      <c r="M759" s="93"/>
      <c r="N759" s="93"/>
      <c r="O759" s="93"/>
      <c r="P759" s="93"/>
      <c r="Q759" s="93"/>
      <c r="R759" s="93"/>
      <c r="S759" s="93"/>
      <c r="T759" s="93"/>
      <c r="U759" s="93"/>
      <c r="V759" s="93"/>
      <c r="W759" s="93"/>
    </row>
    <row r="760" spans="2:23" s="14" customFormat="1" ht="17.100000000000001" customHeight="1">
      <c r="B760" s="89"/>
      <c r="C760" s="90"/>
      <c r="D760" s="91"/>
      <c r="E760" s="92"/>
      <c r="F760" s="89"/>
      <c r="G760" s="89"/>
      <c r="H760" s="89"/>
      <c r="I760" s="89"/>
      <c r="J760" s="89"/>
      <c r="K760" s="89"/>
      <c r="L760" s="93"/>
      <c r="M760" s="93"/>
      <c r="N760" s="93"/>
      <c r="O760" s="93"/>
      <c r="P760" s="93"/>
      <c r="Q760" s="93"/>
      <c r="R760" s="93"/>
      <c r="S760" s="93"/>
      <c r="T760" s="93"/>
      <c r="U760" s="93"/>
      <c r="V760" s="93"/>
      <c r="W760" s="93"/>
    </row>
    <row r="761" spans="2:23" s="14" customFormat="1" ht="17.100000000000001" customHeight="1">
      <c r="B761" s="89"/>
      <c r="C761" s="90"/>
      <c r="D761" s="91"/>
      <c r="E761" s="92"/>
      <c r="F761" s="89"/>
      <c r="G761" s="89"/>
      <c r="H761" s="89"/>
      <c r="I761" s="89"/>
      <c r="J761" s="89"/>
      <c r="K761" s="89"/>
      <c r="L761" s="93"/>
      <c r="M761" s="93"/>
      <c r="N761" s="93"/>
      <c r="O761" s="93"/>
      <c r="P761" s="93"/>
      <c r="Q761" s="93"/>
      <c r="R761" s="93"/>
      <c r="S761" s="93"/>
      <c r="T761" s="93"/>
      <c r="U761" s="93"/>
      <c r="V761" s="93"/>
      <c r="W761" s="93"/>
    </row>
    <row r="762" spans="2:23" s="14" customFormat="1" ht="17.100000000000001" customHeight="1">
      <c r="B762" s="89"/>
      <c r="C762" s="90"/>
      <c r="D762" s="91"/>
      <c r="E762" s="92"/>
      <c r="F762" s="89"/>
      <c r="G762" s="89"/>
      <c r="H762" s="89"/>
      <c r="I762" s="89"/>
      <c r="J762" s="89"/>
      <c r="K762" s="89"/>
      <c r="L762" s="93"/>
      <c r="M762" s="93"/>
      <c r="N762" s="93"/>
      <c r="O762" s="93"/>
      <c r="P762" s="93"/>
      <c r="Q762" s="93"/>
      <c r="R762" s="93"/>
      <c r="S762" s="93"/>
      <c r="T762" s="93"/>
      <c r="U762" s="93"/>
      <c r="V762" s="93"/>
      <c r="W762" s="93"/>
    </row>
    <row r="763" spans="2:23" s="14" customFormat="1" ht="17.100000000000001" customHeight="1">
      <c r="B763" s="89"/>
      <c r="C763" s="90"/>
      <c r="D763" s="91"/>
      <c r="E763" s="92"/>
      <c r="F763" s="89"/>
      <c r="G763" s="89"/>
      <c r="H763" s="89"/>
      <c r="I763" s="89"/>
      <c r="J763" s="89"/>
      <c r="K763" s="89"/>
      <c r="L763" s="93"/>
      <c r="M763" s="93"/>
      <c r="N763" s="93"/>
      <c r="O763" s="93"/>
      <c r="P763" s="93"/>
      <c r="Q763" s="93"/>
      <c r="R763" s="93"/>
      <c r="S763" s="93"/>
      <c r="T763" s="93"/>
      <c r="U763" s="93"/>
      <c r="V763" s="93"/>
      <c r="W763" s="93"/>
    </row>
    <row r="764" spans="2:23" s="14" customFormat="1" ht="17.100000000000001" customHeight="1">
      <c r="B764" s="89"/>
      <c r="C764" s="90"/>
      <c r="D764" s="91"/>
      <c r="E764" s="92"/>
      <c r="F764" s="89"/>
      <c r="G764" s="89"/>
      <c r="H764" s="89"/>
      <c r="I764" s="89"/>
      <c r="J764" s="89"/>
      <c r="K764" s="89"/>
      <c r="L764" s="93"/>
      <c r="M764" s="93"/>
      <c r="N764" s="93"/>
      <c r="O764" s="93"/>
      <c r="P764" s="93"/>
      <c r="Q764" s="93"/>
      <c r="R764" s="93"/>
      <c r="S764" s="93"/>
      <c r="T764" s="93"/>
      <c r="U764" s="93"/>
      <c r="V764" s="93"/>
      <c r="W764" s="93"/>
    </row>
    <row r="765" spans="2:23" s="14" customFormat="1" ht="17.100000000000001" customHeight="1">
      <c r="B765" s="89"/>
      <c r="C765" s="90"/>
      <c r="D765" s="91"/>
      <c r="E765" s="92"/>
      <c r="F765" s="89"/>
      <c r="G765" s="89"/>
      <c r="H765" s="89"/>
      <c r="I765" s="89"/>
      <c r="J765" s="89"/>
      <c r="K765" s="89"/>
      <c r="L765" s="93"/>
      <c r="M765" s="93"/>
      <c r="N765" s="93"/>
      <c r="O765" s="93"/>
      <c r="P765" s="93"/>
      <c r="Q765" s="93"/>
      <c r="R765" s="93"/>
      <c r="S765" s="93"/>
      <c r="T765" s="93"/>
      <c r="U765" s="93"/>
      <c r="V765" s="93"/>
      <c r="W765" s="93"/>
    </row>
    <row r="766" spans="2:23" s="14" customFormat="1" ht="17.100000000000001" customHeight="1">
      <c r="B766" s="89"/>
      <c r="C766" s="90"/>
      <c r="D766" s="91"/>
      <c r="E766" s="92"/>
      <c r="F766" s="89"/>
      <c r="G766" s="89"/>
      <c r="H766" s="89"/>
      <c r="I766" s="89"/>
      <c r="J766" s="89"/>
      <c r="K766" s="89"/>
      <c r="L766" s="93"/>
      <c r="M766" s="93"/>
      <c r="N766" s="93"/>
      <c r="O766" s="93"/>
      <c r="P766" s="93"/>
      <c r="Q766" s="93"/>
      <c r="R766" s="93"/>
      <c r="S766" s="93"/>
      <c r="T766" s="93"/>
      <c r="U766" s="93"/>
      <c r="V766" s="93"/>
      <c r="W766" s="93"/>
    </row>
    <row r="767" spans="2:23" s="14" customFormat="1" ht="17.100000000000001" customHeight="1">
      <c r="B767" s="89"/>
      <c r="C767" s="90"/>
      <c r="D767" s="91"/>
      <c r="E767" s="92"/>
      <c r="F767" s="89"/>
      <c r="G767" s="89"/>
      <c r="H767" s="89"/>
      <c r="I767" s="89"/>
      <c r="J767" s="89"/>
      <c r="K767" s="89"/>
      <c r="L767" s="93"/>
      <c r="M767" s="93"/>
      <c r="N767" s="93"/>
      <c r="O767" s="93"/>
      <c r="P767" s="93"/>
      <c r="Q767" s="93"/>
      <c r="R767" s="93"/>
      <c r="S767" s="93"/>
      <c r="T767" s="93"/>
      <c r="U767" s="93"/>
      <c r="V767" s="93"/>
      <c r="W767" s="93"/>
    </row>
    <row r="768" spans="2:23" s="14" customFormat="1" ht="17.100000000000001" customHeight="1">
      <c r="B768" s="89"/>
      <c r="C768" s="90"/>
      <c r="D768" s="91"/>
      <c r="E768" s="92"/>
      <c r="F768" s="89"/>
      <c r="G768" s="89"/>
      <c r="H768" s="89"/>
      <c r="I768" s="89"/>
      <c r="J768" s="89"/>
      <c r="K768" s="89"/>
      <c r="L768" s="93"/>
      <c r="M768" s="93"/>
      <c r="N768" s="93"/>
      <c r="O768" s="93"/>
      <c r="P768" s="93"/>
      <c r="Q768" s="93"/>
      <c r="R768" s="93"/>
      <c r="S768" s="93"/>
      <c r="T768" s="93"/>
      <c r="U768" s="93"/>
      <c r="V768" s="93"/>
      <c r="W768" s="93"/>
    </row>
    <row r="769" spans="2:23" s="14" customFormat="1" ht="17.100000000000001" customHeight="1">
      <c r="B769" s="89"/>
      <c r="C769" s="90"/>
      <c r="D769" s="91"/>
      <c r="E769" s="92"/>
      <c r="F769" s="89"/>
      <c r="G769" s="89"/>
      <c r="H769" s="89"/>
      <c r="I769" s="89"/>
      <c r="J769" s="89"/>
      <c r="K769" s="89"/>
      <c r="L769" s="93"/>
      <c r="M769" s="93"/>
      <c r="N769" s="93"/>
      <c r="O769" s="93"/>
      <c r="P769" s="93"/>
      <c r="Q769" s="93"/>
      <c r="R769" s="93"/>
      <c r="S769" s="93"/>
      <c r="T769" s="93"/>
      <c r="U769" s="93"/>
      <c r="V769" s="93"/>
      <c r="W769" s="93"/>
    </row>
    <row r="770" spans="2:23" s="14" customFormat="1" ht="17.100000000000001" customHeight="1">
      <c r="B770" s="89"/>
      <c r="C770" s="90"/>
      <c r="D770" s="91"/>
      <c r="E770" s="92"/>
      <c r="F770" s="89"/>
      <c r="G770" s="89"/>
      <c r="H770" s="89"/>
      <c r="I770" s="89"/>
      <c r="J770" s="89"/>
      <c r="K770" s="89"/>
      <c r="L770" s="93"/>
      <c r="M770" s="93"/>
      <c r="N770" s="93"/>
      <c r="O770" s="93"/>
      <c r="P770" s="93"/>
      <c r="Q770" s="93"/>
      <c r="R770" s="93"/>
      <c r="S770" s="93"/>
      <c r="T770" s="93"/>
      <c r="U770" s="93"/>
      <c r="V770" s="93"/>
      <c r="W770" s="93"/>
    </row>
    <row r="771" spans="2:23" s="14" customFormat="1" ht="17.100000000000001" customHeight="1">
      <c r="B771" s="89"/>
      <c r="C771" s="90"/>
      <c r="D771" s="91"/>
      <c r="E771" s="92"/>
      <c r="F771" s="89"/>
      <c r="G771" s="89"/>
      <c r="H771" s="89"/>
      <c r="I771" s="89"/>
      <c r="J771" s="89"/>
      <c r="K771" s="89"/>
      <c r="L771" s="93"/>
      <c r="M771" s="93"/>
      <c r="N771" s="93"/>
      <c r="O771" s="93"/>
      <c r="P771" s="93"/>
      <c r="Q771" s="93"/>
      <c r="R771" s="93"/>
      <c r="S771" s="93"/>
      <c r="T771" s="93"/>
      <c r="U771" s="93"/>
      <c r="V771" s="93"/>
      <c r="W771" s="93"/>
    </row>
    <row r="772" spans="2:23" s="14" customFormat="1" ht="17.100000000000001" customHeight="1">
      <c r="B772" s="89"/>
      <c r="C772" s="90"/>
      <c r="D772" s="91"/>
      <c r="E772" s="92"/>
      <c r="F772" s="89"/>
      <c r="G772" s="89"/>
      <c r="H772" s="89"/>
      <c r="I772" s="89"/>
      <c r="J772" s="89"/>
      <c r="K772" s="89"/>
      <c r="L772" s="93"/>
      <c r="M772" s="93"/>
      <c r="N772" s="93"/>
      <c r="O772" s="93"/>
      <c r="P772" s="93"/>
      <c r="Q772" s="93"/>
      <c r="R772" s="93"/>
      <c r="S772" s="93"/>
      <c r="T772" s="93"/>
      <c r="U772" s="93"/>
      <c r="V772" s="93"/>
      <c r="W772" s="93"/>
    </row>
    <row r="773" spans="2:23" s="14" customFormat="1" ht="17.100000000000001" customHeight="1">
      <c r="B773" s="89"/>
      <c r="C773" s="90"/>
      <c r="D773" s="91"/>
      <c r="E773" s="92"/>
      <c r="F773" s="89"/>
      <c r="G773" s="89"/>
      <c r="H773" s="89"/>
      <c r="I773" s="89"/>
      <c r="J773" s="89"/>
      <c r="K773" s="89"/>
      <c r="L773" s="93"/>
      <c r="M773" s="93"/>
      <c r="N773" s="93"/>
      <c r="O773" s="93"/>
      <c r="P773" s="93"/>
      <c r="Q773" s="93"/>
      <c r="R773" s="93"/>
      <c r="S773" s="93"/>
      <c r="T773" s="93"/>
      <c r="U773" s="93"/>
      <c r="V773" s="93"/>
      <c r="W773" s="93"/>
    </row>
    <row r="774" spans="2:23" s="14" customFormat="1" ht="17.100000000000001" customHeight="1">
      <c r="B774" s="89"/>
      <c r="C774" s="90"/>
      <c r="D774" s="91"/>
      <c r="E774" s="92"/>
      <c r="F774" s="89"/>
      <c r="G774" s="89"/>
      <c r="H774" s="89"/>
      <c r="I774" s="89"/>
      <c r="J774" s="89"/>
      <c r="K774" s="89"/>
      <c r="L774" s="93"/>
      <c r="M774" s="93"/>
      <c r="N774" s="93"/>
      <c r="O774" s="93"/>
      <c r="P774" s="93"/>
      <c r="Q774" s="93"/>
      <c r="R774" s="93"/>
      <c r="S774" s="93"/>
      <c r="T774" s="93"/>
      <c r="U774" s="93"/>
      <c r="V774" s="93"/>
      <c r="W774" s="93"/>
    </row>
    <row r="775" spans="2:23" s="14" customFormat="1" ht="17.100000000000001" customHeight="1">
      <c r="B775" s="89"/>
      <c r="C775" s="90"/>
      <c r="D775" s="91"/>
      <c r="E775" s="92"/>
      <c r="F775" s="89"/>
      <c r="G775" s="89"/>
      <c r="H775" s="89"/>
      <c r="I775" s="89"/>
      <c r="J775" s="89"/>
      <c r="K775" s="89"/>
      <c r="L775" s="93"/>
      <c r="M775" s="93"/>
      <c r="N775" s="93"/>
      <c r="O775" s="93"/>
      <c r="P775" s="93"/>
      <c r="Q775" s="93"/>
      <c r="R775" s="93"/>
      <c r="S775" s="93"/>
      <c r="T775" s="93"/>
      <c r="U775" s="93"/>
      <c r="V775" s="93"/>
      <c r="W775" s="93"/>
    </row>
    <row r="776" spans="2:23" s="14" customFormat="1" ht="17.100000000000001" customHeight="1">
      <c r="B776" s="89"/>
      <c r="C776" s="90"/>
      <c r="D776" s="91"/>
      <c r="E776" s="92"/>
      <c r="F776" s="89"/>
      <c r="G776" s="89"/>
      <c r="H776" s="89"/>
      <c r="I776" s="89"/>
      <c r="J776" s="89"/>
      <c r="K776" s="89"/>
      <c r="L776" s="93"/>
      <c r="M776" s="93"/>
      <c r="N776" s="93"/>
      <c r="O776" s="93"/>
      <c r="P776" s="93"/>
      <c r="Q776" s="93"/>
      <c r="R776" s="93"/>
      <c r="S776" s="93"/>
      <c r="T776" s="93"/>
      <c r="U776" s="93"/>
      <c r="V776" s="93"/>
      <c r="W776" s="93"/>
    </row>
    <row r="777" spans="2:23" s="14" customFormat="1" ht="17.100000000000001" customHeight="1">
      <c r="B777" s="89"/>
      <c r="C777" s="90"/>
      <c r="D777" s="91"/>
      <c r="E777" s="92"/>
      <c r="F777" s="89"/>
      <c r="G777" s="89"/>
      <c r="H777" s="89"/>
      <c r="I777" s="89"/>
      <c r="J777" s="89"/>
      <c r="K777" s="89"/>
      <c r="L777" s="93"/>
      <c r="M777" s="93"/>
      <c r="N777" s="93"/>
      <c r="O777" s="93"/>
      <c r="P777" s="93"/>
      <c r="Q777" s="93"/>
      <c r="R777" s="93"/>
      <c r="S777" s="93"/>
      <c r="T777" s="93"/>
      <c r="U777" s="93"/>
      <c r="V777" s="93"/>
      <c r="W777" s="93"/>
    </row>
    <row r="778" spans="2:23" s="14" customFormat="1" ht="17.100000000000001" customHeight="1">
      <c r="B778" s="89"/>
      <c r="C778" s="90"/>
      <c r="D778" s="91"/>
      <c r="E778" s="92"/>
      <c r="F778" s="89"/>
      <c r="G778" s="89"/>
      <c r="H778" s="89"/>
      <c r="I778" s="89"/>
      <c r="J778" s="89"/>
      <c r="K778" s="89"/>
      <c r="L778" s="93"/>
      <c r="M778" s="93"/>
      <c r="N778" s="93"/>
      <c r="O778" s="93"/>
      <c r="P778" s="93"/>
      <c r="Q778" s="93"/>
      <c r="R778" s="93"/>
      <c r="S778" s="93"/>
      <c r="T778" s="93"/>
      <c r="U778" s="93"/>
      <c r="V778" s="93"/>
      <c r="W778" s="93"/>
    </row>
    <row r="779" spans="2:23" s="14" customFormat="1" ht="17.100000000000001" customHeight="1">
      <c r="B779" s="89"/>
      <c r="C779" s="90"/>
      <c r="D779" s="91"/>
      <c r="E779" s="92"/>
      <c r="F779" s="89"/>
      <c r="G779" s="89"/>
      <c r="H779" s="89"/>
      <c r="I779" s="89"/>
      <c r="J779" s="89"/>
      <c r="K779" s="89"/>
      <c r="L779" s="93"/>
      <c r="M779" s="93"/>
      <c r="N779" s="93"/>
      <c r="O779" s="93"/>
      <c r="P779" s="93"/>
      <c r="Q779" s="93"/>
      <c r="R779" s="93"/>
      <c r="S779" s="93"/>
      <c r="T779" s="93"/>
      <c r="U779" s="93"/>
      <c r="V779" s="93"/>
      <c r="W779" s="93"/>
    </row>
    <row r="780" spans="2:23" s="14" customFormat="1" ht="17.100000000000001" customHeight="1">
      <c r="B780" s="89"/>
      <c r="C780" s="90"/>
      <c r="D780" s="91"/>
      <c r="E780" s="92"/>
      <c r="F780" s="89"/>
      <c r="G780" s="89"/>
      <c r="H780" s="89"/>
      <c r="I780" s="89"/>
      <c r="J780" s="89"/>
      <c r="K780" s="89"/>
      <c r="L780" s="93"/>
      <c r="M780" s="93"/>
      <c r="N780" s="93"/>
      <c r="O780" s="93"/>
      <c r="P780" s="93"/>
      <c r="Q780" s="93"/>
      <c r="R780" s="93"/>
      <c r="S780" s="93"/>
      <c r="T780" s="93"/>
      <c r="U780" s="93"/>
      <c r="V780" s="93"/>
      <c r="W780" s="93"/>
    </row>
    <row r="781" spans="2:23" s="14" customFormat="1" ht="17.100000000000001" customHeight="1">
      <c r="B781" s="89"/>
      <c r="C781" s="90"/>
      <c r="D781" s="91"/>
      <c r="E781" s="92"/>
      <c r="F781" s="89"/>
      <c r="G781" s="89"/>
      <c r="H781" s="89"/>
      <c r="I781" s="89"/>
      <c r="J781" s="89"/>
      <c r="K781" s="89"/>
      <c r="L781" s="93"/>
      <c r="M781" s="93"/>
      <c r="N781" s="93"/>
      <c r="O781" s="93"/>
      <c r="P781" s="93"/>
      <c r="Q781" s="93"/>
      <c r="R781" s="93"/>
      <c r="S781" s="93"/>
      <c r="T781" s="93"/>
      <c r="U781" s="93"/>
      <c r="V781" s="93"/>
      <c r="W781" s="93"/>
    </row>
    <row r="782" spans="2:23" s="14" customFormat="1" ht="17.100000000000001" customHeight="1">
      <c r="B782" s="89"/>
      <c r="C782" s="90"/>
      <c r="D782" s="91"/>
      <c r="E782" s="92"/>
      <c r="F782" s="89"/>
      <c r="G782" s="89"/>
      <c r="H782" s="89"/>
      <c r="I782" s="89"/>
      <c r="J782" s="89"/>
      <c r="K782" s="89"/>
      <c r="L782" s="93"/>
      <c r="M782" s="93"/>
      <c r="N782" s="93"/>
      <c r="O782" s="93"/>
      <c r="P782" s="93"/>
      <c r="Q782" s="93"/>
      <c r="R782" s="93"/>
      <c r="S782" s="93"/>
      <c r="T782" s="93"/>
      <c r="U782" s="93"/>
      <c r="V782" s="93"/>
      <c r="W782" s="93"/>
    </row>
    <row r="783" spans="2:23" s="14" customFormat="1" ht="17.100000000000001" customHeight="1">
      <c r="B783" s="89"/>
      <c r="C783" s="90"/>
      <c r="D783" s="91"/>
      <c r="E783" s="92"/>
      <c r="F783" s="89"/>
      <c r="G783" s="89"/>
      <c r="H783" s="89"/>
      <c r="I783" s="89"/>
      <c r="J783" s="89"/>
      <c r="K783" s="89"/>
      <c r="L783" s="93"/>
      <c r="M783" s="93"/>
      <c r="N783" s="93"/>
      <c r="O783" s="93"/>
      <c r="P783" s="93"/>
      <c r="Q783" s="93"/>
      <c r="R783" s="93"/>
      <c r="S783" s="93"/>
      <c r="T783" s="93"/>
      <c r="U783" s="93"/>
      <c r="V783" s="93"/>
      <c r="W783" s="93"/>
    </row>
    <row r="784" spans="2:23" s="14" customFormat="1" ht="17.100000000000001" customHeight="1">
      <c r="B784" s="89"/>
      <c r="C784" s="90"/>
      <c r="D784" s="91"/>
      <c r="E784" s="92"/>
      <c r="F784" s="89"/>
      <c r="G784" s="89"/>
      <c r="H784" s="89"/>
      <c r="I784" s="89"/>
      <c r="J784" s="89"/>
      <c r="K784" s="89"/>
      <c r="L784" s="93"/>
      <c r="M784" s="93"/>
      <c r="N784" s="93"/>
      <c r="O784" s="93"/>
      <c r="P784" s="93"/>
      <c r="Q784" s="93"/>
      <c r="R784" s="93"/>
      <c r="S784" s="93"/>
      <c r="T784" s="93"/>
      <c r="U784" s="93"/>
      <c r="V784" s="93"/>
      <c r="W784" s="93"/>
    </row>
    <row r="785" spans="2:23" s="14" customFormat="1" ht="17.100000000000001" customHeight="1">
      <c r="B785" s="89"/>
      <c r="C785" s="90"/>
      <c r="D785" s="91"/>
      <c r="E785" s="92"/>
      <c r="F785" s="89"/>
      <c r="G785" s="89"/>
      <c r="H785" s="89"/>
      <c r="I785" s="89"/>
      <c r="J785" s="89"/>
      <c r="K785" s="89"/>
      <c r="L785" s="93"/>
      <c r="M785" s="93"/>
      <c r="N785" s="93"/>
      <c r="O785" s="93"/>
      <c r="P785" s="93"/>
      <c r="Q785" s="93"/>
      <c r="R785" s="93"/>
      <c r="S785" s="93"/>
      <c r="T785" s="93"/>
      <c r="U785" s="93"/>
      <c r="V785" s="93"/>
      <c r="W785" s="93"/>
    </row>
    <row r="786" spans="2:23" s="14" customFormat="1" ht="17.100000000000001" customHeight="1">
      <c r="B786" s="89"/>
      <c r="C786" s="90"/>
      <c r="D786" s="91"/>
      <c r="E786" s="92"/>
      <c r="F786" s="89"/>
      <c r="G786" s="89"/>
      <c r="H786" s="89"/>
      <c r="I786" s="89"/>
      <c r="J786" s="89"/>
      <c r="K786" s="89"/>
      <c r="L786" s="93"/>
      <c r="M786" s="93"/>
      <c r="N786" s="93"/>
      <c r="O786" s="93"/>
      <c r="P786" s="93"/>
      <c r="Q786" s="93"/>
      <c r="R786" s="93"/>
      <c r="S786" s="93"/>
      <c r="T786" s="93"/>
      <c r="U786" s="93"/>
      <c r="V786" s="93"/>
      <c r="W786" s="93"/>
    </row>
    <row r="787" spans="2:23" s="14" customFormat="1" ht="17.100000000000001" customHeight="1">
      <c r="B787" s="89"/>
      <c r="C787" s="90"/>
      <c r="D787" s="91"/>
      <c r="E787" s="92"/>
      <c r="F787" s="89"/>
      <c r="G787" s="89"/>
      <c r="H787" s="89"/>
      <c r="I787" s="89"/>
      <c r="J787" s="89"/>
      <c r="K787" s="89"/>
      <c r="L787" s="93"/>
      <c r="M787" s="93"/>
      <c r="N787" s="93"/>
      <c r="O787" s="93"/>
      <c r="P787" s="93"/>
      <c r="Q787" s="93"/>
      <c r="R787" s="93"/>
      <c r="S787" s="93"/>
      <c r="T787" s="93"/>
      <c r="U787" s="93"/>
      <c r="V787" s="93"/>
      <c r="W787" s="93"/>
    </row>
    <row r="788" spans="2:23" s="14" customFormat="1" ht="17.100000000000001" customHeight="1">
      <c r="B788" s="89"/>
      <c r="C788" s="90"/>
      <c r="D788" s="91"/>
      <c r="E788" s="92"/>
      <c r="F788" s="89"/>
      <c r="G788" s="89"/>
      <c r="H788" s="89"/>
      <c r="I788" s="89"/>
      <c r="J788" s="89"/>
      <c r="K788" s="89"/>
      <c r="L788" s="93"/>
      <c r="M788" s="93"/>
      <c r="N788" s="93"/>
      <c r="O788" s="93"/>
      <c r="P788" s="93"/>
      <c r="Q788" s="93"/>
      <c r="R788" s="93"/>
      <c r="S788" s="93"/>
      <c r="T788" s="93"/>
      <c r="U788" s="93"/>
      <c r="V788" s="93"/>
      <c r="W788" s="93"/>
    </row>
    <row r="789" spans="2:23" s="14" customFormat="1" ht="17.100000000000001" customHeight="1">
      <c r="B789" s="89"/>
      <c r="C789" s="90"/>
      <c r="D789" s="91"/>
      <c r="E789" s="92"/>
      <c r="F789" s="89"/>
      <c r="G789" s="89"/>
      <c r="H789" s="89"/>
      <c r="I789" s="89"/>
      <c r="J789" s="89"/>
      <c r="K789" s="89"/>
      <c r="L789" s="93"/>
      <c r="M789" s="93"/>
      <c r="N789" s="93"/>
      <c r="O789" s="93"/>
      <c r="P789" s="93"/>
      <c r="Q789" s="93"/>
      <c r="R789" s="93"/>
      <c r="S789" s="93"/>
      <c r="T789" s="93"/>
      <c r="U789" s="93"/>
      <c r="V789" s="93"/>
      <c r="W789" s="93"/>
    </row>
    <row r="790" spans="2:23" s="14" customFormat="1" ht="17.100000000000001" customHeight="1">
      <c r="B790" s="89"/>
      <c r="C790" s="90"/>
      <c r="D790" s="91"/>
      <c r="E790" s="92"/>
      <c r="F790" s="89"/>
      <c r="G790" s="89"/>
      <c r="H790" s="89"/>
      <c r="I790" s="89"/>
      <c r="J790" s="89"/>
      <c r="K790" s="89"/>
      <c r="L790" s="93"/>
      <c r="M790" s="93"/>
      <c r="N790" s="93"/>
      <c r="O790" s="93"/>
      <c r="P790" s="93"/>
      <c r="Q790" s="93"/>
      <c r="R790" s="93"/>
      <c r="S790" s="93"/>
      <c r="T790" s="93"/>
      <c r="U790" s="93"/>
      <c r="V790" s="93"/>
      <c r="W790" s="93"/>
    </row>
    <row r="791" spans="2:23" s="14" customFormat="1" ht="17.100000000000001" customHeight="1">
      <c r="B791" s="89"/>
      <c r="C791" s="90"/>
      <c r="D791" s="91"/>
      <c r="E791" s="92"/>
      <c r="F791" s="89"/>
      <c r="G791" s="89"/>
      <c r="H791" s="89"/>
      <c r="I791" s="89"/>
      <c r="J791" s="89"/>
      <c r="K791" s="89"/>
      <c r="L791" s="93"/>
      <c r="M791" s="93"/>
      <c r="N791" s="93"/>
      <c r="O791" s="93"/>
      <c r="P791" s="93"/>
      <c r="Q791" s="93"/>
      <c r="R791" s="93"/>
      <c r="S791" s="93"/>
      <c r="T791" s="93"/>
      <c r="U791" s="93"/>
      <c r="V791" s="93"/>
      <c r="W791" s="93"/>
    </row>
    <row r="792" spans="2:23" s="14" customFormat="1" ht="17.100000000000001" customHeight="1">
      <c r="B792" s="89"/>
      <c r="C792" s="90"/>
      <c r="D792" s="91"/>
      <c r="E792" s="92"/>
      <c r="F792" s="89"/>
      <c r="G792" s="89"/>
      <c r="H792" s="89"/>
      <c r="I792" s="89"/>
      <c r="J792" s="89"/>
      <c r="K792" s="89"/>
      <c r="L792" s="93"/>
      <c r="M792" s="93"/>
      <c r="N792" s="93"/>
      <c r="O792" s="93"/>
      <c r="P792" s="93"/>
      <c r="Q792" s="93"/>
      <c r="R792" s="93"/>
      <c r="S792" s="93"/>
      <c r="T792" s="93"/>
      <c r="U792" s="93"/>
      <c r="V792" s="93"/>
      <c r="W792" s="93"/>
    </row>
    <row r="793" spans="2:23" s="14" customFormat="1" ht="17.100000000000001" customHeight="1">
      <c r="B793" s="89"/>
      <c r="C793" s="90"/>
      <c r="D793" s="91"/>
      <c r="E793" s="92"/>
      <c r="F793" s="89"/>
      <c r="G793" s="89"/>
      <c r="H793" s="89"/>
      <c r="I793" s="89"/>
      <c r="J793" s="89"/>
      <c r="K793" s="89"/>
      <c r="L793" s="93"/>
      <c r="M793" s="93"/>
      <c r="N793" s="93"/>
      <c r="O793" s="93"/>
      <c r="P793" s="93"/>
      <c r="Q793" s="93"/>
      <c r="R793" s="93"/>
      <c r="S793" s="93"/>
      <c r="T793" s="93"/>
      <c r="U793" s="93"/>
      <c r="V793" s="93"/>
      <c r="W793" s="93"/>
    </row>
    <row r="794" spans="2:23" s="14" customFormat="1" ht="17.100000000000001" customHeight="1">
      <c r="B794" s="89"/>
      <c r="C794" s="90"/>
      <c r="D794" s="91"/>
      <c r="E794" s="92"/>
      <c r="F794" s="89"/>
      <c r="G794" s="89"/>
      <c r="H794" s="89"/>
      <c r="I794" s="89"/>
      <c r="J794" s="89"/>
      <c r="K794" s="89"/>
      <c r="L794" s="93"/>
      <c r="M794" s="93"/>
      <c r="N794" s="93"/>
      <c r="O794" s="93"/>
      <c r="P794" s="93"/>
      <c r="Q794" s="93"/>
      <c r="R794" s="93"/>
      <c r="S794" s="93"/>
      <c r="T794" s="93"/>
      <c r="U794" s="93"/>
      <c r="V794" s="93"/>
      <c r="W794" s="93"/>
    </row>
    <row r="795" spans="2:23" s="14" customFormat="1" ht="17.100000000000001" customHeight="1">
      <c r="B795" s="89"/>
      <c r="C795" s="90"/>
      <c r="D795" s="91"/>
      <c r="E795" s="92"/>
      <c r="F795" s="89"/>
      <c r="G795" s="89"/>
      <c r="H795" s="89"/>
      <c r="I795" s="89"/>
      <c r="J795" s="89"/>
      <c r="K795" s="89"/>
      <c r="L795" s="93"/>
      <c r="M795" s="93"/>
      <c r="N795" s="93"/>
      <c r="O795" s="93"/>
      <c r="P795" s="93"/>
      <c r="Q795" s="93"/>
      <c r="R795" s="93"/>
      <c r="S795" s="93"/>
      <c r="T795" s="93"/>
      <c r="U795" s="93"/>
      <c r="V795" s="93"/>
      <c r="W795" s="93"/>
    </row>
    <row r="796" spans="2:23" s="14" customFormat="1" ht="17.100000000000001" customHeight="1">
      <c r="B796" s="89"/>
      <c r="C796" s="90"/>
      <c r="D796" s="91"/>
      <c r="E796" s="92"/>
      <c r="F796" s="89"/>
      <c r="G796" s="89"/>
      <c r="H796" s="89"/>
      <c r="I796" s="89"/>
      <c r="J796" s="89"/>
      <c r="K796" s="89"/>
      <c r="L796" s="93"/>
      <c r="M796" s="93"/>
      <c r="N796" s="93"/>
      <c r="O796" s="93"/>
      <c r="P796" s="93"/>
      <c r="Q796" s="93"/>
      <c r="R796" s="93"/>
      <c r="S796" s="93"/>
      <c r="T796" s="93"/>
      <c r="U796" s="93"/>
      <c r="V796" s="93"/>
      <c r="W796" s="93"/>
    </row>
    <row r="797" spans="2:23" s="14" customFormat="1" ht="17.100000000000001" customHeight="1">
      <c r="B797" s="89"/>
      <c r="C797" s="90"/>
      <c r="D797" s="91"/>
      <c r="E797" s="92"/>
      <c r="F797" s="89"/>
      <c r="G797" s="89"/>
      <c r="H797" s="89"/>
      <c r="I797" s="89"/>
      <c r="J797" s="89"/>
      <c r="K797" s="89"/>
      <c r="L797" s="93"/>
      <c r="M797" s="93"/>
      <c r="N797" s="93"/>
      <c r="O797" s="93"/>
      <c r="P797" s="93"/>
      <c r="Q797" s="93"/>
      <c r="R797" s="93"/>
      <c r="S797" s="93"/>
      <c r="T797" s="93"/>
      <c r="U797" s="93"/>
      <c r="V797" s="93"/>
      <c r="W797" s="93"/>
    </row>
    <row r="798" spans="2:23" s="14" customFormat="1" ht="17.100000000000001" customHeight="1">
      <c r="B798" s="89"/>
      <c r="C798" s="90"/>
      <c r="D798" s="91"/>
      <c r="E798" s="92"/>
      <c r="F798" s="89"/>
      <c r="G798" s="89"/>
      <c r="H798" s="89"/>
      <c r="I798" s="89"/>
      <c r="J798" s="89"/>
      <c r="K798" s="89"/>
      <c r="L798" s="93"/>
      <c r="M798" s="93"/>
      <c r="N798" s="93"/>
      <c r="O798" s="93"/>
      <c r="P798" s="93"/>
      <c r="Q798" s="93"/>
      <c r="R798" s="93"/>
      <c r="S798" s="93"/>
      <c r="T798" s="93"/>
      <c r="U798" s="93"/>
      <c r="V798" s="93"/>
      <c r="W798" s="93"/>
    </row>
    <row r="799" spans="2:23" s="14" customFormat="1" ht="17.100000000000001" customHeight="1">
      <c r="B799" s="89"/>
      <c r="C799" s="90"/>
      <c r="D799" s="91"/>
      <c r="E799" s="92"/>
      <c r="F799" s="89"/>
      <c r="G799" s="89"/>
      <c r="H799" s="89"/>
      <c r="I799" s="89"/>
      <c r="J799" s="89"/>
      <c r="K799" s="89"/>
      <c r="L799" s="93"/>
      <c r="M799" s="93"/>
      <c r="N799" s="93"/>
      <c r="O799" s="93"/>
      <c r="P799" s="93"/>
      <c r="Q799" s="93"/>
      <c r="R799" s="93"/>
      <c r="S799" s="93"/>
      <c r="T799" s="93"/>
      <c r="U799" s="93"/>
      <c r="V799" s="93"/>
      <c r="W799" s="93"/>
    </row>
    <row r="800" spans="2:23" s="14" customFormat="1" ht="17.100000000000001" customHeight="1">
      <c r="B800" s="89"/>
      <c r="C800" s="90"/>
      <c r="D800" s="91"/>
      <c r="E800" s="92"/>
      <c r="F800" s="89"/>
      <c r="G800" s="89"/>
      <c r="H800" s="89"/>
      <c r="I800" s="89"/>
      <c r="J800" s="89"/>
      <c r="K800" s="89"/>
      <c r="L800" s="93"/>
      <c r="M800" s="93"/>
      <c r="N800" s="93"/>
      <c r="O800" s="93"/>
      <c r="P800" s="93"/>
      <c r="Q800" s="93"/>
      <c r="R800" s="93"/>
      <c r="S800" s="93"/>
      <c r="T800" s="93"/>
      <c r="U800" s="93"/>
      <c r="V800" s="93"/>
      <c r="W800" s="93"/>
    </row>
    <row r="801" spans="2:23" s="14" customFormat="1" ht="17.100000000000001" customHeight="1">
      <c r="B801" s="89"/>
      <c r="C801" s="90"/>
      <c r="D801" s="91"/>
      <c r="E801" s="92"/>
      <c r="F801" s="89"/>
      <c r="G801" s="89"/>
      <c r="H801" s="89"/>
      <c r="I801" s="89"/>
      <c r="J801" s="89"/>
      <c r="K801" s="89"/>
      <c r="L801" s="93"/>
      <c r="M801" s="93"/>
      <c r="N801" s="93"/>
      <c r="O801" s="93"/>
      <c r="P801" s="93"/>
      <c r="Q801" s="93"/>
      <c r="R801" s="93"/>
      <c r="S801" s="93"/>
      <c r="T801" s="93"/>
      <c r="U801" s="93"/>
      <c r="V801" s="93"/>
      <c r="W801" s="93"/>
    </row>
    <row r="802" spans="2:23" s="14" customFormat="1" ht="17.100000000000001" customHeight="1">
      <c r="B802" s="89"/>
      <c r="C802" s="90"/>
      <c r="D802" s="91"/>
      <c r="E802" s="92"/>
      <c r="F802" s="89"/>
      <c r="G802" s="89"/>
      <c r="H802" s="89"/>
      <c r="I802" s="89"/>
      <c r="J802" s="89"/>
      <c r="K802" s="89"/>
      <c r="L802" s="93"/>
      <c r="M802" s="93"/>
      <c r="N802" s="93"/>
      <c r="O802" s="93"/>
      <c r="P802" s="93"/>
      <c r="Q802" s="93"/>
      <c r="R802" s="93"/>
      <c r="S802" s="93"/>
      <c r="T802" s="93"/>
      <c r="U802" s="93"/>
      <c r="V802" s="93"/>
      <c r="W802" s="93"/>
    </row>
    <row r="803" spans="2:23" s="14" customFormat="1" ht="17.100000000000001" customHeight="1">
      <c r="B803" s="89"/>
      <c r="C803" s="90"/>
      <c r="D803" s="91"/>
      <c r="E803" s="92"/>
      <c r="F803" s="89"/>
      <c r="G803" s="89"/>
      <c r="H803" s="89"/>
      <c r="I803" s="89"/>
      <c r="J803" s="89"/>
      <c r="K803" s="89"/>
      <c r="L803" s="93"/>
      <c r="M803" s="93"/>
      <c r="N803" s="93"/>
      <c r="O803" s="93"/>
      <c r="P803" s="93"/>
      <c r="Q803" s="93"/>
      <c r="R803" s="93"/>
      <c r="S803" s="93"/>
      <c r="T803" s="93"/>
      <c r="U803" s="93"/>
      <c r="V803" s="93"/>
      <c r="W803" s="93"/>
    </row>
    <row r="804" spans="2:23" s="14" customFormat="1" ht="17.100000000000001" customHeight="1">
      <c r="B804" s="89"/>
      <c r="C804" s="90"/>
      <c r="D804" s="91"/>
      <c r="E804" s="92"/>
      <c r="F804" s="89"/>
      <c r="G804" s="89"/>
      <c r="H804" s="89"/>
      <c r="I804" s="89"/>
      <c r="J804" s="89"/>
      <c r="K804" s="89"/>
      <c r="L804" s="93"/>
      <c r="M804" s="93"/>
      <c r="N804" s="93"/>
      <c r="O804" s="93"/>
      <c r="P804" s="93"/>
      <c r="Q804" s="93"/>
      <c r="R804" s="93"/>
      <c r="S804" s="93"/>
      <c r="T804" s="93"/>
      <c r="U804" s="93"/>
      <c r="V804" s="93"/>
      <c r="W804" s="93"/>
    </row>
    <row r="805" spans="2:23" s="14" customFormat="1" ht="17.100000000000001" customHeight="1">
      <c r="B805" s="89"/>
      <c r="C805" s="90"/>
      <c r="D805" s="91"/>
      <c r="E805" s="92"/>
      <c r="F805" s="89"/>
      <c r="G805" s="89"/>
      <c r="H805" s="89"/>
      <c r="I805" s="89"/>
      <c r="J805" s="89"/>
      <c r="K805" s="89"/>
      <c r="L805" s="93"/>
      <c r="M805" s="93"/>
      <c r="N805" s="93"/>
      <c r="O805" s="93"/>
      <c r="P805" s="93"/>
      <c r="Q805" s="93"/>
      <c r="R805" s="93"/>
      <c r="S805" s="93"/>
      <c r="T805" s="93"/>
      <c r="U805" s="93"/>
      <c r="V805" s="93"/>
      <c r="W805" s="93"/>
    </row>
    <row r="806" spans="2:23" s="14" customFormat="1" ht="17.100000000000001" customHeight="1">
      <c r="B806" s="89"/>
      <c r="C806" s="90"/>
      <c r="D806" s="91"/>
      <c r="E806" s="92"/>
      <c r="F806" s="89"/>
      <c r="G806" s="89"/>
      <c r="H806" s="89"/>
      <c r="I806" s="89"/>
      <c r="J806" s="89"/>
      <c r="K806" s="89"/>
      <c r="L806" s="93"/>
      <c r="M806" s="93"/>
      <c r="N806" s="93"/>
      <c r="O806" s="93"/>
      <c r="P806" s="93"/>
      <c r="Q806" s="93"/>
      <c r="R806" s="93"/>
      <c r="S806" s="93"/>
      <c r="T806" s="93"/>
      <c r="U806" s="93"/>
      <c r="V806" s="93"/>
      <c r="W806" s="93"/>
    </row>
    <row r="807" spans="2:23" s="14" customFormat="1" ht="17.100000000000001" customHeight="1">
      <c r="B807" s="89"/>
      <c r="C807" s="90"/>
      <c r="D807" s="91"/>
      <c r="E807" s="92"/>
      <c r="F807" s="89"/>
      <c r="G807" s="89"/>
      <c r="H807" s="89"/>
      <c r="I807" s="89"/>
      <c r="J807" s="89"/>
      <c r="K807" s="89"/>
      <c r="L807" s="93"/>
      <c r="M807" s="93"/>
      <c r="N807" s="93"/>
      <c r="O807" s="93"/>
      <c r="P807" s="93"/>
      <c r="Q807" s="93"/>
      <c r="R807" s="93"/>
      <c r="S807" s="93"/>
      <c r="T807" s="93"/>
      <c r="U807" s="93"/>
      <c r="V807" s="93"/>
      <c r="W807" s="93"/>
    </row>
    <row r="808" spans="2:23" s="14" customFormat="1" ht="17.100000000000001" customHeight="1">
      <c r="B808" s="89"/>
      <c r="C808" s="90"/>
      <c r="D808" s="91"/>
      <c r="E808" s="92"/>
      <c r="F808" s="89"/>
      <c r="G808" s="89"/>
      <c r="H808" s="89"/>
      <c r="I808" s="89"/>
      <c r="J808" s="89"/>
      <c r="K808" s="89"/>
      <c r="L808" s="93"/>
      <c r="M808" s="93"/>
      <c r="N808" s="93"/>
      <c r="O808" s="93"/>
      <c r="P808" s="93"/>
      <c r="Q808" s="93"/>
      <c r="R808" s="93"/>
      <c r="S808" s="93"/>
      <c r="T808" s="93"/>
      <c r="U808" s="93"/>
      <c r="V808" s="93"/>
      <c r="W808" s="93"/>
    </row>
    <row r="809" spans="2:23" s="14" customFormat="1" ht="17.100000000000001" customHeight="1">
      <c r="B809" s="89"/>
      <c r="C809" s="90"/>
      <c r="D809" s="91"/>
      <c r="E809" s="92"/>
      <c r="F809" s="89"/>
      <c r="G809" s="89"/>
      <c r="H809" s="89"/>
      <c r="I809" s="89"/>
      <c r="J809" s="89"/>
      <c r="K809" s="89"/>
      <c r="L809" s="93"/>
      <c r="M809" s="93"/>
      <c r="N809" s="93"/>
      <c r="O809" s="93"/>
      <c r="P809" s="93"/>
      <c r="Q809" s="93"/>
      <c r="R809" s="93"/>
      <c r="S809" s="93"/>
      <c r="T809" s="93"/>
      <c r="U809" s="93"/>
      <c r="V809" s="93"/>
      <c r="W809" s="93"/>
    </row>
    <row r="810" spans="2:23" s="14" customFormat="1" ht="17.100000000000001" customHeight="1">
      <c r="B810" s="89"/>
      <c r="C810" s="90"/>
      <c r="D810" s="91"/>
      <c r="E810" s="92"/>
      <c r="F810" s="89"/>
      <c r="G810" s="89"/>
      <c r="H810" s="89"/>
      <c r="I810" s="89"/>
      <c r="J810" s="89"/>
      <c r="K810" s="89"/>
      <c r="L810" s="93"/>
      <c r="M810" s="93"/>
      <c r="N810" s="93"/>
      <c r="O810" s="93"/>
      <c r="P810" s="93"/>
      <c r="Q810" s="93"/>
      <c r="R810" s="93"/>
      <c r="S810" s="93"/>
      <c r="T810" s="93"/>
      <c r="U810" s="93"/>
      <c r="V810" s="93"/>
      <c r="W810" s="93"/>
    </row>
    <row r="811" spans="2:23" s="14" customFormat="1" ht="17.100000000000001" customHeight="1">
      <c r="B811" s="89"/>
      <c r="C811" s="90"/>
      <c r="D811" s="91"/>
      <c r="E811" s="92"/>
      <c r="F811" s="89"/>
      <c r="G811" s="89"/>
      <c r="H811" s="89"/>
      <c r="I811" s="89"/>
      <c r="J811" s="89"/>
      <c r="K811" s="89"/>
      <c r="L811" s="93"/>
      <c r="M811" s="93"/>
      <c r="N811" s="93"/>
      <c r="O811" s="93"/>
      <c r="P811" s="93"/>
      <c r="Q811" s="93"/>
      <c r="R811" s="93"/>
      <c r="S811" s="93"/>
      <c r="T811" s="93"/>
      <c r="U811" s="93"/>
      <c r="V811" s="93"/>
      <c r="W811" s="93"/>
    </row>
    <row r="812" spans="2:23" s="14" customFormat="1" ht="17.100000000000001" customHeight="1">
      <c r="B812" s="89"/>
      <c r="C812" s="90"/>
      <c r="D812" s="91"/>
      <c r="E812" s="92"/>
      <c r="F812" s="89"/>
      <c r="G812" s="89"/>
      <c r="H812" s="89"/>
      <c r="I812" s="89"/>
      <c r="J812" s="89"/>
      <c r="K812" s="89"/>
      <c r="L812" s="93"/>
      <c r="M812" s="93"/>
      <c r="N812" s="93"/>
      <c r="O812" s="93"/>
      <c r="P812" s="93"/>
      <c r="Q812" s="93"/>
      <c r="R812" s="93"/>
      <c r="S812" s="93"/>
      <c r="T812" s="93"/>
      <c r="U812" s="93"/>
      <c r="V812" s="93"/>
      <c r="W812" s="93"/>
    </row>
    <row r="813" spans="2:23" s="14" customFormat="1" ht="17.100000000000001" customHeight="1">
      <c r="B813" s="89"/>
      <c r="C813" s="90"/>
      <c r="D813" s="91"/>
      <c r="E813" s="92"/>
      <c r="F813" s="89"/>
      <c r="G813" s="89"/>
      <c r="H813" s="89"/>
      <c r="I813" s="89"/>
      <c r="J813" s="89"/>
      <c r="K813" s="89"/>
      <c r="L813" s="93"/>
      <c r="M813" s="93"/>
      <c r="N813" s="93"/>
      <c r="O813" s="93"/>
      <c r="P813" s="93"/>
      <c r="Q813" s="93"/>
      <c r="R813" s="93"/>
      <c r="S813" s="93"/>
      <c r="T813" s="93"/>
      <c r="U813" s="93"/>
      <c r="V813" s="93"/>
      <c r="W813" s="93"/>
    </row>
    <row r="814" spans="2:23" s="14" customFormat="1" ht="17.100000000000001" customHeight="1">
      <c r="B814" s="89"/>
      <c r="C814" s="90"/>
      <c r="D814" s="91"/>
      <c r="E814" s="92"/>
      <c r="F814" s="89"/>
      <c r="G814" s="89"/>
      <c r="H814" s="89"/>
      <c r="I814" s="89"/>
      <c r="J814" s="89"/>
      <c r="K814" s="89"/>
      <c r="L814" s="93"/>
      <c r="M814" s="93"/>
      <c r="N814" s="93"/>
      <c r="O814" s="93"/>
      <c r="P814" s="93"/>
      <c r="Q814" s="93"/>
      <c r="R814" s="93"/>
      <c r="S814" s="93"/>
      <c r="T814" s="93"/>
      <c r="U814" s="93"/>
      <c r="V814" s="93"/>
      <c r="W814" s="93"/>
    </row>
    <row r="815" spans="2:23" s="14" customFormat="1" ht="17.100000000000001" customHeight="1">
      <c r="B815" s="89"/>
      <c r="C815" s="90"/>
      <c r="D815" s="91"/>
      <c r="E815" s="92"/>
      <c r="F815" s="89"/>
      <c r="G815" s="89"/>
      <c r="H815" s="89"/>
      <c r="I815" s="89"/>
      <c r="J815" s="89"/>
      <c r="K815" s="89"/>
      <c r="L815" s="93"/>
      <c r="M815" s="93"/>
      <c r="N815" s="93"/>
      <c r="O815" s="93"/>
      <c r="P815" s="93"/>
      <c r="Q815" s="93"/>
      <c r="R815" s="93"/>
      <c r="S815" s="93"/>
      <c r="T815" s="93"/>
      <c r="U815" s="93"/>
      <c r="V815" s="93"/>
      <c r="W815" s="93"/>
    </row>
    <row r="816" spans="2:23" s="14" customFormat="1" ht="17.100000000000001" customHeight="1">
      <c r="B816" s="89"/>
      <c r="C816" s="90"/>
      <c r="D816" s="91"/>
      <c r="E816" s="92"/>
      <c r="F816" s="89"/>
      <c r="G816" s="89"/>
      <c r="H816" s="89"/>
      <c r="I816" s="89"/>
      <c r="J816" s="89"/>
      <c r="K816" s="89"/>
      <c r="L816" s="93"/>
      <c r="M816" s="93"/>
      <c r="N816" s="93"/>
      <c r="O816" s="93"/>
      <c r="P816" s="93"/>
      <c r="Q816" s="93"/>
      <c r="R816" s="93"/>
      <c r="S816" s="93"/>
      <c r="T816" s="93"/>
      <c r="U816" s="93"/>
      <c r="V816" s="93"/>
      <c r="W816" s="93"/>
    </row>
    <row r="817" spans="2:23" s="14" customFormat="1" ht="17.100000000000001" customHeight="1">
      <c r="B817" s="89"/>
      <c r="C817" s="90"/>
      <c r="D817" s="91"/>
      <c r="E817" s="92"/>
      <c r="F817" s="89"/>
      <c r="G817" s="89"/>
      <c r="H817" s="89"/>
      <c r="I817" s="89"/>
      <c r="J817" s="89"/>
      <c r="K817" s="89"/>
      <c r="L817" s="93"/>
      <c r="M817" s="93"/>
      <c r="N817" s="93"/>
      <c r="O817" s="93"/>
      <c r="P817" s="93"/>
      <c r="Q817" s="93"/>
      <c r="R817" s="93"/>
      <c r="S817" s="93"/>
      <c r="T817" s="93"/>
      <c r="U817" s="93"/>
      <c r="V817" s="93"/>
      <c r="W817" s="93"/>
    </row>
    <row r="818" spans="2:23" s="14" customFormat="1" ht="17.100000000000001" customHeight="1">
      <c r="B818" s="89"/>
      <c r="C818" s="90"/>
      <c r="D818" s="91"/>
      <c r="E818" s="92"/>
      <c r="F818" s="89"/>
      <c r="G818" s="89"/>
      <c r="H818" s="89"/>
      <c r="I818" s="89"/>
      <c r="J818" s="89"/>
      <c r="K818" s="89"/>
      <c r="L818" s="93"/>
      <c r="M818" s="93"/>
      <c r="N818" s="93"/>
      <c r="O818" s="93"/>
      <c r="P818" s="93"/>
      <c r="Q818" s="93"/>
      <c r="R818" s="93"/>
      <c r="S818" s="93"/>
      <c r="T818" s="93"/>
      <c r="U818" s="93"/>
      <c r="V818" s="93"/>
      <c r="W818" s="93"/>
    </row>
    <row r="819" spans="2:23" s="14" customFormat="1" ht="17.100000000000001" customHeight="1">
      <c r="B819" s="89"/>
      <c r="C819" s="90"/>
      <c r="D819" s="91"/>
      <c r="E819" s="92"/>
      <c r="F819" s="89"/>
      <c r="G819" s="89"/>
      <c r="H819" s="89"/>
      <c r="I819" s="89"/>
      <c r="J819" s="89"/>
      <c r="K819" s="89"/>
      <c r="L819" s="93"/>
      <c r="M819" s="93"/>
      <c r="N819" s="93"/>
      <c r="O819" s="93"/>
      <c r="P819" s="93"/>
      <c r="Q819" s="93"/>
      <c r="R819" s="93"/>
      <c r="S819" s="93"/>
      <c r="T819" s="93"/>
      <c r="U819" s="93"/>
      <c r="V819" s="93"/>
      <c r="W819" s="93"/>
    </row>
    <row r="820" spans="2:23" s="14" customFormat="1" ht="17.100000000000001" customHeight="1">
      <c r="B820" s="89"/>
      <c r="C820" s="90"/>
      <c r="D820" s="91"/>
      <c r="E820" s="92"/>
      <c r="F820" s="89"/>
      <c r="G820" s="89"/>
      <c r="H820" s="89"/>
      <c r="I820" s="89"/>
      <c r="J820" s="89"/>
      <c r="K820" s="89"/>
      <c r="L820" s="93"/>
      <c r="M820" s="93"/>
      <c r="N820" s="93"/>
      <c r="O820" s="93"/>
      <c r="P820" s="93"/>
      <c r="Q820" s="93"/>
      <c r="R820" s="93"/>
      <c r="S820" s="93"/>
      <c r="T820" s="93"/>
      <c r="U820" s="93"/>
      <c r="V820" s="93"/>
      <c r="W820" s="93"/>
    </row>
    <row r="821" spans="2:23" s="14" customFormat="1" ht="17.100000000000001" customHeight="1">
      <c r="B821" s="89"/>
      <c r="C821" s="90"/>
      <c r="D821" s="91"/>
      <c r="E821" s="92"/>
      <c r="F821" s="89"/>
      <c r="G821" s="89"/>
      <c r="H821" s="89"/>
      <c r="I821" s="89"/>
      <c r="J821" s="89"/>
      <c r="K821" s="89"/>
      <c r="L821" s="93"/>
      <c r="M821" s="93"/>
      <c r="N821" s="93"/>
      <c r="O821" s="93"/>
      <c r="P821" s="93"/>
      <c r="Q821" s="93"/>
      <c r="R821" s="93"/>
      <c r="S821" s="93"/>
      <c r="T821" s="93"/>
      <c r="U821" s="93"/>
      <c r="V821" s="93"/>
      <c r="W821" s="93"/>
    </row>
    <row r="822" spans="2:23" s="14" customFormat="1" ht="17.100000000000001" customHeight="1">
      <c r="B822" s="89"/>
      <c r="C822" s="90"/>
      <c r="D822" s="91"/>
      <c r="E822" s="92"/>
      <c r="F822" s="89"/>
      <c r="G822" s="89"/>
      <c r="H822" s="89"/>
      <c r="I822" s="89"/>
      <c r="J822" s="89"/>
      <c r="K822" s="89"/>
      <c r="L822" s="93"/>
      <c r="M822" s="93"/>
      <c r="N822" s="93"/>
      <c r="O822" s="93"/>
      <c r="P822" s="93"/>
      <c r="Q822" s="93"/>
      <c r="R822" s="93"/>
      <c r="S822" s="93"/>
      <c r="T822" s="93"/>
      <c r="U822" s="93"/>
      <c r="V822" s="93"/>
      <c r="W822" s="93"/>
    </row>
    <row r="823" spans="2:23" s="14" customFormat="1" ht="17.100000000000001" customHeight="1">
      <c r="B823" s="89"/>
      <c r="C823" s="90"/>
      <c r="D823" s="91"/>
      <c r="E823" s="92"/>
      <c r="F823" s="89"/>
      <c r="G823" s="89"/>
      <c r="H823" s="89"/>
      <c r="I823" s="89"/>
      <c r="J823" s="89"/>
      <c r="K823" s="89"/>
      <c r="L823" s="93"/>
      <c r="M823" s="93"/>
      <c r="N823" s="93"/>
      <c r="O823" s="93"/>
      <c r="P823" s="93"/>
      <c r="Q823" s="93"/>
      <c r="R823" s="93"/>
      <c r="S823" s="93"/>
      <c r="T823" s="93"/>
      <c r="U823" s="93"/>
      <c r="V823" s="93"/>
      <c r="W823" s="93"/>
    </row>
    <row r="824" spans="2:23" s="14" customFormat="1" ht="17.100000000000001" customHeight="1">
      <c r="B824" s="89"/>
      <c r="C824" s="90"/>
      <c r="D824" s="91"/>
      <c r="E824" s="92"/>
      <c r="F824" s="89"/>
      <c r="G824" s="89"/>
      <c r="H824" s="89"/>
      <c r="I824" s="89"/>
      <c r="J824" s="89"/>
      <c r="K824" s="89"/>
      <c r="L824" s="93"/>
      <c r="M824" s="93"/>
      <c r="N824" s="93"/>
      <c r="O824" s="93"/>
      <c r="P824" s="93"/>
      <c r="Q824" s="93"/>
      <c r="R824" s="93"/>
      <c r="S824" s="93"/>
      <c r="T824" s="93"/>
      <c r="U824" s="93"/>
      <c r="V824" s="93"/>
      <c r="W824" s="93"/>
    </row>
    <row r="825" spans="2:23" s="14" customFormat="1" ht="17.100000000000001" customHeight="1">
      <c r="B825" s="89"/>
      <c r="C825" s="90"/>
      <c r="D825" s="91"/>
      <c r="E825" s="92"/>
      <c r="F825" s="89"/>
      <c r="G825" s="89"/>
      <c r="H825" s="89"/>
      <c r="I825" s="89"/>
      <c r="J825" s="89"/>
      <c r="K825" s="89"/>
      <c r="L825" s="93"/>
      <c r="M825" s="93"/>
      <c r="N825" s="93"/>
      <c r="O825" s="93"/>
      <c r="P825" s="93"/>
      <c r="Q825" s="93"/>
      <c r="R825" s="93"/>
      <c r="S825" s="93"/>
      <c r="T825" s="93"/>
      <c r="U825" s="93"/>
      <c r="V825" s="93"/>
      <c r="W825" s="93"/>
    </row>
    <row r="826" spans="2:23" s="14" customFormat="1" ht="17.100000000000001" customHeight="1">
      <c r="B826" s="89"/>
      <c r="C826" s="90"/>
      <c r="D826" s="91"/>
      <c r="E826" s="92"/>
      <c r="F826" s="89"/>
      <c r="G826" s="89"/>
      <c r="H826" s="89"/>
      <c r="I826" s="89"/>
      <c r="J826" s="89"/>
      <c r="K826" s="89"/>
      <c r="L826" s="93"/>
      <c r="M826" s="93"/>
      <c r="N826" s="93"/>
      <c r="O826" s="93"/>
      <c r="P826" s="93"/>
      <c r="Q826" s="93"/>
      <c r="R826" s="93"/>
      <c r="S826" s="93"/>
      <c r="T826" s="93"/>
      <c r="U826" s="93"/>
      <c r="V826" s="93"/>
      <c r="W826" s="93"/>
    </row>
    <row r="827" spans="2:23" s="14" customFormat="1" ht="17.100000000000001" customHeight="1">
      <c r="B827" s="89"/>
      <c r="C827" s="90"/>
      <c r="D827" s="91"/>
      <c r="E827" s="92"/>
      <c r="F827" s="89"/>
      <c r="G827" s="89"/>
      <c r="H827" s="89"/>
      <c r="I827" s="89"/>
      <c r="J827" s="89"/>
      <c r="K827" s="89"/>
      <c r="L827" s="93"/>
      <c r="M827" s="93"/>
      <c r="N827" s="93"/>
      <c r="O827" s="93"/>
      <c r="P827" s="93"/>
      <c r="Q827" s="93"/>
      <c r="R827" s="93"/>
      <c r="S827" s="93"/>
      <c r="T827" s="93"/>
      <c r="U827" s="93"/>
      <c r="V827" s="93"/>
      <c r="W827" s="93"/>
    </row>
    <row r="828" spans="2:23" s="14" customFormat="1" ht="17.100000000000001" customHeight="1">
      <c r="B828" s="89"/>
      <c r="C828" s="90"/>
      <c r="D828" s="91"/>
      <c r="E828" s="92"/>
      <c r="F828" s="89"/>
      <c r="G828" s="89"/>
      <c r="H828" s="89"/>
      <c r="I828" s="89"/>
      <c r="J828" s="89"/>
      <c r="K828" s="89"/>
      <c r="L828" s="93"/>
      <c r="M828" s="93"/>
      <c r="N828" s="93"/>
      <c r="O828" s="93"/>
      <c r="P828" s="93"/>
      <c r="Q828" s="93"/>
      <c r="R828" s="93"/>
      <c r="S828" s="93"/>
      <c r="T828" s="93"/>
      <c r="U828" s="93"/>
      <c r="V828" s="93"/>
      <c r="W828" s="93"/>
    </row>
    <row r="829" spans="2:23" s="14" customFormat="1" ht="17.100000000000001" customHeight="1">
      <c r="B829" s="89"/>
      <c r="C829" s="90"/>
      <c r="D829" s="91"/>
      <c r="E829" s="92"/>
      <c r="F829" s="89"/>
      <c r="G829" s="89"/>
      <c r="H829" s="89"/>
      <c r="I829" s="89"/>
      <c r="J829" s="89"/>
      <c r="K829" s="89"/>
      <c r="L829" s="93"/>
      <c r="M829" s="93"/>
      <c r="N829" s="93"/>
      <c r="O829" s="93"/>
      <c r="P829" s="93"/>
      <c r="Q829" s="93"/>
      <c r="R829" s="93"/>
      <c r="S829" s="93"/>
      <c r="T829" s="93"/>
      <c r="U829" s="93"/>
      <c r="V829" s="93"/>
      <c r="W829" s="93"/>
    </row>
    <row r="830" spans="2:23" s="14" customFormat="1" ht="17.100000000000001" customHeight="1">
      <c r="B830" s="89"/>
      <c r="C830" s="90"/>
      <c r="D830" s="91"/>
      <c r="E830" s="92"/>
      <c r="F830" s="89"/>
      <c r="G830" s="89"/>
      <c r="H830" s="89"/>
      <c r="I830" s="89"/>
      <c r="J830" s="89"/>
      <c r="K830" s="89"/>
      <c r="L830" s="93"/>
      <c r="M830" s="93"/>
      <c r="N830" s="93"/>
      <c r="O830" s="93"/>
      <c r="P830" s="93"/>
      <c r="Q830" s="93"/>
      <c r="R830" s="93"/>
      <c r="S830" s="93"/>
      <c r="T830" s="93"/>
      <c r="U830" s="93"/>
      <c r="V830" s="93"/>
      <c r="W830" s="93"/>
    </row>
    <row r="831" spans="2:23" s="14" customFormat="1" ht="17.100000000000001" customHeight="1">
      <c r="B831" s="89"/>
      <c r="C831" s="90"/>
      <c r="D831" s="91"/>
      <c r="E831" s="92"/>
      <c r="F831" s="89"/>
      <c r="G831" s="89"/>
      <c r="H831" s="89"/>
      <c r="I831" s="89"/>
      <c r="J831" s="89"/>
      <c r="K831" s="89"/>
      <c r="L831" s="93"/>
      <c r="M831" s="93"/>
      <c r="N831" s="93"/>
      <c r="O831" s="93"/>
      <c r="P831" s="93"/>
      <c r="Q831" s="93"/>
      <c r="R831" s="93"/>
      <c r="S831" s="93"/>
      <c r="T831" s="93"/>
      <c r="U831" s="93"/>
      <c r="V831" s="93"/>
      <c r="W831" s="93"/>
    </row>
    <row r="832" spans="2:23" s="14" customFormat="1" ht="17.100000000000001" customHeight="1">
      <c r="B832" s="89"/>
      <c r="C832" s="90"/>
      <c r="D832" s="91"/>
      <c r="E832" s="92"/>
      <c r="F832" s="89"/>
      <c r="G832" s="89"/>
      <c r="H832" s="89"/>
      <c r="I832" s="89"/>
      <c r="J832" s="89"/>
      <c r="K832" s="89"/>
      <c r="L832" s="93"/>
      <c r="M832" s="93"/>
      <c r="N832" s="93"/>
      <c r="O832" s="93"/>
      <c r="P832" s="93"/>
      <c r="Q832" s="93"/>
      <c r="R832" s="93"/>
      <c r="S832" s="93"/>
      <c r="T832" s="93"/>
      <c r="U832" s="93"/>
      <c r="V832" s="93"/>
      <c r="W832" s="93"/>
    </row>
    <row r="833" spans="2:23" s="14" customFormat="1" ht="17.100000000000001" customHeight="1">
      <c r="B833" s="89"/>
      <c r="C833" s="90"/>
      <c r="D833" s="91"/>
      <c r="E833" s="92"/>
      <c r="F833" s="89"/>
      <c r="G833" s="89"/>
      <c r="H833" s="89"/>
      <c r="I833" s="89"/>
      <c r="J833" s="89"/>
      <c r="K833" s="89"/>
      <c r="L833" s="93"/>
      <c r="M833" s="93"/>
      <c r="N833" s="93"/>
      <c r="O833" s="93"/>
      <c r="P833" s="93"/>
      <c r="Q833" s="93"/>
      <c r="R833" s="93"/>
      <c r="S833" s="93"/>
      <c r="T833" s="93"/>
      <c r="U833" s="93"/>
      <c r="V833" s="93"/>
      <c r="W833" s="93"/>
    </row>
    <row r="834" spans="2:23" s="14" customFormat="1" ht="17.100000000000001" customHeight="1">
      <c r="B834" s="89"/>
      <c r="C834" s="90"/>
      <c r="D834" s="91"/>
      <c r="E834" s="92"/>
      <c r="F834" s="89"/>
      <c r="G834" s="89"/>
      <c r="H834" s="89"/>
      <c r="I834" s="89"/>
      <c r="J834" s="89"/>
      <c r="K834" s="89"/>
      <c r="L834" s="93"/>
      <c r="M834" s="93"/>
      <c r="N834" s="93"/>
      <c r="O834" s="93"/>
      <c r="P834" s="93"/>
      <c r="Q834" s="93"/>
      <c r="R834" s="93"/>
      <c r="S834" s="93"/>
      <c r="T834" s="93"/>
      <c r="U834" s="93"/>
      <c r="V834" s="93"/>
      <c r="W834" s="93"/>
    </row>
    <row r="835" spans="2:23" s="14" customFormat="1" ht="17.100000000000001" customHeight="1">
      <c r="B835" s="89"/>
      <c r="C835" s="90"/>
      <c r="D835" s="91"/>
      <c r="E835" s="92"/>
      <c r="F835" s="89"/>
      <c r="G835" s="89"/>
      <c r="H835" s="89"/>
      <c r="I835" s="89"/>
      <c r="J835" s="89"/>
      <c r="K835" s="89"/>
      <c r="L835" s="93"/>
      <c r="M835" s="93"/>
      <c r="N835" s="93"/>
      <c r="O835" s="93"/>
      <c r="P835" s="93"/>
      <c r="Q835" s="93"/>
      <c r="R835" s="93"/>
      <c r="S835" s="93"/>
      <c r="T835" s="93"/>
      <c r="U835" s="93"/>
      <c r="V835" s="93"/>
      <c r="W835" s="93"/>
    </row>
    <row r="836" spans="2:23" s="14" customFormat="1" ht="17.100000000000001" customHeight="1">
      <c r="B836" s="89"/>
      <c r="C836" s="90"/>
      <c r="D836" s="91"/>
      <c r="E836" s="92"/>
      <c r="F836" s="89"/>
      <c r="G836" s="89"/>
      <c r="H836" s="89"/>
      <c r="I836" s="89"/>
      <c r="J836" s="89"/>
      <c r="K836" s="89"/>
      <c r="L836" s="93"/>
      <c r="M836" s="93"/>
      <c r="N836" s="93"/>
      <c r="O836" s="93"/>
      <c r="P836" s="93"/>
      <c r="Q836" s="93"/>
      <c r="R836" s="93"/>
      <c r="S836" s="93"/>
      <c r="T836" s="93"/>
      <c r="U836" s="93"/>
      <c r="V836" s="93"/>
      <c r="W836" s="93"/>
    </row>
    <row r="837" spans="2:23" s="14" customFormat="1" ht="17.100000000000001" customHeight="1">
      <c r="B837" s="89"/>
      <c r="C837" s="90"/>
      <c r="D837" s="91"/>
      <c r="E837" s="92"/>
      <c r="F837" s="89"/>
      <c r="G837" s="89"/>
      <c r="H837" s="89"/>
      <c r="I837" s="89"/>
      <c r="J837" s="89"/>
      <c r="K837" s="89"/>
      <c r="L837" s="93"/>
      <c r="M837" s="93"/>
      <c r="N837" s="93"/>
      <c r="O837" s="93"/>
      <c r="P837" s="93"/>
      <c r="Q837" s="93"/>
      <c r="R837" s="93"/>
      <c r="S837" s="93"/>
      <c r="T837" s="93"/>
      <c r="U837" s="93"/>
      <c r="V837" s="93"/>
      <c r="W837" s="93"/>
    </row>
    <row r="838" spans="2:23" s="14" customFormat="1" ht="17.100000000000001" customHeight="1">
      <c r="B838" s="89"/>
      <c r="C838" s="90"/>
      <c r="D838" s="91"/>
      <c r="E838" s="92"/>
      <c r="F838" s="89"/>
      <c r="G838" s="89"/>
      <c r="H838" s="89"/>
      <c r="I838" s="89"/>
      <c r="J838" s="89"/>
      <c r="K838" s="89"/>
      <c r="L838" s="93"/>
      <c r="M838" s="93"/>
      <c r="N838" s="93"/>
      <c r="O838" s="93"/>
      <c r="P838" s="93"/>
      <c r="Q838" s="93"/>
      <c r="R838" s="93"/>
      <c r="S838" s="93"/>
      <c r="T838" s="93"/>
      <c r="U838" s="93"/>
      <c r="V838" s="93"/>
      <c r="W838" s="93"/>
    </row>
    <row r="839" spans="2:23" s="14" customFormat="1" ht="17.100000000000001" customHeight="1">
      <c r="B839" s="89"/>
      <c r="C839" s="90"/>
      <c r="D839" s="91"/>
      <c r="E839" s="92"/>
      <c r="F839" s="89"/>
      <c r="G839" s="89"/>
      <c r="H839" s="89"/>
      <c r="I839" s="89"/>
      <c r="J839" s="89"/>
      <c r="K839" s="89"/>
      <c r="L839" s="93"/>
      <c r="M839" s="93"/>
      <c r="N839" s="93"/>
      <c r="O839" s="93"/>
      <c r="P839" s="93"/>
      <c r="Q839" s="93"/>
      <c r="R839" s="93"/>
      <c r="S839" s="93"/>
      <c r="T839" s="93"/>
      <c r="U839" s="93"/>
      <c r="V839" s="93"/>
      <c r="W839" s="93"/>
    </row>
    <row r="840" spans="2:23" s="14" customFormat="1" ht="17.100000000000001" customHeight="1">
      <c r="B840" s="89"/>
      <c r="C840" s="90"/>
      <c r="D840" s="91"/>
      <c r="E840" s="92"/>
      <c r="F840" s="89"/>
      <c r="G840" s="89"/>
      <c r="H840" s="89"/>
      <c r="I840" s="89"/>
      <c r="J840" s="89"/>
      <c r="K840" s="89"/>
      <c r="L840" s="93"/>
      <c r="M840" s="93"/>
      <c r="N840" s="93"/>
      <c r="O840" s="93"/>
      <c r="P840" s="93"/>
      <c r="Q840" s="93"/>
      <c r="R840" s="93"/>
      <c r="S840" s="93"/>
      <c r="T840" s="93"/>
      <c r="U840" s="93"/>
      <c r="V840" s="93"/>
      <c r="W840" s="93"/>
    </row>
    <row r="841" spans="2:23" s="14" customFormat="1" ht="17.100000000000001" customHeight="1">
      <c r="B841" s="89"/>
      <c r="C841" s="90"/>
      <c r="D841" s="91"/>
      <c r="E841" s="92"/>
      <c r="F841" s="89"/>
      <c r="G841" s="89"/>
      <c r="H841" s="89"/>
      <c r="I841" s="89"/>
      <c r="J841" s="89"/>
      <c r="K841" s="89"/>
      <c r="L841" s="93"/>
      <c r="M841" s="93"/>
      <c r="N841" s="93"/>
      <c r="O841" s="93"/>
      <c r="P841" s="93"/>
      <c r="Q841" s="93"/>
      <c r="R841" s="93"/>
      <c r="S841" s="93"/>
      <c r="T841" s="93"/>
      <c r="U841" s="93"/>
      <c r="V841" s="93"/>
      <c r="W841" s="93"/>
    </row>
    <row r="842" spans="2:23" s="14" customFormat="1" ht="17.100000000000001" customHeight="1">
      <c r="B842" s="89"/>
      <c r="C842" s="90"/>
      <c r="D842" s="91"/>
      <c r="E842" s="92"/>
      <c r="F842" s="89"/>
      <c r="G842" s="89"/>
      <c r="H842" s="89"/>
      <c r="I842" s="89"/>
      <c r="J842" s="89"/>
      <c r="K842" s="89"/>
      <c r="L842" s="93"/>
      <c r="M842" s="93"/>
      <c r="N842" s="93"/>
      <c r="O842" s="93"/>
      <c r="P842" s="93"/>
      <c r="Q842" s="93"/>
      <c r="R842" s="93"/>
      <c r="S842" s="93"/>
      <c r="T842" s="93"/>
      <c r="U842" s="93"/>
      <c r="V842" s="93"/>
      <c r="W842" s="93"/>
    </row>
    <row r="843" spans="2:23" s="14" customFormat="1" ht="17.100000000000001" customHeight="1">
      <c r="B843" s="89"/>
      <c r="C843" s="90"/>
      <c r="D843" s="91"/>
      <c r="E843" s="92"/>
      <c r="F843" s="89"/>
      <c r="G843" s="89"/>
      <c r="H843" s="89"/>
      <c r="I843" s="89"/>
      <c r="J843" s="89"/>
      <c r="K843" s="89"/>
      <c r="L843" s="93"/>
      <c r="M843" s="93"/>
      <c r="N843" s="93"/>
      <c r="O843" s="93"/>
      <c r="P843" s="93"/>
      <c r="Q843" s="93"/>
      <c r="R843" s="93"/>
      <c r="S843" s="93"/>
      <c r="T843" s="93"/>
      <c r="U843" s="93"/>
      <c r="V843" s="93"/>
      <c r="W843" s="93"/>
    </row>
    <row r="844" spans="2:23" s="14" customFormat="1" ht="17.100000000000001" customHeight="1">
      <c r="B844" s="89"/>
      <c r="C844" s="90"/>
      <c r="D844" s="91"/>
      <c r="E844" s="92"/>
      <c r="F844" s="89"/>
      <c r="G844" s="89"/>
      <c r="H844" s="89"/>
      <c r="I844" s="89"/>
      <c r="J844" s="89"/>
      <c r="K844" s="89"/>
      <c r="L844" s="93"/>
      <c r="M844" s="93"/>
      <c r="N844" s="93"/>
      <c r="O844" s="93"/>
      <c r="P844" s="93"/>
      <c r="Q844" s="93"/>
      <c r="R844" s="93"/>
      <c r="S844" s="93"/>
      <c r="T844" s="93"/>
      <c r="U844" s="93"/>
      <c r="V844" s="93"/>
      <c r="W844" s="93"/>
    </row>
    <row r="845" spans="2:23" s="14" customFormat="1" ht="17.100000000000001" customHeight="1">
      <c r="B845" s="89"/>
      <c r="C845" s="90"/>
      <c r="D845" s="91"/>
      <c r="E845" s="92"/>
      <c r="F845" s="89"/>
      <c r="G845" s="89"/>
      <c r="H845" s="89"/>
      <c r="I845" s="89"/>
      <c r="J845" s="89"/>
      <c r="K845" s="89"/>
      <c r="L845" s="93"/>
      <c r="M845" s="93"/>
      <c r="N845" s="93"/>
      <c r="O845" s="93"/>
      <c r="P845" s="93"/>
      <c r="Q845" s="93"/>
      <c r="R845" s="93"/>
      <c r="S845" s="93"/>
      <c r="T845" s="93"/>
      <c r="U845" s="93"/>
      <c r="V845" s="93"/>
      <c r="W845" s="93"/>
    </row>
    <row r="846" spans="2:23" s="14" customFormat="1" ht="17.100000000000001" customHeight="1">
      <c r="B846" s="89"/>
      <c r="C846" s="90"/>
      <c r="D846" s="91"/>
      <c r="E846" s="92"/>
      <c r="F846" s="89"/>
      <c r="G846" s="89"/>
      <c r="H846" s="89"/>
      <c r="I846" s="89"/>
      <c r="J846" s="89"/>
      <c r="K846" s="89"/>
      <c r="L846" s="93"/>
      <c r="M846" s="93"/>
      <c r="N846" s="93"/>
      <c r="O846" s="93"/>
      <c r="P846" s="93"/>
      <c r="Q846" s="93"/>
      <c r="R846" s="93"/>
      <c r="S846" s="93"/>
      <c r="T846" s="93"/>
      <c r="U846" s="93"/>
      <c r="V846" s="93"/>
      <c r="W846" s="93"/>
    </row>
    <row r="847" spans="2:23" s="14" customFormat="1" ht="17.100000000000001" customHeight="1">
      <c r="B847" s="89"/>
      <c r="C847" s="90"/>
      <c r="D847" s="91"/>
      <c r="E847" s="92"/>
      <c r="F847" s="89"/>
      <c r="G847" s="89"/>
      <c r="H847" s="89"/>
      <c r="I847" s="89"/>
      <c r="J847" s="89"/>
      <c r="K847" s="89"/>
      <c r="L847" s="93"/>
      <c r="M847" s="93"/>
      <c r="N847" s="93"/>
      <c r="O847" s="93"/>
      <c r="P847" s="93"/>
      <c r="Q847" s="93"/>
      <c r="R847" s="93"/>
      <c r="S847" s="93"/>
      <c r="T847" s="93"/>
      <c r="U847" s="93"/>
      <c r="V847" s="93"/>
      <c r="W847" s="93"/>
    </row>
    <row r="848" spans="2:23" s="14" customFormat="1" ht="17.100000000000001" customHeight="1">
      <c r="B848" s="89"/>
      <c r="C848" s="90"/>
      <c r="D848" s="91"/>
      <c r="E848" s="92"/>
      <c r="F848" s="89"/>
      <c r="G848" s="89"/>
      <c r="H848" s="89"/>
      <c r="I848" s="89"/>
      <c r="J848" s="89"/>
      <c r="K848" s="89"/>
      <c r="L848" s="93"/>
      <c r="M848" s="93"/>
      <c r="N848" s="93"/>
      <c r="O848" s="93"/>
      <c r="P848" s="93"/>
      <c r="Q848" s="93"/>
      <c r="R848" s="93"/>
      <c r="S848" s="93"/>
      <c r="T848" s="93"/>
      <c r="U848" s="93"/>
      <c r="V848" s="93"/>
      <c r="W848" s="93"/>
    </row>
    <row r="849" spans="2:23" s="14" customFormat="1" ht="17.100000000000001" customHeight="1">
      <c r="B849" s="89"/>
      <c r="C849" s="90"/>
      <c r="D849" s="91"/>
      <c r="E849" s="92"/>
      <c r="F849" s="89"/>
      <c r="G849" s="89"/>
      <c r="H849" s="89"/>
      <c r="I849" s="89"/>
      <c r="J849" s="89"/>
      <c r="K849" s="89"/>
      <c r="L849" s="93"/>
      <c r="M849" s="93"/>
      <c r="N849" s="93"/>
      <c r="O849" s="93"/>
      <c r="P849" s="93"/>
      <c r="Q849" s="93"/>
      <c r="R849" s="93"/>
      <c r="S849" s="93"/>
      <c r="T849" s="93"/>
      <c r="U849" s="93"/>
      <c r="V849" s="93"/>
      <c r="W849" s="93"/>
    </row>
    <row r="850" spans="2:23" s="14" customFormat="1" ht="17.100000000000001" customHeight="1">
      <c r="B850" s="89"/>
      <c r="C850" s="90"/>
      <c r="D850" s="91"/>
      <c r="E850" s="92"/>
      <c r="F850" s="89"/>
      <c r="G850" s="89"/>
      <c r="H850" s="89"/>
      <c r="I850" s="89"/>
      <c r="J850" s="89"/>
      <c r="K850" s="89"/>
      <c r="L850" s="93"/>
      <c r="M850" s="93"/>
      <c r="N850" s="93"/>
      <c r="O850" s="93"/>
      <c r="P850" s="93"/>
      <c r="Q850" s="93"/>
      <c r="R850" s="93"/>
      <c r="S850" s="93"/>
      <c r="T850" s="93"/>
      <c r="U850" s="93"/>
      <c r="V850" s="93"/>
      <c r="W850" s="93"/>
    </row>
    <row r="851" spans="2:23" s="14" customFormat="1" ht="17.100000000000001" customHeight="1">
      <c r="B851" s="89"/>
      <c r="C851" s="90"/>
      <c r="D851" s="91"/>
      <c r="E851" s="92"/>
      <c r="F851" s="89"/>
      <c r="G851" s="89"/>
      <c r="H851" s="89"/>
      <c r="I851" s="89"/>
      <c r="J851" s="89"/>
      <c r="K851" s="89"/>
      <c r="L851" s="93"/>
      <c r="M851" s="93"/>
      <c r="N851" s="93"/>
      <c r="O851" s="93"/>
      <c r="P851" s="93"/>
      <c r="Q851" s="93"/>
      <c r="R851" s="93"/>
      <c r="S851" s="93"/>
      <c r="T851" s="93"/>
      <c r="U851" s="93"/>
      <c r="V851" s="93"/>
      <c r="W851" s="93"/>
    </row>
    <row r="852" spans="2:23" s="14" customFormat="1" ht="17.100000000000001" customHeight="1">
      <c r="B852" s="89"/>
      <c r="C852" s="90"/>
      <c r="D852" s="91"/>
      <c r="E852" s="92"/>
      <c r="F852" s="89"/>
      <c r="G852" s="89"/>
      <c r="H852" s="89"/>
      <c r="I852" s="89"/>
      <c r="J852" s="89"/>
      <c r="K852" s="89"/>
      <c r="L852" s="93"/>
      <c r="M852" s="93"/>
      <c r="N852" s="93"/>
      <c r="O852" s="93"/>
      <c r="P852" s="93"/>
      <c r="Q852" s="93"/>
      <c r="R852" s="93"/>
      <c r="S852" s="93"/>
      <c r="T852" s="93"/>
      <c r="U852" s="93"/>
      <c r="V852" s="93"/>
      <c r="W852" s="93"/>
    </row>
    <row r="853" spans="2:23" s="14" customFormat="1" ht="17.100000000000001" customHeight="1">
      <c r="B853" s="89"/>
      <c r="C853" s="90"/>
      <c r="D853" s="91"/>
      <c r="E853" s="92"/>
      <c r="F853" s="89"/>
      <c r="G853" s="89"/>
      <c r="H853" s="89"/>
      <c r="I853" s="89"/>
      <c r="J853" s="89"/>
      <c r="K853" s="89"/>
      <c r="L853" s="93"/>
      <c r="M853" s="93"/>
      <c r="N853" s="93"/>
      <c r="O853" s="93"/>
      <c r="P853" s="93"/>
      <c r="Q853" s="93"/>
      <c r="R853" s="93"/>
      <c r="S853" s="93"/>
      <c r="T853" s="93"/>
      <c r="U853" s="93"/>
      <c r="V853" s="93"/>
      <c r="W853" s="93"/>
    </row>
    <row r="854" spans="2:23" s="14" customFormat="1" ht="17.100000000000001" customHeight="1">
      <c r="B854" s="89"/>
      <c r="C854" s="90"/>
      <c r="D854" s="91"/>
      <c r="E854" s="92"/>
      <c r="F854" s="89"/>
      <c r="G854" s="89"/>
      <c r="H854" s="89"/>
      <c r="I854" s="89"/>
      <c r="J854" s="89"/>
      <c r="K854" s="89"/>
      <c r="L854" s="93"/>
      <c r="M854" s="93"/>
      <c r="N854" s="93"/>
      <c r="O854" s="93"/>
      <c r="P854" s="93"/>
      <c r="Q854" s="93"/>
      <c r="R854" s="93"/>
      <c r="S854" s="93"/>
      <c r="T854" s="93"/>
      <c r="U854" s="93"/>
      <c r="V854" s="93"/>
      <c r="W854" s="93"/>
    </row>
    <row r="855" spans="2:23" s="14" customFormat="1" ht="17.100000000000001" customHeight="1">
      <c r="B855" s="89"/>
      <c r="C855" s="90"/>
      <c r="D855" s="91"/>
      <c r="E855" s="92"/>
      <c r="F855" s="89"/>
      <c r="G855" s="89"/>
      <c r="H855" s="89"/>
      <c r="I855" s="89"/>
      <c r="J855" s="89"/>
      <c r="K855" s="89"/>
      <c r="L855" s="93"/>
      <c r="M855" s="93"/>
      <c r="N855" s="93"/>
      <c r="O855" s="93"/>
      <c r="P855" s="93"/>
      <c r="Q855" s="93"/>
      <c r="R855" s="93"/>
      <c r="S855" s="93"/>
      <c r="T855" s="93"/>
      <c r="U855" s="93"/>
      <c r="V855" s="93"/>
      <c r="W855" s="93"/>
    </row>
    <row r="856" spans="2:23" s="14" customFormat="1" ht="17.100000000000001" customHeight="1">
      <c r="B856" s="89"/>
      <c r="C856" s="90"/>
      <c r="D856" s="91"/>
      <c r="E856" s="92"/>
      <c r="F856" s="89"/>
      <c r="G856" s="89"/>
      <c r="H856" s="89"/>
      <c r="I856" s="89"/>
      <c r="J856" s="89"/>
      <c r="K856" s="89"/>
      <c r="L856" s="93"/>
      <c r="M856" s="93"/>
      <c r="N856" s="93"/>
      <c r="O856" s="93"/>
      <c r="P856" s="93"/>
      <c r="Q856" s="93"/>
      <c r="R856" s="93"/>
      <c r="S856" s="93"/>
      <c r="T856" s="93"/>
      <c r="U856" s="93"/>
      <c r="V856" s="93"/>
      <c r="W856" s="93"/>
    </row>
    <row r="857" spans="2:23" s="14" customFormat="1" ht="17.100000000000001" customHeight="1">
      <c r="B857" s="89"/>
      <c r="C857" s="90"/>
      <c r="D857" s="91"/>
      <c r="E857" s="92"/>
      <c r="F857" s="89"/>
      <c r="G857" s="89"/>
      <c r="H857" s="89"/>
      <c r="I857" s="89"/>
      <c r="J857" s="89"/>
      <c r="K857" s="89"/>
      <c r="L857" s="93"/>
      <c r="M857" s="93"/>
      <c r="N857" s="93"/>
      <c r="O857" s="93"/>
      <c r="P857" s="93"/>
      <c r="Q857" s="93"/>
      <c r="R857" s="93"/>
      <c r="S857" s="93"/>
      <c r="T857" s="93"/>
      <c r="U857" s="93"/>
      <c r="V857" s="93"/>
      <c r="W857" s="93"/>
    </row>
    <row r="858" spans="2:23" s="14" customFormat="1" ht="17.100000000000001" customHeight="1">
      <c r="B858" s="89"/>
      <c r="C858" s="90"/>
      <c r="D858" s="91"/>
      <c r="E858" s="92"/>
      <c r="F858" s="89"/>
      <c r="G858" s="89"/>
      <c r="H858" s="89"/>
      <c r="I858" s="89"/>
      <c r="J858" s="89"/>
      <c r="K858" s="89"/>
      <c r="L858" s="93"/>
      <c r="M858" s="93"/>
      <c r="N858" s="93"/>
      <c r="O858" s="93"/>
      <c r="P858" s="93"/>
      <c r="Q858" s="93"/>
      <c r="R858" s="93"/>
      <c r="S858" s="93"/>
      <c r="T858" s="93"/>
      <c r="U858" s="93"/>
      <c r="V858" s="93"/>
      <c r="W858" s="93"/>
    </row>
    <row r="859" spans="2:23" s="14" customFormat="1" ht="17.100000000000001" customHeight="1">
      <c r="B859" s="89"/>
      <c r="C859" s="90"/>
      <c r="D859" s="91"/>
      <c r="E859" s="92"/>
      <c r="F859" s="89"/>
      <c r="G859" s="89"/>
      <c r="H859" s="89"/>
      <c r="I859" s="89"/>
      <c r="J859" s="89"/>
      <c r="K859" s="89"/>
      <c r="L859" s="93"/>
      <c r="M859" s="93"/>
      <c r="N859" s="93"/>
      <c r="O859" s="93"/>
      <c r="P859" s="93"/>
      <c r="Q859" s="93"/>
      <c r="R859" s="93"/>
      <c r="S859" s="93"/>
      <c r="T859" s="93"/>
      <c r="U859" s="93"/>
      <c r="V859" s="93"/>
      <c r="W859" s="93"/>
    </row>
    <row r="860" spans="2:23" s="14" customFormat="1" ht="17.100000000000001" customHeight="1">
      <c r="B860" s="89"/>
      <c r="C860" s="90"/>
      <c r="D860" s="91"/>
      <c r="E860" s="92"/>
      <c r="F860" s="89"/>
      <c r="G860" s="89"/>
      <c r="H860" s="89"/>
      <c r="I860" s="89"/>
      <c r="J860" s="89"/>
      <c r="K860" s="89"/>
      <c r="L860" s="93"/>
      <c r="M860" s="93"/>
      <c r="N860" s="93"/>
      <c r="O860" s="93"/>
      <c r="P860" s="93"/>
      <c r="Q860" s="93"/>
      <c r="R860" s="93"/>
      <c r="S860" s="93"/>
      <c r="T860" s="93"/>
      <c r="U860" s="93"/>
      <c r="V860" s="93"/>
      <c r="W860" s="93"/>
    </row>
    <row r="861" spans="2:23" s="14" customFormat="1" ht="17.100000000000001" customHeight="1">
      <c r="B861" s="89"/>
      <c r="C861" s="90"/>
      <c r="D861" s="91"/>
      <c r="E861" s="92"/>
      <c r="F861" s="89"/>
      <c r="G861" s="89"/>
      <c r="H861" s="89"/>
      <c r="I861" s="89"/>
      <c r="J861" s="89"/>
      <c r="K861" s="89"/>
      <c r="L861" s="93"/>
      <c r="M861" s="93"/>
      <c r="N861" s="93"/>
      <c r="O861" s="93"/>
      <c r="P861" s="93"/>
      <c r="Q861" s="93"/>
      <c r="R861" s="93"/>
      <c r="S861" s="93"/>
      <c r="T861" s="93"/>
      <c r="U861" s="93"/>
      <c r="V861" s="93"/>
      <c r="W861" s="93"/>
    </row>
    <row r="862" spans="2:23" s="14" customFormat="1" ht="17.100000000000001" customHeight="1">
      <c r="B862" s="89"/>
      <c r="C862" s="90"/>
      <c r="D862" s="91"/>
      <c r="E862" s="92"/>
      <c r="F862" s="89"/>
      <c r="G862" s="89"/>
      <c r="H862" s="89"/>
      <c r="I862" s="89"/>
      <c r="J862" s="89"/>
      <c r="K862" s="89"/>
      <c r="L862" s="93"/>
      <c r="M862" s="93"/>
      <c r="N862" s="93"/>
      <c r="O862" s="93"/>
      <c r="P862" s="93"/>
      <c r="Q862" s="93"/>
      <c r="R862" s="93"/>
      <c r="S862" s="93"/>
      <c r="T862" s="93"/>
      <c r="U862" s="93"/>
      <c r="V862" s="93"/>
      <c r="W862" s="93"/>
    </row>
    <row r="863" spans="2:23" s="14" customFormat="1" ht="17.100000000000001" customHeight="1">
      <c r="B863" s="89"/>
      <c r="C863" s="90"/>
      <c r="D863" s="91"/>
      <c r="E863" s="92"/>
      <c r="F863" s="89"/>
      <c r="G863" s="89"/>
      <c r="H863" s="89"/>
      <c r="I863" s="89"/>
      <c r="J863" s="89"/>
      <c r="K863" s="89"/>
      <c r="L863" s="93"/>
      <c r="M863" s="93"/>
      <c r="N863" s="93"/>
      <c r="O863" s="93"/>
      <c r="P863" s="93"/>
      <c r="Q863" s="93"/>
      <c r="R863" s="93"/>
      <c r="S863" s="93"/>
      <c r="T863" s="93"/>
      <c r="U863" s="93"/>
      <c r="V863" s="93"/>
      <c r="W863" s="93"/>
    </row>
    <row r="864" spans="2:23" s="14" customFormat="1" ht="17.100000000000001" customHeight="1">
      <c r="B864" s="89"/>
      <c r="C864" s="90"/>
      <c r="D864" s="91"/>
      <c r="E864" s="92"/>
      <c r="F864" s="89"/>
      <c r="G864" s="89"/>
      <c r="H864" s="89"/>
      <c r="I864" s="89"/>
      <c r="J864" s="89"/>
      <c r="K864" s="89"/>
      <c r="L864" s="93"/>
      <c r="M864" s="93"/>
      <c r="N864" s="93"/>
      <c r="O864" s="93"/>
      <c r="P864" s="93"/>
      <c r="Q864" s="93"/>
      <c r="R864" s="93"/>
      <c r="S864" s="93"/>
      <c r="T864" s="93"/>
      <c r="U864" s="93"/>
      <c r="V864" s="93"/>
      <c r="W864" s="93"/>
    </row>
    <row r="865" spans="2:23" s="14" customFormat="1" ht="17.100000000000001" customHeight="1">
      <c r="B865" s="89"/>
      <c r="C865" s="90"/>
      <c r="D865" s="91"/>
      <c r="E865" s="92"/>
      <c r="F865" s="89"/>
      <c r="G865" s="89"/>
      <c r="H865" s="89"/>
      <c r="I865" s="89"/>
      <c r="J865" s="89"/>
      <c r="K865" s="89"/>
      <c r="L865" s="93"/>
      <c r="M865" s="93"/>
      <c r="N865" s="93"/>
      <c r="O865" s="93"/>
      <c r="P865" s="93"/>
      <c r="Q865" s="93"/>
      <c r="R865" s="93"/>
      <c r="S865" s="93"/>
      <c r="T865" s="93"/>
      <c r="U865" s="93"/>
      <c r="V865" s="93"/>
      <c r="W865" s="93"/>
    </row>
    <row r="866" spans="2:23" s="14" customFormat="1" ht="17.100000000000001" customHeight="1">
      <c r="B866" s="89"/>
      <c r="C866" s="90"/>
      <c r="D866" s="91"/>
      <c r="E866" s="92"/>
      <c r="F866" s="89"/>
      <c r="G866" s="89"/>
      <c r="H866" s="89"/>
      <c r="I866" s="89"/>
      <c r="J866" s="89"/>
      <c r="K866" s="89"/>
      <c r="L866" s="93"/>
      <c r="M866" s="93"/>
      <c r="N866" s="93"/>
      <c r="O866" s="93"/>
      <c r="P866" s="93"/>
      <c r="Q866" s="93"/>
      <c r="R866" s="93"/>
      <c r="S866" s="93"/>
      <c r="T866" s="93"/>
      <c r="U866" s="93"/>
      <c r="V866" s="93"/>
      <c r="W866" s="93"/>
    </row>
    <row r="867" spans="2:23" s="14" customFormat="1" ht="17.100000000000001" customHeight="1">
      <c r="B867" s="89"/>
      <c r="C867" s="90"/>
      <c r="D867" s="91"/>
      <c r="E867" s="92"/>
      <c r="F867" s="89"/>
      <c r="G867" s="89"/>
      <c r="H867" s="89"/>
      <c r="I867" s="89"/>
      <c r="J867" s="89"/>
      <c r="K867" s="89"/>
      <c r="L867" s="93"/>
      <c r="M867" s="93"/>
      <c r="N867" s="93"/>
      <c r="O867" s="93"/>
      <c r="P867" s="93"/>
      <c r="Q867" s="93"/>
      <c r="R867" s="93"/>
      <c r="S867" s="93"/>
      <c r="T867" s="93"/>
      <c r="U867" s="93"/>
      <c r="V867" s="93"/>
      <c r="W867" s="93"/>
    </row>
    <row r="868" spans="2:23" s="14" customFormat="1" ht="17.100000000000001" customHeight="1">
      <c r="B868" s="89"/>
      <c r="C868" s="90"/>
      <c r="D868" s="91"/>
      <c r="E868" s="92"/>
      <c r="F868" s="89"/>
      <c r="G868" s="89"/>
      <c r="H868" s="89"/>
      <c r="I868" s="89"/>
      <c r="J868" s="89"/>
      <c r="K868" s="89"/>
      <c r="L868" s="93"/>
      <c r="M868" s="93"/>
      <c r="N868" s="93"/>
      <c r="O868" s="93"/>
      <c r="P868" s="93"/>
      <c r="Q868" s="93"/>
      <c r="R868" s="93"/>
      <c r="S868" s="93"/>
      <c r="T868" s="93"/>
      <c r="U868" s="93"/>
      <c r="V868" s="93"/>
      <c r="W868" s="93"/>
    </row>
    <row r="869" spans="2:23" s="14" customFormat="1" ht="17.100000000000001" customHeight="1">
      <c r="B869" s="89"/>
      <c r="C869" s="90"/>
      <c r="D869" s="91"/>
      <c r="E869" s="92"/>
      <c r="F869" s="89"/>
      <c r="G869" s="89"/>
      <c r="H869" s="89"/>
      <c r="I869" s="89"/>
      <c r="J869" s="89"/>
      <c r="K869" s="89"/>
      <c r="L869" s="93"/>
      <c r="M869" s="93"/>
      <c r="N869" s="93"/>
      <c r="O869" s="93"/>
      <c r="P869" s="93"/>
      <c r="Q869" s="93"/>
      <c r="R869" s="93"/>
      <c r="S869" s="93"/>
      <c r="T869" s="93"/>
      <c r="U869" s="93"/>
      <c r="V869" s="93"/>
      <c r="W869" s="93"/>
    </row>
    <row r="870" spans="2:23" s="14" customFormat="1" ht="17.100000000000001" customHeight="1">
      <c r="B870" s="89"/>
      <c r="C870" s="90"/>
      <c r="D870" s="91"/>
      <c r="E870" s="92"/>
      <c r="F870" s="89"/>
      <c r="G870" s="89"/>
      <c r="H870" s="89"/>
      <c r="I870" s="89"/>
      <c r="J870" s="89"/>
      <c r="K870" s="89"/>
      <c r="L870" s="93"/>
      <c r="M870" s="93"/>
      <c r="N870" s="93"/>
      <c r="O870" s="93"/>
      <c r="P870" s="93"/>
      <c r="Q870" s="93"/>
      <c r="R870" s="93"/>
      <c r="S870" s="93"/>
      <c r="T870" s="93"/>
      <c r="U870" s="93"/>
      <c r="V870" s="93"/>
      <c r="W870" s="93"/>
    </row>
    <row r="871" spans="2:23" s="14" customFormat="1" ht="17.100000000000001" customHeight="1">
      <c r="B871" s="89"/>
      <c r="C871" s="90"/>
      <c r="D871" s="91"/>
      <c r="E871" s="92"/>
      <c r="F871" s="89"/>
      <c r="G871" s="89"/>
      <c r="H871" s="89"/>
      <c r="I871" s="89"/>
      <c r="J871" s="89"/>
      <c r="K871" s="89"/>
      <c r="L871" s="93"/>
      <c r="M871" s="93"/>
      <c r="N871" s="93"/>
      <c r="O871" s="93"/>
      <c r="P871" s="93"/>
      <c r="Q871" s="93"/>
      <c r="R871" s="93"/>
      <c r="S871" s="93"/>
      <c r="T871" s="93"/>
      <c r="U871" s="93"/>
      <c r="V871" s="93"/>
      <c r="W871" s="93"/>
    </row>
    <row r="872" spans="2:23" s="14" customFormat="1" ht="17.100000000000001" customHeight="1">
      <c r="B872" s="89"/>
      <c r="C872" s="90"/>
      <c r="D872" s="91"/>
      <c r="E872" s="92"/>
      <c r="F872" s="89"/>
      <c r="G872" s="89"/>
      <c r="H872" s="89"/>
      <c r="I872" s="89"/>
      <c r="J872" s="89"/>
      <c r="K872" s="89"/>
      <c r="L872" s="93"/>
      <c r="M872" s="93"/>
      <c r="N872" s="93"/>
      <c r="O872" s="93"/>
      <c r="P872" s="93"/>
      <c r="Q872" s="93"/>
      <c r="R872" s="93"/>
      <c r="S872" s="93"/>
      <c r="T872" s="93"/>
      <c r="U872" s="93"/>
      <c r="V872" s="93"/>
      <c r="W872" s="93"/>
    </row>
    <row r="873" spans="2:23" s="14" customFormat="1" ht="17.100000000000001" customHeight="1">
      <c r="B873" s="89"/>
      <c r="C873" s="90"/>
      <c r="D873" s="91"/>
      <c r="E873" s="92"/>
      <c r="F873" s="89"/>
      <c r="G873" s="89"/>
      <c r="H873" s="89"/>
      <c r="I873" s="89"/>
      <c r="J873" s="89"/>
      <c r="K873" s="89"/>
      <c r="L873" s="93"/>
      <c r="M873" s="93"/>
      <c r="N873" s="93"/>
      <c r="O873" s="93"/>
      <c r="P873" s="93"/>
      <c r="Q873" s="93"/>
      <c r="R873" s="93"/>
      <c r="S873" s="93"/>
      <c r="T873" s="93"/>
      <c r="U873" s="93"/>
      <c r="V873" s="93"/>
      <c r="W873" s="93"/>
    </row>
    <row r="874" spans="2:23" s="14" customFormat="1" ht="17.100000000000001" customHeight="1">
      <c r="B874" s="89"/>
      <c r="C874" s="90"/>
      <c r="D874" s="91"/>
      <c r="E874" s="92"/>
      <c r="F874" s="89"/>
      <c r="G874" s="89"/>
      <c r="H874" s="89"/>
      <c r="I874" s="89"/>
      <c r="J874" s="89"/>
      <c r="K874" s="89"/>
      <c r="L874" s="93"/>
      <c r="M874" s="93"/>
      <c r="N874" s="93"/>
      <c r="O874" s="93"/>
      <c r="P874" s="93"/>
      <c r="Q874" s="93"/>
      <c r="R874" s="93"/>
      <c r="S874" s="93"/>
      <c r="T874" s="93"/>
      <c r="U874" s="93"/>
      <c r="V874" s="93"/>
      <c r="W874" s="93"/>
    </row>
    <row r="875" spans="2:23" s="14" customFormat="1" ht="17.100000000000001" customHeight="1">
      <c r="B875" s="89"/>
      <c r="C875" s="90"/>
      <c r="D875" s="91"/>
      <c r="E875" s="92"/>
      <c r="F875" s="89"/>
      <c r="G875" s="89"/>
      <c r="H875" s="89"/>
      <c r="I875" s="89"/>
      <c r="J875" s="89"/>
      <c r="K875" s="89"/>
      <c r="L875" s="93"/>
      <c r="M875" s="93"/>
      <c r="N875" s="93"/>
      <c r="O875" s="93"/>
      <c r="P875" s="93"/>
      <c r="Q875" s="93"/>
      <c r="R875" s="93"/>
      <c r="S875" s="93"/>
      <c r="T875" s="93"/>
      <c r="U875" s="93"/>
      <c r="V875" s="93"/>
      <c r="W875" s="93"/>
    </row>
    <row r="876" spans="2:23" s="14" customFormat="1" ht="17.100000000000001" customHeight="1">
      <c r="B876" s="89"/>
      <c r="C876" s="90"/>
      <c r="D876" s="91"/>
      <c r="E876" s="92"/>
      <c r="F876" s="89"/>
      <c r="G876" s="89"/>
      <c r="H876" s="89"/>
      <c r="I876" s="89"/>
      <c r="J876" s="89"/>
      <c r="K876" s="89"/>
      <c r="L876" s="93"/>
      <c r="M876" s="93"/>
      <c r="N876" s="93"/>
      <c r="O876" s="93"/>
      <c r="P876" s="93"/>
      <c r="Q876" s="93"/>
      <c r="R876" s="93"/>
      <c r="S876" s="93"/>
      <c r="T876" s="93"/>
      <c r="U876" s="93"/>
      <c r="V876" s="93"/>
      <c r="W876" s="93"/>
    </row>
    <row r="877" spans="2:23" s="14" customFormat="1" ht="17.100000000000001" customHeight="1">
      <c r="B877" s="89"/>
      <c r="C877" s="90"/>
      <c r="D877" s="91"/>
      <c r="E877" s="92"/>
      <c r="F877" s="89"/>
      <c r="G877" s="89"/>
      <c r="H877" s="89"/>
      <c r="I877" s="89"/>
      <c r="J877" s="89"/>
      <c r="K877" s="89"/>
      <c r="L877" s="93"/>
      <c r="M877" s="93"/>
      <c r="N877" s="93"/>
      <c r="O877" s="93"/>
      <c r="P877" s="93"/>
      <c r="Q877" s="93"/>
      <c r="R877" s="93"/>
      <c r="S877" s="93"/>
      <c r="T877" s="93"/>
      <c r="U877" s="93"/>
      <c r="V877" s="93"/>
      <c r="W877" s="93"/>
    </row>
    <row r="878" spans="2:23" s="14" customFormat="1" ht="17.100000000000001" customHeight="1">
      <c r="B878" s="89"/>
      <c r="C878" s="90"/>
      <c r="D878" s="91"/>
      <c r="E878" s="92"/>
      <c r="F878" s="89"/>
      <c r="G878" s="89"/>
      <c r="H878" s="89"/>
      <c r="I878" s="89"/>
      <c r="J878" s="89"/>
      <c r="K878" s="89"/>
      <c r="L878" s="93"/>
      <c r="M878" s="93"/>
      <c r="N878" s="93"/>
      <c r="O878" s="93"/>
      <c r="P878" s="93"/>
      <c r="Q878" s="93"/>
      <c r="R878" s="93"/>
      <c r="S878" s="93"/>
      <c r="T878" s="93"/>
      <c r="U878" s="93"/>
      <c r="V878" s="93"/>
      <c r="W878" s="93"/>
    </row>
    <row r="879" spans="2:23" s="14" customFormat="1" ht="17.100000000000001" customHeight="1">
      <c r="B879" s="89"/>
      <c r="C879" s="90"/>
      <c r="D879" s="91"/>
      <c r="E879" s="92"/>
      <c r="F879" s="89"/>
      <c r="G879" s="89"/>
      <c r="H879" s="89"/>
      <c r="I879" s="89"/>
      <c r="J879" s="89"/>
      <c r="K879" s="89"/>
      <c r="L879" s="93"/>
      <c r="M879" s="93"/>
      <c r="N879" s="93"/>
      <c r="O879" s="93"/>
      <c r="P879" s="93"/>
      <c r="Q879" s="93"/>
      <c r="R879" s="93"/>
      <c r="S879" s="93"/>
      <c r="T879" s="93"/>
      <c r="U879" s="93"/>
      <c r="V879" s="93"/>
      <c r="W879" s="93"/>
    </row>
    <row r="880" spans="2:23" s="14" customFormat="1" ht="17.100000000000001" customHeight="1">
      <c r="B880" s="89"/>
      <c r="C880" s="90"/>
      <c r="D880" s="91"/>
      <c r="E880" s="92"/>
      <c r="F880" s="89"/>
      <c r="G880" s="89"/>
      <c r="H880" s="89"/>
      <c r="I880" s="89"/>
      <c r="J880" s="89"/>
      <c r="K880" s="89"/>
      <c r="L880" s="93"/>
      <c r="M880" s="93"/>
      <c r="N880" s="93"/>
      <c r="O880" s="93"/>
      <c r="P880" s="93"/>
      <c r="Q880" s="93"/>
      <c r="R880" s="93"/>
      <c r="S880" s="93"/>
      <c r="T880" s="93"/>
      <c r="U880" s="93"/>
      <c r="V880" s="93"/>
      <c r="W880" s="93"/>
    </row>
    <row r="881" spans="2:23" s="14" customFormat="1" ht="17.100000000000001" customHeight="1">
      <c r="B881" s="89"/>
      <c r="C881" s="90"/>
      <c r="D881" s="91"/>
      <c r="E881" s="92"/>
      <c r="F881" s="89"/>
      <c r="G881" s="89"/>
      <c r="H881" s="89"/>
      <c r="I881" s="89"/>
      <c r="J881" s="89"/>
      <c r="K881" s="89"/>
      <c r="L881" s="93"/>
      <c r="M881" s="93"/>
      <c r="N881" s="93"/>
      <c r="O881" s="93"/>
      <c r="P881" s="93"/>
      <c r="Q881" s="93"/>
      <c r="R881" s="93"/>
      <c r="S881" s="93"/>
      <c r="T881" s="93"/>
      <c r="U881" s="93"/>
      <c r="V881" s="93"/>
      <c r="W881" s="93"/>
    </row>
    <row r="882" spans="2:23" s="14" customFormat="1" ht="17.100000000000001" customHeight="1">
      <c r="B882" s="89"/>
      <c r="C882" s="90"/>
      <c r="D882" s="91"/>
      <c r="E882" s="92"/>
      <c r="F882" s="89"/>
      <c r="G882" s="89"/>
      <c r="H882" s="89"/>
      <c r="I882" s="89"/>
      <c r="J882" s="89"/>
      <c r="K882" s="89"/>
      <c r="L882" s="93"/>
      <c r="M882" s="93"/>
      <c r="N882" s="93"/>
      <c r="O882" s="93"/>
      <c r="P882" s="93"/>
      <c r="Q882" s="93"/>
      <c r="R882" s="93"/>
      <c r="S882" s="93"/>
      <c r="T882" s="93"/>
      <c r="U882" s="93"/>
      <c r="V882" s="93"/>
      <c r="W882" s="93"/>
    </row>
    <row r="883" spans="2:23" s="14" customFormat="1" ht="17.100000000000001" customHeight="1">
      <c r="B883" s="89"/>
      <c r="C883" s="90"/>
      <c r="D883" s="91"/>
      <c r="E883" s="92"/>
      <c r="F883" s="89"/>
      <c r="G883" s="89"/>
      <c r="H883" s="89"/>
      <c r="I883" s="89"/>
      <c r="J883" s="89"/>
      <c r="K883" s="89"/>
      <c r="L883" s="93"/>
      <c r="M883" s="93"/>
      <c r="N883" s="93"/>
      <c r="O883" s="93"/>
      <c r="P883" s="93"/>
      <c r="Q883" s="93"/>
      <c r="R883" s="93"/>
      <c r="S883" s="93"/>
      <c r="T883" s="93"/>
      <c r="U883" s="93"/>
      <c r="V883" s="93"/>
      <c r="W883" s="93"/>
    </row>
    <row r="884" spans="2:23" s="14" customFormat="1" ht="17.100000000000001" customHeight="1">
      <c r="B884" s="89"/>
      <c r="C884" s="90"/>
      <c r="D884" s="91"/>
      <c r="E884" s="92"/>
      <c r="F884" s="89"/>
      <c r="G884" s="89"/>
      <c r="H884" s="89"/>
      <c r="I884" s="89"/>
      <c r="J884" s="89"/>
      <c r="K884" s="89"/>
      <c r="L884" s="93"/>
      <c r="M884" s="93"/>
      <c r="N884" s="93"/>
      <c r="O884" s="93"/>
      <c r="P884" s="93"/>
      <c r="Q884" s="93"/>
      <c r="R884" s="93"/>
      <c r="S884" s="93"/>
      <c r="T884" s="93"/>
      <c r="U884" s="93"/>
      <c r="V884" s="93"/>
      <c r="W884" s="93"/>
    </row>
    <row r="885" spans="2:23" s="14" customFormat="1" ht="17.100000000000001" customHeight="1">
      <c r="B885" s="89"/>
      <c r="C885" s="90"/>
      <c r="D885" s="91"/>
      <c r="E885" s="92"/>
      <c r="F885" s="89"/>
      <c r="G885" s="89"/>
      <c r="H885" s="89"/>
      <c r="I885" s="89"/>
      <c r="J885" s="89"/>
      <c r="K885" s="89"/>
      <c r="L885" s="93"/>
      <c r="M885" s="93"/>
      <c r="N885" s="93"/>
      <c r="O885" s="93"/>
      <c r="P885" s="93"/>
      <c r="Q885" s="93"/>
      <c r="R885" s="93"/>
      <c r="S885" s="93"/>
      <c r="T885" s="93"/>
      <c r="U885" s="93"/>
      <c r="V885" s="93"/>
      <c r="W885" s="93"/>
    </row>
    <row r="886" spans="2:23" s="14" customFormat="1" ht="17.100000000000001" customHeight="1">
      <c r="B886" s="89"/>
      <c r="C886" s="90"/>
      <c r="D886" s="91"/>
      <c r="E886" s="92"/>
      <c r="F886" s="89"/>
      <c r="G886" s="89"/>
      <c r="H886" s="89"/>
      <c r="I886" s="89"/>
      <c r="J886" s="89"/>
      <c r="K886" s="89"/>
      <c r="L886" s="93"/>
      <c r="M886" s="93"/>
      <c r="N886" s="93"/>
      <c r="O886" s="93"/>
      <c r="P886" s="93"/>
      <c r="Q886" s="93"/>
      <c r="R886" s="93"/>
      <c r="S886" s="93"/>
      <c r="T886" s="93"/>
      <c r="U886" s="93"/>
      <c r="V886" s="93"/>
      <c r="W886" s="93"/>
    </row>
    <row r="887" spans="2:23" s="14" customFormat="1" ht="17.100000000000001" customHeight="1">
      <c r="B887" s="89"/>
      <c r="C887" s="90"/>
      <c r="D887" s="91"/>
      <c r="E887" s="92"/>
      <c r="F887" s="89"/>
      <c r="G887" s="89"/>
      <c r="H887" s="89"/>
      <c r="I887" s="89"/>
      <c r="J887" s="89"/>
      <c r="K887" s="89"/>
      <c r="L887" s="93"/>
      <c r="M887" s="93"/>
      <c r="N887" s="93"/>
      <c r="O887" s="93"/>
      <c r="P887" s="93"/>
      <c r="Q887" s="93"/>
      <c r="R887" s="93"/>
      <c r="S887" s="93"/>
      <c r="T887" s="93"/>
      <c r="U887" s="93"/>
      <c r="V887" s="93"/>
      <c r="W887" s="93"/>
    </row>
    <row r="888" spans="2:23" s="14" customFormat="1" ht="17.100000000000001" customHeight="1">
      <c r="B888" s="89"/>
      <c r="C888" s="90"/>
      <c r="D888" s="91"/>
      <c r="E888" s="92"/>
      <c r="F888" s="89"/>
      <c r="G888" s="89"/>
      <c r="H888" s="89"/>
      <c r="I888" s="89"/>
      <c r="J888" s="89"/>
      <c r="K888" s="89"/>
      <c r="L888" s="93"/>
      <c r="M888" s="93"/>
      <c r="N888" s="93"/>
      <c r="O888" s="93"/>
      <c r="P888" s="93"/>
      <c r="Q888" s="93"/>
      <c r="R888" s="93"/>
      <c r="S888" s="93"/>
      <c r="T888" s="93"/>
      <c r="U888" s="93"/>
      <c r="V888" s="93"/>
      <c r="W888" s="93"/>
    </row>
    <row r="889" spans="2:23" s="14" customFormat="1" ht="17.100000000000001" customHeight="1">
      <c r="B889" s="89"/>
      <c r="C889" s="90"/>
      <c r="D889" s="91"/>
      <c r="E889" s="92"/>
      <c r="F889" s="89"/>
      <c r="G889" s="89"/>
      <c r="H889" s="89"/>
      <c r="I889" s="89"/>
      <c r="J889" s="89"/>
      <c r="K889" s="89"/>
      <c r="L889" s="93"/>
      <c r="M889" s="93"/>
      <c r="N889" s="93"/>
      <c r="O889" s="93"/>
      <c r="P889" s="93"/>
      <c r="Q889" s="93"/>
      <c r="R889" s="93"/>
      <c r="S889" s="93"/>
      <c r="T889" s="93"/>
      <c r="U889" s="93"/>
      <c r="V889" s="93"/>
      <c r="W889" s="93"/>
    </row>
    <row r="890" spans="2:23" s="14" customFormat="1" ht="17.100000000000001" customHeight="1">
      <c r="B890" s="89"/>
      <c r="C890" s="90"/>
      <c r="D890" s="91"/>
      <c r="E890" s="92"/>
      <c r="F890" s="89"/>
      <c r="G890" s="89"/>
      <c r="H890" s="89"/>
      <c r="I890" s="89"/>
      <c r="J890" s="89"/>
      <c r="K890" s="89"/>
      <c r="L890" s="93"/>
      <c r="M890" s="93"/>
      <c r="N890" s="93"/>
      <c r="O890" s="93"/>
      <c r="P890" s="93"/>
      <c r="Q890" s="93"/>
      <c r="R890" s="93"/>
      <c r="S890" s="93"/>
      <c r="T890" s="93"/>
      <c r="U890" s="93"/>
      <c r="V890" s="93"/>
      <c r="W890" s="93"/>
    </row>
    <row r="891" spans="2:23" s="14" customFormat="1" ht="17.100000000000001" customHeight="1">
      <c r="B891" s="89"/>
      <c r="C891" s="90"/>
      <c r="D891" s="91"/>
      <c r="E891" s="92"/>
      <c r="F891" s="89"/>
      <c r="G891" s="89"/>
      <c r="H891" s="89"/>
      <c r="I891" s="89"/>
      <c r="J891" s="89"/>
      <c r="K891" s="89"/>
      <c r="L891" s="93"/>
      <c r="M891" s="93"/>
      <c r="N891" s="93"/>
      <c r="O891" s="93"/>
      <c r="P891" s="93"/>
      <c r="Q891" s="93"/>
      <c r="R891" s="93"/>
      <c r="S891" s="93"/>
      <c r="T891" s="93"/>
      <c r="U891" s="93"/>
      <c r="V891" s="93"/>
      <c r="W891" s="93"/>
    </row>
    <row r="892" spans="2:23" s="14" customFormat="1" ht="17.100000000000001" customHeight="1">
      <c r="B892" s="89"/>
      <c r="C892" s="90"/>
      <c r="D892" s="91"/>
      <c r="E892" s="92"/>
      <c r="F892" s="89"/>
      <c r="G892" s="89"/>
      <c r="H892" s="89"/>
      <c r="I892" s="89"/>
      <c r="J892" s="89"/>
      <c r="K892" s="89"/>
      <c r="L892" s="93"/>
      <c r="M892" s="93"/>
      <c r="N892" s="93"/>
      <c r="O892" s="93"/>
      <c r="P892" s="93"/>
      <c r="Q892" s="93"/>
      <c r="R892" s="93"/>
      <c r="S892" s="93"/>
      <c r="T892" s="93"/>
      <c r="U892" s="93"/>
      <c r="V892" s="93"/>
      <c r="W892" s="93"/>
    </row>
    <row r="893" spans="2:23" s="14" customFormat="1" ht="17.100000000000001" customHeight="1">
      <c r="B893" s="89"/>
      <c r="C893" s="90"/>
      <c r="D893" s="91"/>
      <c r="E893" s="92"/>
      <c r="F893" s="89"/>
      <c r="G893" s="89"/>
      <c r="H893" s="89"/>
      <c r="I893" s="89"/>
      <c r="J893" s="89"/>
      <c r="K893" s="89"/>
      <c r="L893" s="93"/>
      <c r="M893" s="93"/>
      <c r="N893" s="93"/>
      <c r="O893" s="93"/>
      <c r="P893" s="93"/>
      <c r="Q893" s="93"/>
      <c r="R893" s="93"/>
      <c r="S893" s="93"/>
      <c r="T893" s="93"/>
      <c r="U893" s="93"/>
      <c r="V893" s="93"/>
      <c r="W893" s="93"/>
    </row>
    <row r="894" spans="2:23" s="14" customFormat="1" ht="17.100000000000001" customHeight="1">
      <c r="B894" s="89"/>
      <c r="C894" s="90"/>
      <c r="D894" s="91"/>
      <c r="E894" s="92"/>
      <c r="F894" s="89"/>
      <c r="G894" s="89"/>
      <c r="H894" s="89"/>
      <c r="I894" s="89"/>
      <c r="J894" s="89"/>
      <c r="K894" s="89"/>
      <c r="L894" s="93"/>
      <c r="M894" s="93"/>
      <c r="N894" s="93"/>
      <c r="O894" s="93"/>
      <c r="P894" s="93"/>
      <c r="Q894" s="93"/>
      <c r="R894" s="93"/>
      <c r="S894" s="93"/>
      <c r="T894" s="93"/>
      <c r="U894" s="93"/>
      <c r="V894" s="93"/>
      <c r="W894" s="93"/>
    </row>
    <row r="895" spans="2:23" s="14" customFormat="1" ht="17.100000000000001" customHeight="1">
      <c r="B895" s="89"/>
      <c r="C895" s="90"/>
      <c r="D895" s="91"/>
      <c r="E895" s="92"/>
      <c r="F895" s="89"/>
      <c r="G895" s="89"/>
      <c r="H895" s="89"/>
      <c r="I895" s="89"/>
      <c r="J895" s="89"/>
      <c r="K895" s="89"/>
      <c r="L895" s="93"/>
      <c r="M895" s="93"/>
      <c r="N895" s="93"/>
      <c r="O895" s="93"/>
      <c r="P895" s="93"/>
      <c r="Q895" s="93"/>
      <c r="R895" s="93"/>
      <c r="S895" s="93"/>
      <c r="T895" s="93"/>
      <c r="U895" s="93"/>
      <c r="V895" s="93"/>
      <c r="W895" s="93"/>
    </row>
    <row r="896" spans="2:23" s="14" customFormat="1" ht="17.100000000000001" customHeight="1">
      <c r="B896" s="89"/>
      <c r="C896" s="90"/>
      <c r="D896" s="91"/>
      <c r="E896" s="92"/>
      <c r="F896" s="89"/>
      <c r="G896" s="89"/>
      <c r="H896" s="89"/>
      <c r="I896" s="89"/>
      <c r="J896" s="89"/>
      <c r="K896" s="89"/>
      <c r="L896" s="93"/>
      <c r="M896" s="93"/>
      <c r="N896" s="93"/>
      <c r="O896" s="93"/>
      <c r="P896" s="93"/>
      <c r="Q896" s="93"/>
      <c r="R896" s="93"/>
      <c r="S896" s="93"/>
      <c r="T896" s="93"/>
      <c r="U896" s="93"/>
      <c r="V896" s="93"/>
      <c r="W896" s="93"/>
    </row>
    <row r="897" spans="2:23" s="14" customFormat="1" ht="17.100000000000001" customHeight="1">
      <c r="B897" s="89"/>
      <c r="C897" s="90"/>
      <c r="D897" s="91"/>
      <c r="E897" s="92"/>
      <c r="F897" s="89"/>
      <c r="G897" s="89"/>
      <c r="H897" s="89"/>
      <c r="I897" s="89"/>
      <c r="J897" s="89"/>
      <c r="K897" s="89"/>
      <c r="L897" s="93"/>
      <c r="M897" s="93"/>
      <c r="N897" s="93"/>
      <c r="O897" s="93"/>
      <c r="P897" s="93"/>
      <c r="Q897" s="93"/>
      <c r="R897" s="93"/>
      <c r="S897" s="93"/>
      <c r="T897" s="93"/>
      <c r="U897" s="93"/>
      <c r="V897" s="93"/>
      <c r="W897" s="93"/>
    </row>
    <row r="898" spans="2:23" s="14" customFormat="1" ht="17.100000000000001" customHeight="1">
      <c r="B898" s="89"/>
      <c r="C898" s="90"/>
      <c r="D898" s="91"/>
      <c r="E898" s="92"/>
      <c r="F898" s="89"/>
      <c r="G898" s="89"/>
      <c r="H898" s="89"/>
      <c r="I898" s="89"/>
      <c r="J898" s="89"/>
      <c r="K898" s="89"/>
      <c r="L898" s="93"/>
      <c r="M898" s="93"/>
      <c r="N898" s="93"/>
      <c r="O898" s="93"/>
      <c r="P898" s="93"/>
      <c r="Q898" s="93"/>
      <c r="R898" s="93"/>
      <c r="S898" s="93"/>
      <c r="T898" s="93"/>
      <c r="U898" s="93"/>
      <c r="V898" s="93"/>
      <c r="W898" s="93"/>
    </row>
    <row r="899" spans="2:23" s="14" customFormat="1" ht="17.100000000000001" customHeight="1">
      <c r="B899" s="89"/>
      <c r="C899" s="90"/>
      <c r="D899" s="91"/>
      <c r="E899" s="92"/>
      <c r="F899" s="89"/>
      <c r="G899" s="89"/>
      <c r="H899" s="89"/>
      <c r="I899" s="89"/>
      <c r="J899" s="89"/>
      <c r="K899" s="89"/>
      <c r="L899" s="93"/>
      <c r="M899" s="93"/>
      <c r="N899" s="93"/>
      <c r="O899" s="93"/>
      <c r="P899" s="93"/>
      <c r="Q899" s="93"/>
      <c r="R899" s="93"/>
      <c r="S899" s="93"/>
      <c r="T899" s="93"/>
      <c r="U899" s="93"/>
      <c r="V899" s="93"/>
      <c r="W899" s="93"/>
    </row>
    <row r="900" spans="2:23" s="14" customFormat="1" ht="17.100000000000001" customHeight="1">
      <c r="B900" s="89"/>
      <c r="C900" s="90"/>
      <c r="D900" s="91"/>
      <c r="E900" s="92"/>
      <c r="F900" s="89"/>
      <c r="G900" s="89"/>
      <c r="H900" s="89"/>
      <c r="I900" s="89"/>
      <c r="J900" s="89"/>
      <c r="K900" s="89"/>
      <c r="L900" s="93"/>
      <c r="M900" s="93"/>
      <c r="N900" s="93"/>
      <c r="O900" s="93"/>
      <c r="P900" s="93"/>
      <c r="Q900" s="93"/>
      <c r="R900" s="93"/>
      <c r="S900" s="93"/>
      <c r="T900" s="93"/>
      <c r="U900" s="93"/>
      <c r="V900" s="93"/>
      <c r="W900" s="93"/>
    </row>
    <row r="901" spans="2:23" s="14" customFormat="1" ht="17.100000000000001" customHeight="1">
      <c r="B901" s="89"/>
      <c r="C901" s="90"/>
      <c r="D901" s="91"/>
      <c r="E901" s="92"/>
      <c r="F901" s="89"/>
      <c r="G901" s="89"/>
      <c r="H901" s="89"/>
      <c r="I901" s="89"/>
      <c r="J901" s="89"/>
      <c r="K901" s="89"/>
      <c r="L901" s="93"/>
      <c r="M901" s="93"/>
      <c r="N901" s="93"/>
      <c r="O901" s="93"/>
      <c r="P901" s="93"/>
      <c r="Q901" s="93"/>
      <c r="R901" s="93"/>
      <c r="S901" s="93"/>
      <c r="T901" s="93"/>
      <c r="U901" s="93"/>
      <c r="V901" s="93"/>
      <c r="W901" s="93"/>
    </row>
    <row r="902" spans="2:23" s="14" customFormat="1" ht="17.100000000000001" customHeight="1">
      <c r="B902" s="89"/>
      <c r="C902" s="90"/>
      <c r="D902" s="91"/>
      <c r="E902" s="92"/>
      <c r="F902" s="89"/>
      <c r="G902" s="89"/>
      <c r="H902" s="89"/>
      <c r="I902" s="89"/>
      <c r="J902" s="89"/>
      <c r="K902" s="89"/>
      <c r="L902" s="93"/>
      <c r="M902" s="93"/>
      <c r="N902" s="93"/>
      <c r="O902" s="93"/>
      <c r="P902" s="93"/>
      <c r="Q902" s="93"/>
      <c r="R902" s="93"/>
      <c r="S902" s="93"/>
      <c r="T902" s="93"/>
      <c r="U902" s="93"/>
      <c r="V902" s="93"/>
      <c r="W902" s="93"/>
    </row>
    <row r="903" spans="2:23" s="14" customFormat="1" ht="17.100000000000001" customHeight="1">
      <c r="B903" s="89"/>
      <c r="C903" s="90"/>
      <c r="D903" s="91"/>
      <c r="E903" s="92"/>
      <c r="F903" s="89"/>
      <c r="G903" s="89"/>
      <c r="H903" s="89"/>
      <c r="I903" s="89"/>
      <c r="J903" s="89"/>
      <c r="K903" s="89"/>
      <c r="L903" s="93"/>
      <c r="M903" s="93"/>
      <c r="N903" s="93"/>
      <c r="O903" s="93"/>
      <c r="P903" s="93"/>
      <c r="Q903" s="93"/>
      <c r="R903" s="93"/>
      <c r="S903" s="93"/>
      <c r="T903" s="93"/>
      <c r="U903" s="93"/>
      <c r="V903" s="93"/>
      <c r="W903" s="93"/>
    </row>
    <row r="904" spans="2:23" s="14" customFormat="1" ht="17.100000000000001" customHeight="1">
      <c r="B904" s="89"/>
      <c r="C904" s="90"/>
      <c r="D904" s="91"/>
      <c r="E904" s="92"/>
      <c r="F904" s="89"/>
      <c r="G904" s="89"/>
      <c r="H904" s="89"/>
      <c r="I904" s="89"/>
      <c r="J904" s="89"/>
      <c r="K904" s="89"/>
      <c r="L904" s="93"/>
      <c r="M904" s="93"/>
      <c r="N904" s="93"/>
      <c r="O904" s="93"/>
      <c r="P904" s="93"/>
      <c r="Q904" s="93"/>
      <c r="R904" s="93"/>
      <c r="S904" s="93"/>
      <c r="T904" s="93"/>
      <c r="U904" s="93"/>
      <c r="V904" s="93"/>
      <c r="W904" s="93"/>
    </row>
    <row r="905" spans="2:23" s="14" customFormat="1" ht="17.100000000000001" customHeight="1">
      <c r="B905" s="89"/>
      <c r="C905" s="90"/>
      <c r="D905" s="91"/>
      <c r="E905" s="92"/>
      <c r="F905" s="89"/>
      <c r="G905" s="89"/>
      <c r="H905" s="89"/>
      <c r="I905" s="89"/>
      <c r="J905" s="89"/>
      <c r="K905" s="89"/>
      <c r="L905" s="93"/>
      <c r="M905" s="93"/>
      <c r="N905" s="93"/>
      <c r="O905" s="93"/>
      <c r="P905" s="93"/>
      <c r="Q905" s="93"/>
      <c r="R905" s="93"/>
      <c r="S905" s="93"/>
      <c r="T905" s="93"/>
      <c r="U905" s="93"/>
      <c r="V905" s="93"/>
      <c r="W905" s="93"/>
    </row>
    <row r="906" spans="2:23" s="14" customFormat="1" ht="17.100000000000001" customHeight="1">
      <c r="B906" s="89"/>
      <c r="C906" s="90"/>
      <c r="D906" s="91"/>
      <c r="E906" s="92"/>
      <c r="F906" s="89"/>
      <c r="G906" s="89"/>
      <c r="H906" s="89"/>
      <c r="I906" s="89"/>
      <c r="J906" s="89"/>
      <c r="K906" s="89"/>
      <c r="L906" s="93"/>
      <c r="M906" s="93"/>
      <c r="N906" s="93"/>
      <c r="O906" s="93"/>
      <c r="P906" s="93"/>
      <c r="Q906" s="93"/>
      <c r="R906" s="93"/>
      <c r="S906" s="93"/>
      <c r="T906" s="93"/>
      <c r="U906" s="93"/>
      <c r="V906" s="93"/>
      <c r="W906" s="93"/>
    </row>
    <row r="907" spans="2:23" s="14" customFormat="1" ht="17.100000000000001" customHeight="1">
      <c r="B907" s="89"/>
      <c r="C907" s="90"/>
      <c r="D907" s="91"/>
      <c r="E907" s="92"/>
      <c r="F907" s="89"/>
      <c r="G907" s="89"/>
      <c r="H907" s="89"/>
      <c r="I907" s="89"/>
      <c r="J907" s="89"/>
      <c r="K907" s="89"/>
      <c r="L907" s="93"/>
      <c r="M907" s="93"/>
      <c r="N907" s="93"/>
      <c r="O907" s="93"/>
      <c r="P907" s="93"/>
      <c r="Q907" s="93"/>
      <c r="R907" s="93"/>
      <c r="S907" s="93"/>
      <c r="T907" s="93"/>
      <c r="U907" s="93"/>
      <c r="V907" s="93"/>
      <c r="W907" s="93"/>
    </row>
    <row r="908" spans="2:23" s="14" customFormat="1" ht="17.100000000000001" customHeight="1">
      <c r="B908" s="89"/>
      <c r="C908" s="90"/>
      <c r="D908" s="91"/>
      <c r="E908" s="92"/>
      <c r="F908" s="89"/>
      <c r="G908" s="89"/>
      <c r="H908" s="89"/>
      <c r="I908" s="89"/>
      <c r="J908" s="89"/>
      <c r="K908" s="89"/>
      <c r="L908" s="93"/>
      <c r="M908" s="93"/>
      <c r="N908" s="93"/>
      <c r="O908" s="93"/>
      <c r="P908" s="93"/>
      <c r="Q908" s="93"/>
      <c r="R908" s="93"/>
      <c r="S908" s="93"/>
      <c r="T908" s="93"/>
      <c r="U908" s="93"/>
      <c r="V908" s="93"/>
      <c r="W908" s="93"/>
    </row>
    <row r="909" spans="2:23" s="14" customFormat="1" ht="17.100000000000001" customHeight="1">
      <c r="B909" s="89"/>
      <c r="C909" s="90"/>
      <c r="D909" s="91"/>
      <c r="E909" s="92"/>
      <c r="F909" s="89"/>
      <c r="G909" s="89"/>
      <c r="H909" s="89"/>
      <c r="I909" s="89"/>
      <c r="J909" s="89"/>
      <c r="K909" s="89"/>
      <c r="L909" s="93"/>
      <c r="M909" s="93"/>
      <c r="N909" s="93"/>
      <c r="O909" s="93"/>
      <c r="P909" s="93"/>
      <c r="Q909" s="93"/>
      <c r="R909" s="93"/>
      <c r="S909" s="93"/>
      <c r="T909" s="93"/>
      <c r="U909" s="93"/>
      <c r="V909" s="93"/>
      <c r="W909" s="93"/>
    </row>
    <row r="910" spans="2:23" s="14" customFormat="1" ht="17.100000000000001" customHeight="1">
      <c r="B910" s="89"/>
      <c r="C910" s="90"/>
      <c r="D910" s="91"/>
      <c r="E910" s="92"/>
      <c r="F910" s="89"/>
      <c r="G910" s="89"/>
      <c r="H910" s="89"/>
      <c r="I910" s="89"/>
      <c r="J910" s="89"/>
      <c r="K910" s="89"/>
      <c r="L910" s="93"/>
      <c r="M910" s="93"/>
      <c r="N910" s="93"/>
      <c r="O910" s="93"/>
      <c r="P910" s="93"/>
      <c r="Q910" s="93"/>
      <c r="R910" s="93"/>
      <c r="S910" s="93"/>
      <c r="T910" s="93"/>
      <c r="U910" s="93"/>
      <c r="V910" s="93"/>
      <c r="W910" s="93"/>
    </row>
    <row r="911" spans="2:23" s="14" customFormat="1" ht="17.100000000000001" customHeight="1">
      <c r="B911" s="89"/>
      <c r="C911" s="90"/>
      <c r="D911" s="91"/>
      <c r="E911" s="92"/>
      <c r="F911" s="89"/>
      <c r="G911" s="89"/>
      <c r="H911" s="89"/>
      <c r="I911" s="89"/>
      <c r="J911" s="89"/>
      <c r="K911" s="89"/>
      <c r="L911" s="93"/>
      <c r="M911" s="93"/>
      <c r="N911" s="93"/>
      <c r="O911" s="93"/>
      <c r="P911" s="93"/>
      <c r="Q911" s="93"/>
      <c r="R911" s="93"/>
      <c r="S911" s="93"/>
      <c r="T911" s="93"/>
      <c r="U911" s="93"/>
      <c r="V911" s="93"/>
      <c r="W911" s="93"/>
    </row>
    <row r="912" spans="2:23" s="14" customFormat="1" ht="17.100000000000001" customHeight="1">
      <c r="B912" s="89"/>
      <c r="C912" s="90"/>
      <c r="D912" s="91"/>
      <c r="E912" s="92"/>
      <c r="F912" s="89"/>
      <c r="G912" s="89"/>
      <c r="H912" s="89"/>
      <c r="I912" s="89"/>
      <c r="J912" s="89"/>
      <c r="K912" s="89"/>
      <c r="L912" s="93"/>
      <c r="M912" s="93"/>
      <c r="N912" s="93"/>
      <c r="O912" s="93"/>
      <c r="P912" s="93"/>
      <c r="Q912" s="93"/>
      <c r="R912" s="93"/>
      <c r="S912" s="93"/>
      <c r="T912" s="93"/>
      <c r="U912" s="93"/>
      <c r="V912" s="93"/>
      <c r="W912" s="93"/>
    </row>
    <row r="913" spans="2:23" s="14" customFormat="1" ht="17.100000000000001" customHeight="1">
      <c r="B913" s="89"/>
      <c r="C913" s="90"/>
      <c r="D913" s="91"/>
      <c r="E913" s="92"/>
      <c r="F913" s="89"/>
      <c r="G913" s="89"/>
      <c r="H913" s="89"/>
      <c r="I913" s="89"/>
      <c r="J913" s="89"/>
      <c r="K913" s="89"/>
      <c r="L913" s="93"/>
      <c r="M913" s="93"/>
      <c r="N913" s="93"/>
      <c r="O913" s="93"/>
      <c r="P913" s="93"/>
      <c r="Q913" s="93"/>
      <c r="R913" s="93"/>
      <c r="S913" s="93"/>
      <c r="T913" s="93"/>
      <c r="U913" s="93"/>
      <c r="V913" s="93"/>
      <c r="W913" s="93"/>
    </row>
    <row r="914" spans="2:23" s="14" customFormat="1" ht="17.100000000000001" customHeight="1">
      <c r="B914" s="89"/>
      <c r="C914" s="90"/>
      <c r="D914" s="91"/>
      <c r="E914" s="92"/>
      <c r="F914" s="89"/>
      <c r="G914" s="89"/>
      <c r="H914" s="89"/>
      <c r="I914" s="89"/>
      <c r="J914" s="89"/>
      <c r="K914" s="89"/>
      <c r="L914" s="93"/>
      <c r="M914" s="93"/>
      <c r="N914" s="93"/>
      <c r="O914" s="93"/>
      <c r="P914" s="93"/>
      <c r="Q914" s="93"/>
      <c r="R914" s="93"/>
      <c r="S914" s="93"/>
      <c r="T914" s="93"/>
      <c r="U914" s="93"/>
      <c r="V914" s="93"/>
      <c r="W914" s="93"/>
    </row>
    <row r="915" spans="2:23" s="14" customFormat="1" ht="17.100000000000001" customHeight="1">
      <c r="B915" s="89"/>
      <c r="C915" s="90"/>
      <c r="D915" s="91"/>
      <c r="E915" s="92"/>
      <c r="F915" s="89"/>
      <c r="G915" s="89"/>
      <c r="H915" s="89"/>
      <c r="I915" s="89"/>
      <c r="J915" s="89"/>
      <c r="K915" s="89"/>
      <c r="L915" s="93"/>
      <c r="M915" s="93"/>
      <c r="N915" s="93"/>
      <c r="O915" s="93"/>
      <c r="P915" s="93"/>
      <c r="Q915" s="93"/>
      <c r="R915" s="93"/>
      <c r="S915" s="93"/>
      <c r="T915" s="93"/>
      <c r="U915" s="93"/>
      <c r="V915" s="93"/>
      <c r="W915" s="93"/>
    </row>
    <row r="916" spans="2:23" s="14" customFormat="1" ht="17.100000000000001" customHeight="1">
      <c r="B916" s="89"/>
      <c r="C916" s="90"/>
      <c r="D916" s="91"/>
      <c r="E916" s="92"/>
      <c r="F916" s="89"/>
      <c r="G916" s="89"/>
      <c r="H916" s="89"/>
      <c r="I916" s="89"/>
      <c r="J916" s="89"/>
      <c r="K916" s="89"/>
      <c r="L916" s="93"/>
      <c r="M916" s="93"/>
      <c r="N916" s="93"/>
      <c r="O916" s="93"/>
      <c r="P916" s="93"/>
      <c r="Q916" s="93"/>
      <c r="R916" s="93"/>
      <c r="S916" s="93"/>
      <c r="T916" s="93"/>
      <c r="U916" s="93"/>
      <c r="V916" s="93"/>
      <c r="W916" s="93"/>
    </row>
    <row r="917" spans="2:23" s="14" customFormat="1" ht="17.100000000000001" customHeight="1">
      <c r="B917" s="89"/>
      <c r="C917" s="90"/>
      <c r="D917" s="91"/>
      <c r="E917" s="92"/>
      <c r="F917" s="89"/>
      <c r="G917" s="89"/>
      <c r="H917" s="89"/>
      <c r="I917" s="89"/>
      <c r="J917" s="89"/>
      <c r="K917" s="89"/>
      <c r="L917" s="93"/>
      <c r="M917" s="93"/>
      <c r="N917" s="93"/>
      <c r="O917" s="93"/>
      <c r="P917" s="93"/>
      <c r="Q917" s="93"/>
      <c r="R917" s="93"/>
      <c r="S917" s="93"/>
      <c r="T917" s="93"/>
      <c r="U917" s="93"/>
      <c r="V917" s="93"/>
      <c r="W917" s="93"/>
    </row>
    <row r="918" spans="2:23" s="14" customFormat="1" ht="17.100000000000001" customHeight="1">
      <c r="B918" s="89"/>
      <c r="C918" s="90"/>
      <c r="D918" s="91"/>
      <c r="E918" s="92"/>
      <c r="F918" s="89"/>
      <c r="G918" s="89"/>
      <c r="H918" s="89"/>
      <c r="I918" s="89"/>
      <c r="J918" s="89"/>
      <c r="K918" s="89"/>
      <c r="L918" s="93"/>
      <c r="M918" s="93"/>
      <c r="N918" s="93"/>
      <c r="O918" s="93"/>
      <c r="P918" s="93"/>
      <c r="Q918" s="93"/>
      <c r="R918" s="93"/>
      <c r="S918" s="93"/>
      <c r="T918" s="93"/>
      <c r="U918" s="93"/>
      <c r="V918" s="93"/>
      <c r="W918" s="93"/>
    </row>
    <row r="919" spans="2:23" s="14" customFormat="1" ht="17.100000000000001" customHeight="1">
      <c r="B919" s="89"/>
      <c r="C919" s="90"/>
      <c r="D919" s="91"/>
      <c r="E919" s="92"/>
      <c r="F919" s="89"/>
      <c r="G919" s="89"/>
      <c r="H919" s="89"/>
      <c r="I919" s="89"/>
      <c r="J919" s="89"/>
      <c r="K919" s="89"/>
      <c r="L919" s="93"/>
      <c r="M919" s="93"/>
      <c r="N919" s="93"/>
      <c r="O919" s="93"/>
      <c r="P919" s="93"/>
      <c r="Q919" s="93"/>
      <c r="R919" s="93"/>
      <c r="S919" s="93"/>
      <c r="T919" s="93"/>
      <c r="U919" s="93"/>
      <c r="V919" s="93"/>
      <c r="W919" s="93"/>
    </row>
    <row r="920" spans="2:23" s="14" customFormat="1" ht="17.100000000000001" customHeight="1">
      <c r="B920" s="89"/>
      <c r="C920" s="90"/>
      <c r="D920" s="91"/>
      <c r="E920" s="92"/>
      <c r="F920" s="89"/>
      <c r="G920" s="89"/>
      <c r="H920" s="89"/>
      <c r="I920" s="89"/>
      <c r="J920" s="89"/>
      <c r="K920" s="89"/>
      <c r="L920" s="93"/>
      <c r="M920" s="93"/>
      <c r="N920" s="93"/>
      <c r="O920" s="93"/>
      <c r="P920" s="93"/>
      <c r="Q920" s="93"/>
      <c r="R920" s="93"/>
      <c r="S920" s="93"/>
      <c r="T920" s="93"/>
      <c r="U920" s="93"/>
      <c r="V920" s="93"/>
      <c r="W920" s="93"/>
    </row>
    <row r="921" spans="2:23" s="14" customFormat="1" ht="17.100000000000001" customHeight="1">
      <c r="B921" s="89"/>
      <c r="C921" s="90"/>
      <c r="D921" s="91"/>
      <c r="E921" s="92"/>
      <c r="F921" s="89"/>
      <c r="G921" s="89"/>
      <c r="H921" s="89"/>
      <c r="I921" s="89"/>
      <c r="J921" s="89"/>
      <c r="K921" s="89"/>
      <c r="L921" s="93"/>
      <c r="M921" s="93"/>
      <c r="N921" s="93"/>
      <c r="O921" s="93"/>
      <c r="P921" s="93"/>
      <c r="Q921" s="93"/>
      <c r="R921" s="93"/>
      <c r="S921" s="93"/>
      <c r="T921" s="93"/>
      <c r="U921" s="93"/>
      <c r="V921" s="93"/>
      <c r="W921" s="93"/>
    </row>
    <row r="922" spans="2:23" s="14" customFormat="1" ht="17.100000000000001" customHeight="1">
      <c r="B922" s="89"/>
      <c r="C922" s="90"/>
      <c r="D922" s="91"/>
      <c r="E922" s="92"/>
      <c r="F922" s="89"/>
      <c r="G922" s="89"/>
      <c r="H922" s="89"/>
      <c r="I922" s="89"/>
      <c r="J922" s="89"/>
      <c r="K922" s="89"/>
      <c r="L922" s="93"/>
      <c r="M922" s="93"/>
      <c r="N922" s="93"/>
      <c r="O922" s="93"/>
      <c r="P922" s="93"/>
      <c r="Q922" s="93"/>
      <c r="R922" s="93"/>
      <c r="S922" s="93"/>
      <c r="T922" s="93"/>
      <c r="U922" s="93"/>
      <c r="V922" s="93"/>
      <c r="W922" s="93"/>
    </row>
    <row r="923" spans="2:23" s="14" customFormat="1" ht="17.100000000000001" customHeight="1">
      <c r="B923" s="89"/>
      <c r="C923" s="90"/>
      <c r="D923" s="91"/>
      <c r="E923" s="92"/>
      <c r="F923" s="89"/>
      <c r="G923" s="89"/>
      <c r="H923" s="89"/>
      <c r="I923" s="89"/>
      <c r="J923" s="89"/>
      <c r="K923" s="89"/>
      <c r="L923" s="93"/>
      <c r="M923" s="93"/>
      <c r="N923" s="93"/>
      <c r="O923" s="93"/>
      <c r="P923" s="93"/>
      <c r="Q923" s="93"/>
      <c r="R923" s="93"/>
      <c r="S923" s="93"/>
      <c r="T923" s="93"/>
      <c r="U923" s="93"/>
      <c r="V923" s="93"/>
      <c r="W923" s="93"/>
    </row>
    <row r="924" spans="2:23" s="14" customFormat="1" ht="17.100000000000001" customHeight="1">
      <c r="B924" s="89"/>
      <c r="C924" s="90"/>
      <c r="D924" s="91"/>
      <c r="E924" s="92"/>
      <c r="F924" s="89"/>
      <c r="G924" s="89"/>
      <c r="H924" s="89"/>
      <c r="I924" s="89"/>
      <c r="J924" s="89"/>
      <c r="K924" s="89"/>
      <c r="L924" s="93"/>
      <c r="M924" s="93"/>
      <c r="N924" s="93"/>
      <c r="O924" s="93"/>
      <c r="P924" s="93"/>
      <c r="Q924" s="93"/>
      <c r="R924" s="93"/>
      <c r="S924" s="93"/>
      <c r="T924" s="93"/>
      <c r="U924" s="93"/>
      <c r="V924" s="93"/>
      <c r="W924" s="93"/>
    </row>
    <row r="925" spans="2:23" s="14" customFormat="1" ht="17.100000000000001" customHeight="1">
      <c r="B925" s="89"/>
      <c r="C925" s="90"/>
      <c r="D925" s="91"/>
      <c r="E925" s="92"/>
      <c r="F925" s="89"/>
      <c r="G925" s="89"/>
      <c r="H925" s="89"/>
      <c r="I925" s="89"/>
      <c r="J925" s="89"/>
      <c r="K925" s="89"/>
      <c r="L925" s="93"/>
      <c r="M925" s="93"/>
      <c r="N925" s="93"/>
      <c r="O925" s="93"/>
      <c r="P925" s="93"/>
      <c r="Q925" s="93"/>
      <c r="R925" s="93"/>
      <c r="S925" s="93"/>
      <c r="T925" s="93"/>
      <c r="U925" s="93"/>
      <c r="V925" s="93"/>
      <c r="W925" s="93"/>
    </row>
    <row r="926" spans="2:23" s="14" customFormat="1" ht="17.100000000000001" customHeight="1">
      <c r="B926" s="89"/>
      <c r="C926" s="90"/>
      <c r="D926" s="91"/>
      <c r="E926" s="92"/>
      <c r="F926" s="89"/>
      <c r="G926" s="89"/>
      <c r="H926" s="89"/>
      <c r="I926" s="89"/>
      <c r="J926" s="89"/>
      <c r="K926" s="89"/>
      <c r="L926" s="93"/>
      <c r="M926" s="93"/>
      <c r="N926" s="93"/>
      <c r="O926" s="93"/>
      <c r="P926" s="93"/>
      <c r="Q926" s="93"/>
      <c r="R926" s="93"/>
      <c r="S926" s="93"/>
      <c r="T926" s="93"/>
      <c r="U926" s="93"/>
      <c r="V926" s="93"/>
      <c r="W926" s="93"/>
    </row>
    <row r="927" spans="2:23" s="14" customFormat="1" ht="17.100000000000001" customHeight="1">
      <c r="B927" s="89"/>
      <c r="C927" s="90"/>
      <c r="D927" s="91"/>
      <c r="E927" s="92"/>
      <c r="F927" s="89"/>
      <c r="G927" s="89"/>
      <c r="H927" s="89"/>
      <c r="I927" s="89"/>
      <c r="J927" s="89"/>
      <c r="K927" s="89"/>
      <c r="L927" s="93"/>
      <c r="M927" s="93"/>
      <c r="N927" s="93"/>
      <c r="O927" s="93"/>
      <c r="P927" s="93"/>
      <c r="Q927" s="93"/>
      <c r="R927" s="93"/>
      <c r="S927" s="93"/>
      <c r="T927" s="93"/>
      <c r="U927" s="93"/>
      <c r="V927" s="93"/>
      <c r="W927" s="93"/>
    </row>
    <row r="928" spans="2:23" s="14" customFormat="1" ht="17.100000000000001" customHeight="1">
      <c r="B928" s="89"/>
      <c r="C928" s="90"/>
      <c r="D928" s="91"/>
      <c r="E928" s="92"/>
      <c r="F928" s="89"/>
      <c r="G928" s="89"/>
      <c r="H928" s="89"/>
      <c r="I928" s="89"/>
      <c r="J928" s="89"/>
      <c r="K928" s="89"/>
      <c r="L928" s="93"/>
      <c r="M928" s="93"/>
      <c r="N928" s="93"/>
      <c r="O928" s="93"/>
      <c r="P928" s="93"/>
      <c r="Q928" s="93"/>
      <c r="R928" s="93"/>
      <c r="S928" s="93"/>
      <c r="T928" s="93"/>
      <c r="U928" s="93"/>
      <c r="V928" s="93"/>
      <c r="W928" s="93"/>
    </row>
    <row r="929" spans="2:23" s="14" customFormat="1" ht="17.100000000000001" customHeight="1">
      <c r="B929" s="89"/>
      <c r="C929" s="90"/>
      <c r="D929" s="91"/>
      <c r="E929" s="92"/>
      <c r="F929" s="89"/>
      <c r="G929" s="89"/>
      <c r="H929" s="89"/>
      <c r="I929" s="89"/>
      <c r="J929" s="89"/>
      <c r="K929" s="89"/>
      <c r="L929" s="93"/>
      <c r="M929" s="93"/>
      <c r="N929" s="93"/>
      <c r="O929" s="93"/>
      <c r="P929" s="93"/>
      <c r="Q929" s="93"/>
      <c r="R929" s="93"/>
      <c r="S929" s="93"/>
      <c r="T929" s="93"/>
      <c r="U929" s="93"/>
      <c r="V929" s="93"/>
      <c r="W929" s="93"/>
    </row>
    <row r="930" spans="2:23" s="14" customFormat="1" ht="17.100000000000001" customHeight="1">
      <c r="B930" s="89"/>
      <c r="C930" s="90"/>
      <c r="D930" s="91"/>
      <c r="E930" s="92"/>
      <c r="F930" s="89"/>
      <c r="G930" s="89"/>
      <c r="H930" s="89"/>
      <c r="I930" s="89"/>
      <c r="J930" s="89"/>
      <c r="K930" s="89"/>
      <c r="L930" s="93"/>
      <c r="M930" s="93"/>
      <c r="N930" s="93"/>
      <c r="O930" s="93"/>
      <c r="P930" s="93"/>
      <c r="Q930" s="93"/>
      <c r="R930" s="93"/>
      <c r="S930" s="93"/>
      <c r="T930" s="93"/>
      <c r="U930" s="93"/>
      <c r="V930" s="93"/>
      <c r="W930" s="93"/>
    </row>
    <row r="931" spans="2:23" s="14" customFormat="1" ht="17.100000000000001" customHeight="1">
      <c r="B931" s="89"/>
      <c r="C931" s="90"/>
      <c r="D931" s="91"/>
      <c r="E931" s="92"/>
      <c r="F931" s="89"/>
      <c r="G931" s="89"/>
      <c r="H931" s="89"/>
      <c r="I931" s="89"/>
      <c r="J931" s="89"/>
      <c r="K931" s="89"/>
      <c r="L931" s="93"/>
      <c r="M931" s="93"/>
      <c r="N931" s="93"/>
      <c r="O931" s="93"/>
      <c r="P931" s="93"/>
      <c r="Q931" s="93"/>
      <c r="R931" s="93"/>
      <c r="S931" s="93"/>
      <c r="T931" s="93"/>
      <c r="U931" s="93"/>
      <c r="V931" s="93"/>
      <c r="W931" s="93"/>
    </row>
    <row r="932" spans="2:23" s="14" customFormat="1" ht="17.100000000000001" customHeight="1">
      <c r="B932" s="89"/>
      <c r="C932" s="90"/>
      <c r="D932" s="91"/>
      <c r="E932" s="92"/>
      <c r="F932" s="89"/>
      <c r="G932" s="89"/>
      <c r="H932" s="89"/>
      <c r="I932" s="89"/>
      <c r="J932" s="89"/>
      <c r="K932" s="89"/>
      <c r="L932" s="93"/>
      <c r="M932" s="93"/>
      <c r="N932" s="93"/>
      <c r="O932" s="93"/>
      <c r="P932" s="93"/>
      <c r="Q932" s="93"/>
      <c r="R932" s="93"/>
      <c r="S932" s="93"/>
      <c r="T932" s="93"/>
      <c r="U932" s="93"/>
      <c r="V932" s="93"/>
      <c r="W932" s="93"/>
    </row>
    <row r="933" spans="2:23" s="14" customFormat="1" ht="17.100000000000001" customHeight="1">
      <c r="B933" s="89"/>
      <c r="C933" s="90"/>
      <c r="D933" s="91"/>
      <c r="E933" s="92"/>
      <c r="F933" s="89"/>
      <c r="G933" s="89"/>
      <c r="H933" s="89"/>
      <c r="I933" s="89"/>
      <c r="J933" s="89"/>
      <c r="K933" s="89"/>
      <c r="L933" s="93"/>
      <c r="M933" s="93"/>
      <c r="N933" s="93"/>
      <c r="O933" s="93"/>
      <c r="P933" s="93"/>
      <c r="Q933" s="93"/>
      <c r="R933" s="93"/>
      <c r="S933" s="93"/>
      <c r="T933" s="93"/>
      <c r="U933" s="93"/>
      <c r="V933" s="93"/>
      <c r="W933" s="93"/>
    </row>
    <row r="934" spans="2:23" s="14" customFormat="1" ht="17.100000000000001" customHeight="1">
      <c r="B934" s="89"/>
      <c r="C934" s="90"/>
      <c r="D934" s="91"/>
      <c r="E934" s="92"/>
      <c r="F934" s="89"/>
      <c r="G934" s="89"/>
      <c r="H934" s="89"/>
      <c r="I934" s="89"/>
      <c r="J934" s="89"/>
      <c r="K934" s="89"/>
      <c r="L934" s="93"/>
      <c r="M934" s="93"/>
      <c r="N934" s="93"/>
      <c r="O934" s="93"/>
      <c r="P934" s="93"/>
      <c r="Q934" s="93"/>
      <c r="R934" s="93"/>
      <c r="S934" s="93"/>
      <c r="T934" s="93"/>
      <c r="U934" s="93"/>
      <c r="V934" s="93"/>
      <c r="W934" s="93"/>
    </row>
    <row r="935" spans="2:23" s="14" customFormat="1" ht="17.100000000000001" customHeight="1">
      <c r="B935" s="89"/>
      <c r="C935" s="90"/>
      <c r="D935" s="91"/>
      <c r="E935" s="92"/>
      <c r="F935" s="89"/>
      <c r="G935" s="89"/>
      <c r="H935" s="89"/>
      <c r="I935" s="89"/>
      <c r="J935" s="89"/>
      <c r="K935" s="89"/>
      <c r="L935" s="93"/>
      <c r="M935" s="93"/>
      <c r="N935" s="93"/>
      <c r="O935" s="93"/>
      <c r="P935" s="93"/>
      <c r="Q935" s="93"/>
      <c r="R935" s="93"/>
      <c r="S935" s="93"/>
      <c r="T935" s="93"/>
      <c r="U935" s="93"/>
      <c r="V935" s="93"/>
      <c r="W935" s="93"/>
    </row>
    <row r="936" spans="2:23" s="14" customFormat="1" ht="17.100000000000001" customHeight="1">
      <c r="B936" s="89"/>
      <c r="C936" s="90"/>
      <c r="D936" s="91"/>
      <c r="E936" s="92"/>
      <c r="F936" s="89"/>
      <c r="G936" s="89"/>
      <c r="H936" s="89"/>
      <c r="I936" s="89"/>
      <c r="J936" s="89"/>
      <c r="K936" s="89"/>
      <c r="L936" s="93"/>
      <c r="M936" s="93"/>
      <c r="N936" s="93"/>
      <c r="O936" s="93"/>
      <c r="P936" s="93"/>
      <c r="Q936" s="93"/>
      <c r="R936" s="93"/>
      <c r="S936" s="93"/>
      <c r="T936" s="93"/>
      <c r="U936" s="93"/>
      <c r="V936" s="93"/>
      <c r="W936" s="93"/>
    </row>
    <row r="937" spans="2:23" s="14" customFormat="1" ht="17.100000000000001" customHeight="1">
      <c r="B937" s="89"/>
      <c r="C937" s="90"/>
      <c r="D937" s="91"/>
      <c r="E937" s="92"/>
      <c r="F937" s="89"/>
      <c r="G937" s="89"/>
      <c r="H937" s="89"/>
      <c r="I937" s="89"/>
      <c r="J937" s="89"/>
      <c r="K937" s="89"/>
      <c r="L937" s="93"/>
      <c r="M937" s="93"/>
      <c r="N937" s="93"/>
      <c r="O937" s="93"/>
      <c r="P937" s="93"/>
      <c r="Q937" s="93"/>
      <c r="R937" s="93"/>
      <c r="S937" s="93"/>
      <c r="T937" s="93"/>
      <c r="U937" s="93"/>
      <c r="V937" s="93"/>
      <c r="W937" s="93"/>
    </row>
    <row r="938" spans="2:23" s="14" customFormat="1" ht="17.100000000000001" customHeight="1">
      <c r="B938" s="89"/>
      <c r="C938" s="90"/>
      <c r="D938" s="91"/>
      <c r="E938" s="92"/>
      <c r="F938" s="89"/>
      <c r="G938" s="89"/>
      <c r="H938" s="89"/>
      <c r="I938" s="89"/>
      <c r="J938" s="89"/>
      <c r="K938" s="89"/>
      <c r="L938" s="93"/>
      <c r="M938" s="93"/>
      <c r="N938" s="93"/>
      <c r="O938" s="93"/>
      <c r="P938" s="93"/>
      <c r="Q938" s="93"/>
      <c r="R938" s="93"/>
      <c r="S938" s="93"/>
      <c r="T938" s="93"/>
      <c r="U938" s="93"/>
      <c r="V938" s="93"/>
      <c r="W938" s="93"/>
    </row>
    <row r="939" spans="2:23" s="14" customFormat="1" ht="17.100000000000001" customHeight="1">
      <c r="B939" s="89"/>
      <c r="C939" s="90"/>
      <c r="D939" s="91"/>
      <c r="E939" s="92"/>
      <c r="F939" s="89"/>
      <c r="G939" s="89"/>
      <c r="H939" s="89"/>
      <c r="I939" s="89"/>
      <c r="J939" s="89"/>
      <c r="K939" s="89"/>
      <c r="L939" s="93"/>
      <c r="M939" s="93"/>
      <c r="N939" s="93"/>
      <c r="O939" s="93"/>
      <c r="P939" s="93"/>
      <c r="Q939" s="93"/>
      <c r="R939" s="93"/>
      <c r="S939" s="93"/>
      <c r="T939" s="93"/>
      <c r="U939" s="93"/>
      <c r="V939" s="93"/>
      <c r="W939" s="93"/>
    </row>
    <row r="940" spans="2:23" s="14" customFormat="1" ht="17.100000000000001" customHeight="1">
      <c r="B940" s="89"/>
      <c r="C940" s="90"/>
      <c r="D940" s="91"/>
      <c r="E940" s="92"/>
      <c r="F940" s="89"/>
      <c r="G940" s="89"/>
      <c r="H940" s="89"/>
      <c r="I940" s="89"/>
      <c r="J940" s="89"/>
      <c r="K940" s="89"/>
      <c r="L940" s="93"/>
      <c r="M940" s="93"/>
      <c r="N940" s="93"/>
      <c r="O940" s="93"/>
      <c r="P940" s="93"/>
      <c r="Q940" s="93"/>
      <c r="R940" s="93"/>
      <c r="S940" s="93"/>
      <c r="T940" s="93"/>
      <c r="U940" s="93"/>
      <c r="V940" s="93"/>
      <c r="W940" s="93"/>
    </row>
    <row r="941" spans="2:23" s="14" customFormat="1" ht="17.100000000000001" customHeight="1">
      <c r="B941" s="89"/>
      <c r="C941" s="90"/>
      <c r="D941" s="91"/>
      <c r="E941" s="92"/>
      <c r="F941" s="89"/>
      <c r="G941" s="89"/>
      <c r="H941" s="89"/>
      <c r="I941" s="89"/>
      <c r="J941" s="89"/>
      <c r="K941" s="89"/>
      <c r="L941" s="93"/>
      <c r="M941" s="93"/>
      <c r="N941" s="93"/>
      <c r="O941" s="93"/>
      <c r="P941" s="93"/>
      <c r="Q941" s="93"/>
      <c r="R941" s="93"/>
      <c r="S941" s="93"/>
      <c r="T941" s="93"/>
      <c r="U941" s="93"/>
      <c r="V941" s="93"/>
      <c r="W941" s="93"/>
    </row>
    <row r="942" spans="2:23" s="14" customFormat="1" ht="17.100000000000001" customHeight="1">
      <c r="B942" s="89"/>
      <c r="C942" s="90"/>
      <c r="D942" s="91"/>
      <c r="E942" s="92"/>
      <c r="F942" s="89"/>
      <c r="G942" s="89"/>
      <c r="H942" s="89"/>
      <c r="I942" s="89"/>
      <c r="J942" s="89"/>
      <c r="K942" s="89"/>
      <c r="L942" s="93"/>
      <c r="M942" s="93"/>
      <c r="N942" s="93"/>
      <c r="O942" s="93"/>
      <c r="P942" s="93"/>
      <c r="Q942" s="93"/>
      <c r="R942" s="93"/>
      <c r="S942" s="93"/>
      <c r="T942" s="93"/>
      <c r="U942" s="93"/>
      <c r="V942" s="93"/>
      <c r="W942" s="93"/>
    </row>
    <row r="943" spans="2:23" s="14" customFormat="1" ht="17.100000000000001" customHeight="1">
      <c r="B943" s="89"/>
      <c r="C943" s="90"/>
      <c r="D943" s="91"/>
      <c r="E943" s="92"/>
      <c r="F943" s="89"/>
      <c r="G943" s="89"/>
      <c r="H943" s="89"/>
      <c r="I943" s="89"/>
      <c r="J943" s="89"/>
      <c r="K943" s="89"/>
      <c r="L943" s="93"/>
      <c r="M943" s="93"/>
      <c r="N943" s="93"/>
      <c r="O943" s="93"/>
      <c r="P943" s="93"/>
      <c r="Q943" s="93"/>
      <c r="R943" s="93"/>
      <c r="S943" s="93"/>
      <c r="T943" s="93"/>
      <c r="U943" s="93"/>
      <c r="V943" s="93"/>
      <c r="W943" s="93"/>
    </row>
    <row r="944" spans="2:23" s="14" customFormat="1" ht="17.100000000000001" customHeight="1">
      <c r="B944" s="89"/>
      <c r="C944" s="90"/>
      <c r="D944" s="91"/>
      <c r="E944" s="92"/>
      <c r="F944" s="89"/>
      <c r="G944" s="89"/>
      <c r="H944" s="89"/>
      <c r="I944" s="89"/>
      <c r="J944" s="89"/>
      <c r="K944" s="89"/>
      <c r="L944" s="93"/>
      <c r="M944" s="93"/>
      <c r="N944" s="93"/>
      <c r="O944" s="93"/>
      <c r="P944" s="93"/>
      <c r="Q944" s="93"/>
      <c r="R944" s="93"/>
      <c r="S944" s="93"/>
      <c r="T944" s="93"/>
      <c r="U944" s="93"/>
      <c r="V944" s="93"/>
      <c r="W944" s="93"/>
    </row>
    <row r="945" spans="2:23" s="14" customFormat="1" ht="17.100000000000001" customHeight="1">
      <c r="B945" s="89"/>
      <c r="C945" s="90"/>
      <c r="D945" s="91"/>
      <c r="E945" s="92"/>
      <c r="F945" s="89"/>
      <c r="G945" s="89"/>
      <c r="H945" s="89"/>
      <c r="I945" s="89"/>
      <c r="J945" s="89"/>
      <c r="K945" s="89"/>
      <c r="L945" s="93"/>
      <c r="M945" s="93"/>
      <c r="N945" s="93"/>
      <c r="O945" s="93"/>
      <c r="P945" s="93"/>
      <c r="Q945" s="93"/>
      <c r="R945" s="93"/>
      <c r="S945" s="93"/>
      <c r="T945" s="93"/>
      <c r="U945" s="93"/>
      <c r="V945" s="93"/>
      <c r="W945" s="93"/>
    </row>
    <row r="946" spans="2:23" s="14" customFormat="1" ht="17.100000000000001" customHeight="1">
      <c r="B946" s="89"/>
      <c r="C946" s="90"/>
      <c r="D946" s="91"/>
      <c r="E946" s="92"/>
      <c r="F946" s="89"/>
      <c r="G946" s="89"/>
      <c r="H946" s="89"/>
      <c r="I946" s="89"/>
      <c r="J946" s="89"/>
      <c r="K946" s="89"/>
      <c r="L946" s="93"/>
      <c r="M946" s="93"/>
      <c r="N946" s="93"/>
      <c r="O946" s="93"/>
      <c r="P946" s="93"/>
      <c r="Q946" s="93"/>
      <c r="R946" s="93"/>
      <c r="S946" s="93"/>
      <c r="T946" s="93"/>
      <c r="U946" s="93"/>
      <c r="V946" s="93"/>
      <c r="W946" s="93"/>
    </row>
    <row r="947" spans="2:23" s="14" customFormat="1" ht="17.100000000000001" customHeight="1">
      <c r="B947" s="89"/>
      <c r="C947" s="90"/>
      <c r="D947" s="91"/>
      <c r="E947" s="92"/>
      <c r="F947" s="89"/>
      <c r="G947" s="89"/>
      <c r="H947" s="89"/>
      <c r="I947" s="89"/>
      <c r="J947" s="89"/>
      <c r="K947" s="89"/>
      <c r="L947" s="93"/>
      <c r="M947" s="93"/>
      <c r="N947" s="93"/>
      <c r="O947" s="93"/>
      <c r="P947" s="93"/>
      <c r="Q947" s="93"/>
      <c r="R947" s="93"/>
      <c r="S947" s="93"/>
      <c r="T947" s="93"/>
      <c r="U947" s="93"/>
      <c r="V947" s="93"/>
      <c r="W947" s="93"/>
    </row>
    <row r="948" spans="2:23" s="14" customFormat="1" ht="17.100000000000001" customHeight="1">
      <c r="B948" s="89"/>
      <c r="C948" s="90"/>
      <c r="D948" s="91"/>
      <c r="E948" s="92"/>
      <c r="F948" s="89"/>
      <c r="G948" s="89"/>
      <c r="H948" s="89"/>
      <c r="I948" s="89"/>
      <c r="J948" s="89"/>
      <c r="K948" s="89"/>
      <c r="L948" s="93"/>
      <c r="M948" s="93"/>
      <c r="N948" s="93"/>
      <c r="O948" s="93"/>
      <c r="P948" s="93"/>
      <c r="Q948" s="93"/>
      <c r="R948" s="93"/>
      <c r="S948" s="93"/>
      <c r="T948" s="93"/>
      <c r="U948" s="93"/>
      <c r="V948" s="93"/>
      <c r="W948" s="93"/>
    </row>
    <row r="949" spans="2:23" s="14" customFormat="1" ht="17.100000000000001" customHeight="1">
      <c r="B949" s="89"/>
      <c r="C949" s="90"/>
      <c r="D949" s="91"/>
      <c r="E949" s="92"/>
      <c r="F949" s="89"/>
      <c r="G949" s="89"/>
      <c r="H949" s="89"/>
      <c r="I949" s="89"/>
      <c r="J949" s="89"/>
      <c r="K949" s="89"/>
      <c r="L949" s="93"/>
      <c r="M949" s="93"/>
      <c r="N949" s="93"/>
      <c r="O949" s="93"/>
      <c r="P949" s="93"/>
      <c r="Q949" s="93"/>
      <c r="R949" s="93"/>
      <c r="S949" s="93"/>
      <c r="T949" s="93"/>
      <c r="U949" s="93"/>
      <c r="V949" s="93"/>
      <c r="W949" s="93"/>
    </row>
    <row r="950" spans="2:23" s="14" customFormat="1" ht="17.100000000000001" customHeight="1">
      <c r="B950" s="89"/>
      <c r="C950" s="90"/>
      <c r="D950" s="91"/>
      <c r="E950" s="92"/>
      <c r="F950" s="89"/>
      <c r="G950" s="89"/>
      <c r="H950" s="89"/>
      <c r="I950" s="89"/>
      <c r="J950" s="89"/>
      <c r="K950" s="89"/>
      <c r="L950" s="93"/>
      <c r="M950" s="93"/>
      <c r="N950" s="93"/>
      <c r="O950" s="93"/>
      <c r="P950" s="93"/>
      <c r="Q950" s="93"/>
      <c r="R950" s="93"/>
      <c r="S950" s="93"/>
      <c r="T950" s="93"/>
      <c r="U950" s="93"/>
      <c r="V950" s="93"/>
      <c r="W950" s="93"/>
    </row>
    <row r="951" spans="2:23" s="14" customFormat="1" ht="17.100000000000001" customHeight="1">
      <c r="B951" s="89"/>
      <c r="C951" s="90"/>
      <c r="D951" s="91"/>
      <c r="E951" s="92"/>
      <c r="F951" s="89"/>
      <c r="G951" s="89"/>
      <c r="H951" s="89"/>
      <c r="I951" s="89"/>
      <c r="J951" s="89"/>
      <c r="K951" s="89"/>
      <c r="L951" s="93"/>
      <c r="M951" s="93"/>
      <c r="N951" s="93"/>
      <c r="O951" s="93"/>
      <c r="P951" s="93"/>
      <c r="Q951" s="93"/>
      <c r="R951" s="93"/>
      <c r="S951" s="93"/>
      <c r="T951" s="93"/>
      <c r="U951" s="93"/>
      <c r="V951" s="93"/>
      <c r="W951" s="93"/>
    </row>
    <row r="952" spans="2:23" s="14" customFormat="1" ht="17.100000000000001" customHeight="1">
      <c r="B952" s="89"/>
      <c r="C952" s="90"/>
      <c r="D952" s="91"/>
      <c r="E952" s="92"/>
      <c r="F952" s="89"/>
      <c r="G952" s="89"/>
      <c r="H952" s="89"/>
      <c r="I952" s="89"/>
      <c r="J952" s="89"/>
      <c r="K952" s="89"/>
      <c r="L952" s="93"/>
      <c r="M952" s="93"/>
      <c r="N952" s="93"/>
      <c r="O952" s="93"/>
      <c r="P952" s="93"/>
      <c r="Q952" s="93"/>
      <c r="R952" s="93"/>
      <c r="S952" s="93"/>
      <c r="T952" s="93"/>
      <c r="U952" s="93"/>
      <c r="V952" s="93"/>
      <c r="W952" s="93"/>
    </row>
    <row r="953" spans="2:23" s="14" customFormat="1" ht="17.100000000000001" customHeight="1">
      <c r="B953" s="89"/>
      <c r="C953" s="90"/>
      <c r="D953" s="91"/>
      <c r="E953" s="92"/>
      <c r="F953" s="89"/>
      <c r="G953" s="89"/>
      <c r="H953" s="89"/>
      <c r="I953" s="89"/>
      <c r="J953" s="89"/>
      <c r="K953" s="89"/>
      <c r="L953" s="93"/>
      <c r="M953" s="93"/>
      <c r="N953" s="93"/>
      <c r="O953" s="93"/>
      <c r="P953" s="93"/>
      <c r="Q953" s="93"/>
      <c r="R953" s="93"/>
      <c r="S953" s="93"/>
      <c r="T953" s="93"/>
      <c r="U953" s="93"/>
      <c r="V953" s="93"/>
      <c r="W953" s="93"/>
    </row>
    <row r="954" spans="2:23" s="14" customFormat="1" ht="17.100000000000001" customHeight="1">
      <c r="B954" s="89"/>
      <c r="C954" s="90"/>
      <c r="D954" s="91"/>
      <c r="E954" s="92"/>
      <c r="F954" s="89"/>
      <c r="G954" s="89"/>
      <c r="H954" s="89"/>
      <c r="I954" s="89"/>
      <c r="J954" s="89"/>
      <c r="K954" s="89"/>
      <c r="L954" s="93"/>
      <c r="M954" s="93"/>
      <c r="N954" s="93"/>
      <c r="O954" s="93"/>
      <c r="P954" s="93"/>
      <c r="Q954" s="93"/>
      <c r="R954" s="93"/>
      <c r="S954" s="93"/>
      <c r="T954" s="93"/>
      <c r="U954" s="93"/>
      <c r="V954" s="93"/>
      <c r="W954" s="93"/>
    </row>
    <row r="955" spans="2:23" s="14" customFormat="1" ht="17.100000000000001" customHeight="1">
      <c r="B955" s="89"/>
      <c r="C955" s="90"/>
      <c r="D955" s="91"/>
      <c r="E955" s="92"/>
      <c r="F955" s="89"/>
      <c r="G955" s="89"/>
      <c r="H955" s="89"/>
      <c r="I955" s="89"/>
      <c r="J955" s="89"/>
      <c r="K955" s="89"/>
      <c r="L955" s="93"/>
      <c r="M955" s="93"/>
      <c r="N955" s="93"/>
      <c r="O955" s="93"/>
      <c r="P955" s="93"/>
      <c r="Q955" s="93"/>
      <c r="R955" s="93"/>
      <c r="S955" s="93"/>
      <c r="T955" s="93"/>
      <c r="U955" s="93"/>
      <c r="V955" s="93"/>
      <c r="W955" s="93"/>
    </row>
    <row r="956" spans="2:23" s="14" customFormat="1" ht="17.100000000000001" customHeight="1">
      <c r="B956" s="89"/>
      <c r="C956" s="90"/>
      <c r="D956" s="91"/>
      <c r="E956" s="92"/>
      <c r="F956" s="89"/>
      <c r="G956" s="89"/>
      <c r="H956" s="89"/>
      <c r="I956" s="89"/>
      <c r="J956" s="89"/>
      <c r="K956" s="89"/>
      <c r="L956" s="93"/>
      <c r="M956" s="93"/>
      <c r="N956" s="93"/>
      <c r="O956" s="93"/>
      <c r="P956" s="93"/>
      <c r="Q956" s="93"/>
      <c r="R956" s="93"/>
      <c r="S956" s="93"/>
      <c r="T956" s="93"/>
      <c r="U956" s="93"/>
      <c r="V956" s="93"/>
      <c r="W956" s="93"/>
    </row>
    <row r="957" spans="2:23" s="14" customFormat="1" ht="17.100000000000001" customHeight="1">
      <c r="B957" s="89"/>
      <c r="C957" s="90"/>
      <c r="D957" s="91"/>
      <c r="E957" s="92"/>
      <c r="F957" s="89"/>
      <c r="G957" s="89"/>
      <c r="H957" s="89"/>
      <c r="I957" s="89"/>
      <c r="J957" s="89"/>
      <c r="K957" s="89"/>
      <c r="L957" s="93"/>
      <c r="M957" s="93"/>
      <c r="N957" s="93"/>
      <c r="O957" s="93"/>
      <c r="P957" s="93"/>
      <c r="Q957" s="93"/>
      <c r="R957" s="93"/>
      <c r="S957" s="93"/>
      <c r="T957" s="93"/>
      <c r="U957" s="93"/>
      <c r="V957" s="93"/>
      <c r="W957" s="93"/>
    </row>
    <row r="958" spans="2:23" s="14" customFormat="1" ht="17.100000000000001" customHeight="1">
      <c r="B958" s="89"/>
      <c r="C958" s="90"/>
      <c r="D958" s="91"/>
      <c r="E958" s="92"/>
      <c r="F958" s="89"/>
      <c r="G958" s="89"/>
      <c r="H958" s="89"/>
      <c r="I958" s="89"/>
      <c r="J958" s="89"/>
      <c r="K958" s="89"/>
      <c r="L958" s="93"/>
      <c r="M958" s="93"/>
      <c r="N958" s="93"/>
      <c r="O958" s="93"/>
      <c r="P958" s="93"/>
      <c r="Q958" s="93"/>
      <c r="R958" s="93"/>
      <c r="S958" s="93"/>
      <c r="T958" s="93"/>
      <c r="U958" s="93"/>
      <c r="V958" s="93"/>
      <c r="W958" s="93"/>
    </row>
    <row r="959" spans="2:23" s="14" customFormat="1" ht="17.100000000000001" customHeight="1">
      <c r="B959" s="89"/>
      <c r="C959" s="90"/>
      <c r="D959" s="91"/>
      <c r="E959" s="92"/>
      <c r="F959" s="89"/>
      <c r="G959" s="89"/>
      <c r="H959" s="89"/>
      <c r="I959" s="89"/>
      <c r="J959" s="89"/>
      <c r="K959" s="89"/>
      <c r="L959" s="93"/>
      <c r="M959" s="93"/>
      <c r="N959" s="93"/>
      <c r="O959" s="93"/>
      <c r="P959" s="93"/>
      <c r="Q959" s="93"/>
      <c r="R959" s="93"/>
      <c r="S959" s="93"/>
      <c r="T959" s="93"/>
      <c r="U959" s="93"/>
      <c r="V959" s="93"/>
      <c r="W959" s="93"/>
    </row>
    <row r="960" spans="2:23" s="14" customFormat="1" ht="17.100000000000001" customHeight="1">
      <c r="B960" s="89"/>
      <c r="C960" s="90"/>
      <c r="D960" s="91"/>
      <c r="E960" s="92"/>
      <c r="F960" s="89"/>
      <c r="G960" s="89"/>
      <c r="H960" s="89"/>
      <c r="I960" s="89"/>
      <c r="J960" s="89"/>
      <c r="K960" s="89"/>
      <c r="L960" s="93"/>
      <c r="M960" s="93"/>
      <c r="N960" s="93"/>
      <c r="O960" s="93"/>
      <c r="P960" s="93"/>
      <c r="Q960" s="93"/>
      <c r="R960" s="93"/>
      <c r="S960" s="93"/>
      <c r="T960" s="93"/>
      <c r="U960" s="93"/>
      <c r="V960" s="93"/>
      <c r="W960" s="93"/>
    </row>
    <row r="961" spans="2:23" s="14" customFormat="1" ht="17.100000000000001" customHeight="1">
      <c r="B961" s="89"/>
      <c r="C961" s="90"/>
      <c r="D961" s="91"/>
      <c r="E961" s="92"/>
      <c r="F961" s="89"/>
      <c r="G961" s="89"/>
      <c r="H961" s="89"/>
      <c r="I961" s="89"/>
      <c r="J961" s="89"/>
      <c r="K961" s="89"/>
      <c r="L961" s="93"/>
      <c r="M961" s="93"/>
      <c r="N961" s="93"/>
      <c r="O961" s="93"/>
      <c r="P961" s="93"/>
      <c r="Q961" s="93"/>
      <c r="R961" s="93"/>
      <c r="S961" s="93"/>
      <c r="T961" s="93"/>
      <c r="U961" s="93"/>
      <c r="V961" s="93"/>
      <c r="W961" s="93"/>
    </row>
    <row r="962" spans="2:23" s="14" customFormat="1" ht="17.100000000000001" customHeight="1">
      <c r="B962" s="89"/>
      <c r="C962" s="90"/>
      <c r="D962" s="91"/>
      <c r="E962" s="92"/>
      <c r="F962" s="89"/>
      <c r="G962" s="89"/>
      <c r="H962" s="89"/>
      <c r="I962" s="89"/>
      <c r="J962" s="89"/>
      <c r="K962" s="89"/>
      <c r="L962" s="93"/>
      <c r="M962" s="93"/>
      <c r="N962" s="93"/>
      <c r="O962" s="93"/>
      <c r="P962" s="93"/>
      <c r="Q962" s="93"/>
      <c r="R962" s="93"/>
      <c r="S962" s="93"/>
      <c r="T962" s="93"/>
      <c r="U962" s="93"/>
      <c r="V962" s="93"/>
      <c r="W962" s="93"/>
    </row>
    <row r="963" spans="2:23" s="14" customFormat="1" ht="17.100000000000001" customHeight="1">
      <c r="B963" s="89"/>
      <c r="C963" s="90"/>
      <c r="D963" s="91"/>
      <c r="E963" s="92"/>
      <c r="F963" s="89"/>
      <c r="G963" s="89"/>
      <c r="H963" s="89"/>
      <c r="I963" s="89"/>
      <c r="J963" s="89"/>
      <c r="K963" s="89"/>
      <c r="L963" s="93"/>
      <c r="M963" s="93"/>
      <c r="N963" s="93"/>
      <c r="O963" s="93"/>
      <c r="P963" s="93"/>
      <c r="Q963" s="93"/>
      <c r="R963" s="93"/>
      <c r="S963" s="93"/>
      <c r="T963" s="93"/>
      <c r="U963" s="93"/>
      <c r="V963" s="93"/>
      <c r="W963" s="93"/>
    </row>
    <row r="964" spans="2:23" s="14" customFormat="1" ht="17.100000000000001" customHeight="1">
      <c r="B964" s="89"/>
      <c r="C964" s="90"/>
      <c r="D964" s="91"/>
      <c r="E964" s="92"/>
      <c r="F964" s="89"/>
      <c r="G964" s="89"/>
      <c r="H964" s="89"/>
      <c r="I964" s="89"/>
      <c r="J964" s="89"/>
      <c r="K964" s="89"/>
      <c r="L964" s="93"/>
      <c r="M964" s="93"/>
      <c r="N964" s="93"/>
      <c r="O964" s="93"/>
      <c r="P964" s="93"/>
      <c r="Q964" s="93"/>
      <c r="R964" s="93"/>
      <c r="S964" s="93"/>
      <c r="T964" s="93"/>
      <c r="U964" s="93"/>
      <c r="V964" s="93"/>
      <c r="W964" s="93"/>
    </row>
    <row r="965" spans="2:23" s="14" customFormat="1" ht="17.100000000000001" customHeight="1">
      <c r="B965" s="89"/>
      <c r="C965" s="90"/>
      <c r="D965" s="91"/>
      <c r="E965" s="92"/>
      <c r="F965" s="89"/>
      <c r="G965" s="89"/>
      <c r="H965" s="89"/>
      <c r="I965" s="89"/>
      <c r="J965" s="89"/>
      <c r="K965" s="89"/>
      <c r="L965" s="93"/>
      <c r="M965" s="93"/>
      <c r="N965" s="93"/>
      <c r="O965" s="93"/>
      <c r="P965" s="93"/>
      <c r="Q965" s="93"/>
      <c r="R965" s="93"/>
      <c r="S965" s="93"/>
      <c r="T965" s="93"/>
      <c r="U965" s="93"/>
      <c r="V965" s="93"/>
      <c r="W965" s="93"/>
    </row>
    <row r="966" spans="2:23" s="14" customFormat="1" ht="17.100000000000001" customHeight="1">
      <c r="B966" s="89"/>
      <c r="C966" s="90"/>
      <c r="D966" s="91"/>
      <c r="E966" s="92"/>
      <c r="F966" s="89"/>
      <c r="G966" s="89"/>
      <c r="H966" s="89"/>
      <c r="I966" s="89"/>
      <c r="J966" s="89"/>
      <c r="K966" s="89"/>
      <c r="L966" s="93"/>
      <c r="M966" s="93"/>
      <c r="N966" s="93"/>
      <c r="O966" s="93"/>
      <c r="P966" s="93"/>
      <c r="Q966" s="93"/>
      <c r="R966" s="93"/>
      <c r="S966" s="93"/>
      <c r="T966" s="93"/>
      <c r="U966" s="93"/>
      <c r="V966" s="93"/>
      <c r="W966" s="93"/>
    </row>
    <row r="967" spans="2:23" s="14" customFormat="1" ht="17.100000000000001" customHeight="1">
      <c r="B967" s="89"/>
      <c r="C967" s="90"/>
      <c r="D967" s="91"/>
      <c r="E967" s="92"/>
      <c r="F967" s="89"/>
      <c r="G967" s="89"/>
      <c r="H967" s="89"/>
      <c r="I967" s="89"/>
      <c r="J967" s="89"/>
      <c r="K967" s="89"/>
      <c r="L967" s="93"/>
      <c r="M967" s="93"/>
      <c r="N967" s="93"/>
      <c r="O967" s="93"/>
      <c r="P967" s="93"/>
      <c r="Q967" s="93"/>
      <c r="R967" s="93"/>
      <c r="S967" s="93"/>
      <c r="T967" s="93"/>
      <c r="U967" s="93"/>
      <c r="V967" s="93"/>
      <c r="W967" s="93"/>
    </row>
    <row r="968" spans="2:23" s="14" customFormat="1" ht="17.100000000000001" customHeight="1">
      <c r="B968" s="89"/>
      <c r="C968" s="90"/>
      <c r="D968" s="91"/>
      <c r="E968" s="92"/>
      <c r="F968" s="89"/>
      <c r="G968" s="89"/>
      <c r="H968" s="89"/>
      <c r="I968" s="89"/>
      <c r="J968" s="89"/>
      <c r="K968" s="89"/>
      <c r="L968" s="93"/>
      <c r="M968" s="93"/>
      <c r="N968" s="93"/>
      <c r="O968" s="93"/>
      <c r="P968" s="93"/>
      <c r="Q968" s="93"/>
      <c r="R968" s="93"/>
      <c r="S968" s="93"/>
      <c r="T968" s="93"/>
      <c r="U968" s="93"/>
      <c r="V968" s="93"/>
      <c r="W968" s="93"/>
    </row>
    <row r="969" spans="2:23" s="14" customFormat="1" ht="17.100000000000001" customHeight="1">
      <c r="B969" s="89"/>
      <c r="C969" s="90"/>
      <c r="D969" s="91"/>
      <c r="E969" s="92"/>
      <c r="F969" s="89"/>
      <c r="G969" s="89"/>
      <c r="H969" s="89"/>
      <c r="I969" s="89"/>
      <c r="J969" s="89"/>
      <c r="K969" s="89"/>
      <c r="L969" s="93"/>
      <c r="M969" s="93"/>
      <c r="N969" s="93"/>
      <c r="O969" s="93"/>
      <c r="P969" s="93"/>
      <c r="Q969" s="93"/>
      <c r="R969" s="93"/>
      <c r="S969" s="93"/>
      <c r="T969" s="93"/>
      <c r="U969" s="93"/>
      <c r="V969" s="93"/>
      <c r="W969" s="93"/>
    </row>
    <row r="970" spans="2:23" s="14" customFormat="1" ht="17.100000000000001" customHeight="1">
      <c r="B970" s="89"/>
      <c r="C970" s="90"/>
      <c r="D970" s="91"/>
      <c r="E970" s="92"/>
      <c r="F970" s="89"/>
      <c r="G970" s="89"/>
      <c r="H970" s="89"/>
      <c r="I970" s="89"/>
      <c r="J970" s="89"/>
      <c r="K970" s="89"/>
      <c r="L970" s="93"/>
      <c r="M970" s="93"/>
      <c r="N970" s="93"/>
      <c r="O970" s="93"/>
      <c r="P970" s="93"/>
      <c r="Q970" s="93"/>
      <c r="R970" s="93"/>
      <c r="S970" s="93"/>
      <c r="T970" s="93"/>
      <c r="U970" s="93"/>
      <c r="V970" s="93"/>
      <c r="W970" s="93"/>
    </row>
    <row r="971" spans="2:23" s="14" customFormat="1" ht="17.100000000000001" customHeight="1">
      <c r="B971" s="89"/>
      <c r="C971" s="90"/>
      <c r="D971" s="91"/>
      <c r="E971" s="92"/>
      <c r="F971" s="89"/>
      <c r="G971" s="89"/>
      <c r="H971" s="89"/>
      <c r="I971" s="89"/>
      <c r="J971" s="89"/>
      <c r="K971" s="89"/>
      <c r="L971" s="93"/>
      <c r="M971" s="93"/>
      <c r="N971" s="93"/>
      <c r="O971" s="93"/>
      <c r="P971" s="93"/>
      <c r="Q971" s="93"/>
      <c r="R971" s="93"/>
      <c r="S971" s="93"/>
      <c r="T971" s="93"/>
      <c r="U971" s="93"/>
      <c r="V971" s="93"/>
      <c r="W971" s="93"/>
    </row>
    <row r="972" spans="2:23" s="14" customFormat="1" ht="17.100000000000001" customHeight="1">
      <c r="B972" s="89"/>
      <c r="C972" s="90"/>
      <c r="D972" s="91"/>
      <c r="E972" s="92"/>
      <c r="F972" s="89"/>
      <c r="G972" s="89"/>
      <c r="H972" s="89"/>
      <c r="I972" s="89"/>
      <c r="J972" s="89"/>
      <c r="K972" s="89"/>
      <c r="L972" s="93"/>
      <c r="M972" s="93"/>
      <c r="N972" s="93"/>
      <c r="O972" s="93"/>
      <c r="P972" s="93"/>
      <c r="Q972" s="93"/>
      <c r="R972" s="93"/>
      <c r="S972" s="93"/>
      <c r="T972" s="93"/>
      <c r="U972" s="93"/>
      <c r="V972" s="93"/>
      <c r="W972" s="93"/>
    </row>
    <row r="973" spans="2:23" s="14" customFormat="1" ht="17.100000000000001" customHeight="1">
      <c r="B973" s="89"/>
      <c r="C973" s="90"/>
      <c r="D973" s="91"/>
      <c r="E973" s="92"/>
      <c r="F973" s="89"/>
      <c r="G973" s="89"/>
      <c r="H973" s="89"/>
      <c r="I973" s="89"/>
      <c r="J973" s="89"/>
      <c r="K973" s="89"/>
      <c r="L973" s="93"/>
      <c r="M973" s="93"/>
      <c r="N973" s="93"/>
      <c r="O973" s="93"/>
      <c r="P973" s="93"/>
      <c r="Q973" s="93"/>
      <c r="R973" s="93"/>
      <c r="S973" s="93"/>
      <c r="T973" s="93"/>
      <c r="U973" s="93"/>
      <c r="V973" s="93"/>
      <c r="W973" s="93"/>
    </row>
    <row r="974" spans="2:23" s="14" customFormat="1" ht="17.100000000000001" customHeight="1">
      <c r="B974" s="89"/>
      <c r="C974" s="90"/>
      <c r="D974" s="91"/>
      <c r="E974" s="92"/>
      <c r="F974" s="89"/>
      <c r="G974" s="89"/>
      <c r="H974" s="89"/>
      <c r="I974" s="89"/>
      <c r="J974" s="89"/>
      <c r="K974" s="89"/>
      <c r="L974" s="93"/>
      <c r="M974" s="93"/>
      <c r="N974" s="93"/>
      <c r="O974" s="93"/>
      <c r="P974" s="93"/>
      <c r="Q974" s="93"/>
      <c r="R974" s="93"/>
      <c r="S974" s="93"/>
      <c r="T974" s="93"/>
      <c r="U974" s="93"/>
      <c r="V974" s="93"/>
      <c r="W974" s="93"/>
    </row>
    <row r="975" spans="2:23" s="14" customFormat="1" ht="17.100000000000001" customHeight="1">
      <c r="B975" s="89"/>
      <c r="C975" s="90"/>
      <c r="D975" s="91"/>
      <c r="E975" s="92"/>
      <c r="F975" s="89"/>
      <c r="G975" s="89"/>
      <c r="H975" s="89"/>
      <c r="I975" s="89"/>
      <c r="J975" s="89"/>
      <c r="K975" s="89"/>
      <c r="L975" s="93"/>
      <c r="M975" s="93"/>
      <c r="N975" s="93"/>
      <c r="O975" s="93"/>
      <c r="P975" s="93"/>
      <c r="Q975" s="93"/>
      <c r="R975" s="93"/>
      <c r="S975" s="93"/>
      <c r="T975" s="93"/>
      <c r="U975" s="93"/>
      <c r="V975" s="93"/>
      <c r="W975" s="93"/>
    </row>
    <row r="976" spans="2:23" s="14" customFormat="1" ht="17.100000000000001" customHeight="1">
      <c r="B976" s="89"/>
      <c r="C976" s="90"/>
      <c r="D976" s="91"/>
      <c r="E976" s="92"/>
      <c r="F976" s="89"/>
      <c r="G976" s="89"/>
      <c r="H976" s="89"/>
      <c r="I976" s="89"/>
      <c r="J976" s="89"/>
      <c r="K976" s="89"/>
      <c r="L976" s="93"/>
      <c r="M976" s="93"/>
      <c r="N976" s="93"/>
      <c r="O976" s="93"/>
      <c r="P976" s="93"/>
      <c r="Q976" s="93"/>
      <c r="R976" s="93"/>
      <c r="S976" s="93"/>
      <c r="T976" s="93"/>
      <c r="U976" s="93"/>
      <c r="V976" s="93"/>
      <c r="W976" s="93"/>
    </row>
    <row r="977" spans="2:23" s="14" customFormat="1" ht="17.100000000000001" customHeight="1">
      <c r="B977" s="89"/>
      <c r="C977" s="90"/>
      <c r="D977" s="91"/>
      <c r="E977" s="92"/>
      <c r="F977" s="89"/>
      <c r="G977" s="89"/>
      <c r="H977" s="89"/>
      <c r="I977" s="89"/>
      <c r="J977" s="89"/>
      <c r="K977" s="89"/>
      <c r="L977" s="93"/>
      <c r="M977" s="93"/>
      <c r="N977" s="93"/>
      <c r="O977" s="93"/>
      <c r="P977" s="93"/>
      <c r="Q977" s="93"/>
      <c r="R977" s="93"/>
      <c r="S977" s="93"/>
      <c r="T977" s="93"/>
      <c r="U977" s="93"/>
      <c r="V977" s="93"/>
      <c r="W977" s="93"/>
    </row>
    <row r="978" spans="2:23" s="14" customFormat="1" ht="17.100000000000001" customHeight="1">
      <c r="B978" s="89"/>
      <c r="C978" s="90"/>
      <c r="D978" s="91"/>
      <c r="E978" s="92"/>
      <c r="F978" s="89"/>
      <c r="G978" s="89"/>
      <c r="H978" s="89"/>
      <c r="I978" s="89"/>
      <c r="J978" s="89"/>
      <c r="K978" s="89"/>
      <c r="L978" s="93"/>
      <c r="M978" s="93"/>
      <c r="N978" s="93"/>
      <c r="O978" s="93"/>
      <c r="P978" s="93"/>
      <c r="Q978" s="93"/>
      <c r="R978" s="93"/>
      <c r="S978" s="93"/>
      <c r="T978" s="93"/>
      <c r="U978" s="93"/>
      <c r="V978" s="93"/>
      <c r="W978" s="93"/>
    </row>
    <row r="979" spans="2:23" s="14" customFormat="1" ht="17.100000000000001" customHeight="1">
      <c r="B979" s="89"/>
      <c r="C979" s="90"/>
      <c r="D979" s="91"/>
      <c r="E979" s="92"/>
      <c r="F979" s="89"/>
      <c r="G979" s="89"/>
      <c r="H979" s="89"/>
      <c r="I979" s="89"/>
      <c r="J979" s="89"/>
      <c r="K979" s="89"/>
      <c r="L979" s="93"/>
      <c r="M979" s="93"/>
      <c r="N979" s="93"/>
      <c r="O979" s="93"/>
      <c r="P979" s="93"/>
      <c r="Q979" s="93"/>
      <c r="R979" s="93"/>
      <c r="S979" s="93"/>
      <c r="T979" s="93"/>
      <c r="U979" s="93"/>
      <c r="V979" s="93"/>
      <c r="W979" s="93"/>
    </row>
    <row r="980" spans="2:23" s="14" customFormat="1" ht="17.100000000000001" customHeight="1">
      <c r="B980" s="89"/>
      <c r="C980" s="90"/>
      <c r="D980" s="91"/>
      <c r="E980" s="92"/>
      <c r="F980" s="89"/>
      <c r="G980" s="89"/>
      <c r="H980" s="89"/>
      <c r="I980" s="89"/>
      <c r="J980" s="89"/>
      <c r="K980" s="89"/>
      <c r="L980" s="93"/>
      <c r="M980" s="93"/>
      <c r="N980" s="93"/>
      <c r="O980" s="93"/>
      <c r="P980" s="93"/>
      <c r="Q980" s="93"/>
      <c r="R980" s="93"/>
      <c r="S980" s="93"/>
      <c r="T980" s="93"/>
      <c r="U980" s="93"/>
      <c r="V980" s="93"/>
      <c r="W980" s="93"/>
    </row>
    <row r="981" spans="2:23" s="14" customFormat="1" ht="17.100000000000001" customHeight="1">
      <c r="B981" s="89"/>
      <c r="C981" s="90"/>
      <c r="D981" s="91"/>
      <c r="E981" s="92"/>
      <c r="F981" s="89"/>
      <c r="G981" s="89"/>
      <c r="H981" s="89"/>
      <c r="I981" s="89"/>
      <c r="J981" s="89"/>
      <c r="K981" s="89"/>
      <c r="L981" s="93"/>
      <c r="M981" s="93"/>
      <c r="N981" s="93"/>
      <c r="O981" s="93"/>
      <c r="P981" s="93"/>
      <c r="Q981" s="93"/>
      <c r="R981" s="93"/>
      <c r="S981" s="93"/>
      <c r="T981" s="93"/>
      <c r="U981" s="93"/>
      <c r="V981" s="93"/>
      <c r="W981" s="93"/>
    </row>
    <row r="982" spans="2:23" s="14" customFormat="1" ht="17.100000000000001" customHeight="1">
      <c r="B982" s="89"/>
      <c r="C982" s="90"/>
      <c r="D982" s="91"/>
      <c r="E982" s="92"/>
      <c r="F982" s="89"/>
      <c r="G982" s="89"/>
      <c r="H982" s="89"/>
      <c r="I982" s="89"/>
      <c r="J982" s="89"/>
      <c r="K982" s="89"/>
      <c r="L982" s="93"/>
      <c r="M982" s="93"/>
      <c r="N982" s="93"/>
      <c r="O982" s="93"/>
      <c r="P982" s="93"/>
      <c r="Q982" s="93"/>
      <c r="R982" s="93"/>
      <c r="S982" s="93"/>
      <c r="T982" s="93"/>
      <c r="U982" s="93"/>
      <c r="V982" s="93"/>
      <c r="W982" s="93"/>
    </row>
    <row r="983" spans="2:23" s="14" customFormat="1" ht="17.100000000000001" customHeight="1">
      <c r="B983" s="89"/>
      <c r="C983" s="90"/>
      <c r="D983" s="91"/>
      <c r="E983" s="92"/>
      <c r="F983" s="89"/>
      <c r="G983" s="89"/>
      <c r="H983" s="89"/>
      <c r="I983" s="89"/>
      <c r="J983" s="89"/>
      <c r="K983" s="89"/>
      <c r="L983" s="93"/>
      <c r="M983" s="93"/>
      <c r="N983" s="93"/>
      <c r="O983" s="93"/>
      <c r="P983" s="93"/>
      <c r="Q983" s="93"/>
      <c r="R983" s="93"/>
      <c r="S983" s="93"/>
      <c r="T983" s="93"/>
      <c r="U983" s="93"/>
      <c r="V983" s="93"/>
      <c r="W983" s="93"/>
    </row>
    <row r="984" spans="2:23" s="14" customFormat="1" ht="17.100000000000001" customHeight="1">
      <c r="B984" s="89"/>
      <c r="C984" s="90"/>
      <c r="D984" s="91"/>
      <c r="E984" s="92"/>
      <c r="F984" s="89"/>
      <c r="G984" s="89"/>
      <c r="H984" s="89"/>
      <c r="I984" s="89"/>
      <c r="J984" s="89"/>
      <c r="K984" s="89"/>
      <c r="L984" s="93"/>
      <c r="M984" s="93"/>
      <c r="N984" s="93"/>
      <c r="O984" s="93"/>
      <c r="P984" s="93"/>
      <c r="Q984" s="93"/>
      <c r="R984" s="93"/>
      <c r="S984" s="93"/>
      <c r="T984" s="93"/>
      <c r="U984" s="93"/>
      <c r="V984" s="93"/>
      <c r="W984" s="93"/>
    </row>
    <row r="985" spans="2:23" s="14" customFormat="1" ht="17.100000000000001" customHeight="1">
      <c r="B985" s="89"/>
      <c r="C985" s="90"/>
      <c r="D985" s="91"/>
      <c r="E985" s="92"/>
      <c r="F985" s="89"/>
      <c r="G985" s="89"/>
      <c r="H985" s="89"/>
      <c r="I985" s="89"/>
      <c r="J985" s="89"/>
      <c r="K985" s="89"/>
      <c r="L985" s="93"/>
      <c r="M985" s="93"/>
      <c r="N985" s="93"/>
      <c r="O985" s="93"/>
      <c r="P985" s="93"/>
      <c r="Q985" s="93"/>
      <c r="R985" s="93"/>
      <c r="S985" s="93"/>
      <c r="T985" s="93"/>
      <c r="U985" s="93"/>
      <c r="V985" s="93"/>
      <c r="W985" s="93"/>
    </row>
    <row r="986" spans="2:23" s="14" customFormat="1" ht="17.100000000000001" customHeight="1">
      <c r="B986" s="89"/>
      <c r="C986" s="90"/>
      <c r="D986" s="91"/>
      <c r="E986" s="92"/>
      <c r="F986" s="89"/>
      <c r="G986" s="89"/>
      <c r="H986" s="89"/>
      <c r="I986" s="89"/>
      <c r="J986" s="89"/>
      <c r="K986" s="89"/>
      <c r="L986" s="93"/>
      <c r="M986" s="93"/>
      <c r="N986" s="93"/>
      <c r="O986" s="93"/>
      <c r="P986" s="93"/>
      <c r="Q986" s="93"/>
      <c r="R986" s="93"/>
      <c r="S986" s="93"/>
      <c r="T986" s="93"/>
      <c r="U986" s="93"/>
      <c r="V986" s="93"/>
      <c r="W986" s="93"/>
    </row>
    <row r="987" spans="2:23" s="14" customFormat="1" ht="17.100000000000001" customHeight="1">
      <c r="B987" s="89"/>
      <c r="C987" s="90"/>
      <c r="D987" s="91"/>
      <c r="E987" s="92"/>
      <c r="F987" s="89"/>
      <c r="G987" s="89"/>
      <c r="H987" s="89"/>
      <c r="I987" s="89"/>
      <c r="J987" s="89"/>
      <c r="K987" s="89"/>
      <c r="L987" s="93"/>
      <c r="M987" s="93"/>
      <c r="N987" s="93"/>
      <c r="O987" s="93"/>
      <c r="P987" s="93"/>
      <c r="Q987" s="93"/>
      <c r="R987" s="93"/>
      <c r="S987" s="93"/>
      <c r="T987" s="93"/>
      <c r="U987" s="93"/>
      <c r="V987" s="93"/>
      <c r="W987" s="93"/>
    </row>
    <row r="988" spans="2:23" s="14" customFormat="1" ht="17.100000000000001" customHeight="1">
      <c r="B988" s="89"/>
      <c r="C988" s="90"/>
      <c r="D988" s="91"/>
      <c r="E988" s="92"/>
      <c r="F988" s="89"/>
      <c r="G988" s="89"/>
      <c r="H988" s="89"/>
      <c r="I988" s="89"/>
      <c r="J988" s="89"/>
      <c r="K988" s="89"/>
      <c r="L988" s="93"/>
      <c r="M988" s="93"/>
      <c r="N988" s="93"/>
      <c r="O988" s="93"/>
      <c r="P988" s="93"/>
      <c r="Q988" s="93"/>
      <c r="R988" s="93"/>
      <c r="S988" s="93"/>
      <c r="T988" s="93"/>
      <c r="U988" s="93"/>
      <c r="V988" s="93"/>
      <c r="W988" s="93"/>
    </row>
    <row r="989" spans="2:23" s="14" customFormat="1" ht="17.100000000000001" customHeight="1">
      <c r="B989" s="89"/>
      <c r="C989" s="90"/>
      <c r="D989" s="91"/>
      <c r="E989" s="92"/>
      <c r="F989" s="89"/>
      <c r="G989" s="89"/>
      <c r="H989" s="89"/>
      <c r="I989" s="89"/>
      <c r="J989" s="89"/>
      <c r="K989" s="89"/>
      <c r="L989" s="93"/>
      <c r="M989" s="93"/>
      <c r="N989" s="93"/>
      <c r="O989" s="93"/>
      <c r="P989" s="93"/>
      <c r="Q989" s="93"/>
      <c r="R989" s="93"/>
      <c r="S989" s="93"/>
      <c r="T989" s="93"/>
      <c r="U989" s="93"/>
      <c r="V989" s="93"/>
      <c r="W989" s="93"/>
    </row>
    <row r="990" spans="2:23" s="14" customFormat="1" ht="17.100000000000001" customHeight="1">
      <c r="B990" s="89"/>
      <c r="C990" s="90"/>
      <c r="D990" s="91"/>
      <c r="E990" s="92"/>
      <c r="F990" s="89"/>
      <c r="G990" s="89"/>
      <c r="H990" s="89"/>
      <c r="I990" s="89"/>
      <c r="J990" s="89"/>
      <c r="K990" s="89"/>
      <c r="L990" s="93"/>
      <c r="M990" s="93"/>
      <c r="N990" s="93"/>
      <c r="O990" s="93"/>
      <c r="P990" s="93"/>
      <c r="Q990" s="93"/>
      <c r="R990" s="93"/>
      <c r="S990" s="93"/>
      <c r="T990" s="93"/>
      <c r="U990" s="93"/>
      <c r="V990" s="93"/>
      <c r="W990" s="93"/>
    </row>
    <row r="991" spans="2:23" s="14" customFormat="1" ht="17.100000000000001" customHeight="1">
      <c r="B991" s="89"/>
      <c r="C991" s="90"/>
      <c r="D991" s="91"/>
      <c r="E991" s="92"/>
      <c r="F991" s="89"/>
      <c r="G991" s="89"/>
      <c r="H991" s="89"/>
      <c r="I991" s="89"/>
      <c r="J991" s="89"/>
      <c r="K991" s="89"/>
      <c r="L991" s="93"/>
      <c r="M991" s="93"/>
      <c r="N991" s="93"/>
      <c r="O991" s="93"/>
      <c r="P991" s="93"/>
      <c r="Q991" s="93"/>
      <c r="R991" s="93"/>
      <c r="S991" s="93"/>
      <c r="T991" s="93"/>
      <c r="U991" s="93"/>
      <c r="V991" s="93"/>
      <c r="W991" s="93"/>
    </row>
    <row r="992" spans="2:23" s="14" customFormat="1" ht="17.100000000000001" customHeight="1">
      <c r="B992" s="89"/>
      <c r="C992" s="90"/>
      <c r="D992" s="91"/>
      <c r="E992" s="92"/>
      <c r="F992" s="89"/>
      <c r="G992" s="89"/>
      <c r="H992" s="89"/>
      <c r="I992" s="89"/>
      <c r="J992" s="89"/>
      <c r="K992" s="89"/>
      <c r="L992" s="93"/>
      <c r="M992" s="93"/>
      <c r="N992" s="93"/>
      <c r="O992" s="93"/>
      <c r="P992" s="93"/>
      <c r="Q992" s="93"/>
      <c r="R992" s="93"/>
      <c r="S992" s="93"/>
      <c r="T992" s="93"/>
      <c r="U992" s="93"/>
      <c r="V992" s="93"/>
      <c r="W992" s="93"/>
    </row>
    <row r="993" spans="2:23" s="14" customFormat="1" ht="17.100000000000001" customHeight="1">
      <c r="B993" s="89"/>
      <c r="C993" s="90"/>
      <c r="D993" s="91"/>
      <c r="E993" s="92"/>
      <c r="F993" s="89"/>
      <c r="G993" s="89"/>
      <c r="H993" s="89"/>
      <c r="I993" s="89"/>
      <c r="J993" s="89"/>
      <c r="K993" s="89"/>
      <c r="L993" s="93"/>
      <c r="M993" s="93"/>
      <c r="N993" s="93"/>
      <c r="O993" s="93"/>
      <c r="P993" s="93"/>
      <c r="Q993" s="93"/>
      <c r="R993" s="93"/>
      <c r="S993" s="93"/>
      <c r="T993" s="93"/>
      <c r="U993" s="93"/>
      <c r="V993" s="93"/>
      <c r="W993" s="93"/>
    </row>
    <row r="994" spans="2:23" s="14" customFormat="1" ht="17.100000000000001" customHeight="1">
      <c r="B994" s="89"/>
      <c r="C994" s="90"/>
      <c r="D994" s="91"/>
      <c r="E994" s="92"/>
      <c r="F994" s="89"/>
      <c r="G994" s="89"/>
      <c r="H994" s="89"/>
      <c r="I994" s="89"/>
      <c r="J994" s="89"/>
      <c r="K994" s="89"/>
      <c r="L994" s="93"/>
      <c r="M994" s="93"/>
      <c r="N994" s="93"/>
      <c r="O994" s="93"/>
      <c r="P994" s="93"/>
      <c r="Q994" s="93"/>
      <c r="R994" s="93"/>
      <c r="S994" s="93"/>
      <c r="T994" s="93"/>
      <c r="U994" s="93"/>
      <c r="V994" s="93"/>
      <c r="W994" s="93"/>
    </row>
    <row r="995" spans="2:23" s="14" customFormat="1" ht="17.100000000000001" customHeight="1">
      <c r="B995" s="89"/>
      <c r="C995" s="90"/>
      <c r="D995" s="91"/>
      <c r="E995" s="92"/>
      <c r="F995" s="89"/>
      <c r="G995" s="89"/>
      <c r="H995" s="89"/>
      <c r="I995" s="89"/>
      <c r="J995" s="89"/>
      <c r="K995" s="89"/>
      <c r="L995" s="93"/>
      <c r="M995" s="93"/>
      <c r="N995" s="93"/>
      <c r="O995" s="93"/>
      <c r="P995" s="93"/>
      <c r="Q995" s="93"/>
      <c r="R995" s="93"/>
      <c r="S995" s="93"/>
      <c r="T995" s="93"/>
      <c r="U995" s="93"/>
      <c r="V995" s="93"/>
      <c r="W995" s="93"/>
    </row>
    <row r="996" spans="2:23" s="14" customFormat="1" ht="17.100000000000001" customHeight="1">
      <c r="B996" s="89"/>
      <c r="C996" s="90"/>
      <c r="D996" s="91"/>
      <c r="E996" s="92"/>
      <c r="F996" s="89"/>
      <c r="G996" s="89"/>
      <c r="H996" s="89"/>
      <c r="I996" s="89"/>
      <c r="J996" s="89"/>
      <c r="K996" s="89"/>
      <c r="L996" s="93"/>
      <c r="M996" s="93"/>
      <c r="N996" s="93"/>
      <c r="O996" s="93"/>
      <c r="P996" s="93"/>
      <c r="Q996" s="93"/>
      <c r="R996" s="93"/>
      <c r="S996" s="93"/>
      <c r="T996" s="93"/>
      <c r="U996" s="93"/>
      <c r="V996" s="93"/>
      <c r="W996" s="93"/>
    </row>
    <row r="997" spans="2:23" s="14" customFormat="1" ht="17.100000000000001" customHeight="1">
      <c r="B997" s="89"/>
      <c r="C997" s="90"/>
      <c r="D997" s="91"/>
      <c r="E997" s="92"/>
      <c r="F997" s="89"/>
      <c r="G997" s="89"/>
      <c r="H997" s="89"/>
      <c r="I997" s="89"/>
      <c r="J997" s="89"/>
      <c r="K997" s="89"/>
      <c r="L997" s="93"/>
      <c r="M997" s="93"/>
      <c r="N997" s="93"/>
      <c r="O997" s="93"/>
      <c r="P997" s="93"/>
      <c r="Q997" s="93"/>
      <c r="R997" s="93"/>
      <c r="S997" s="93"/>
      <c r="T997" s="93"/>
      <c r="U997" s="93"/>
      <c r="V997" s="93"/>
      <c r="W997" s="93"/>
    </row>
    <row r="998" spans="2:23" s="14" customFormat="1" ht="17.100000000000001" customHeight="1">
      <c r="B998" s="89"/>
      <c r="C998" s="90"/>
      <c r="D998" s="91"/>
      <c r="E998" s="92"/>
      <c r="F998" s="89"/>
      <c r="G998" s="89"/>
      <c r="H998" s="89"/>
      <c r="I998" s="89"/>
      <c r="J998" s="89"/>
      <c r="K998" s="89"/>
      <c r="L998" s="93"/>
      <c r="M998" s="93"/>
      <c r="N998" s="93"/>
      <c r="O998" s="93"/>
      <c r="P998" s="93"/>
      <c r="Q998" s="93"/>
      <c r="R998" s="93"/>
      <c r="S998" s="93"/>
      <c r="T998" s="93"/>
      <c r="U998" s="93"/>
      <c r="V998" s="93"/>
      <c r="W998" s="93"/>
    </row>
    <row r="999" spans="2:23" s="14" customFormat="1" ht="17.100000000000001" customHeight="1">
      <c r="B999" s="89"/>
      <c r="C999" s="90"/>
      <c r="D999" s="91"/>
      <c r="E999" s="92"/>
      <c r="F999" s="89"/>
      <c r="G999" s="89"/>
      <c r="H999" s="89"/>
      <c r="I999" s="89"/>
      <c r="J999" s="89"/>
      <c r="K999" s="89"/>
      <c r="L999" s="93"/>
      <c r="M999" s="93"/>
      <c r="N999" s="93"/>
      <c r="O999" s="93"/>
      <c r="P999" s="93"/>
      <c r="Q999" s="93"/>
      <c r="R999" s="93"/>
      <c r="S999" s="93"/>
      <c r="T999" s="93"/>
      <c r="U999" s="93"/>
      <c r="V999" s="93"/>
      <c r="W999" s="93"/>
    </row>
    <row r="1000" spans="2:23" s="14" customFormat="1" ht="17.100000000000001" customHeight="1">
      <c r="B1000" s="89"/>
      <c r="C1000" s="90"/>
      <c r="D1000" s="91"/>
      <c r="E1000" s="92"/>
      <c r="F1000" s="89"/>
      <c r="G1000" s="89"/>
      <c r="H1000" s="89"/>
      <c r="I1000" s="89"/>
      <c r="J1000" s="89"/>
      <c r="K1000" s="89"/>
      <c r="L1000" s="93"/>
      <c r="M1000" s="93"/>
      <c r="N1000" s="93"/>
      <c r="O1000" s="93"/>
      <c r="P1000" s="93"/>
      <c r="Q1000" s="93"/>
      <c r="R1000" s="93"/>
      <c r="S1000" s="93"/>
      <c r="T1000" s="93"/>
      <c r="U1000" s="93"/>
      <c r="V1000" s="93"/>
      <c r="W1000" s="93"/>
    </row>
    <row r="1001" spans="2:23" s="14" customFormat="1" ht="17.100000000000001" customHeight="1">
      <c r="B1001" s="89"/>
      <c r="C1001" s="90"/>
      <c r="D1001" s="91"/>
      <c r="E1001" s="92"/>
      <c r="F1001" s="89"/>
      <c r="G1001" s="89"/>
      <c r="H1001" s="89"/>
      <c r="I1001" s="89"/>
      <c r="J1001" s="89"/>
      <c r="K1001" s="89"/>
      <c r="L1001" s="93"/>
      <c r="M1001" s="93"/>
      <c r="N1001" s="93"/>
      <c r="O1001" s="93"/>
      <c r="P1001" s="93"/>
      <c r="Q1001" s="93"/>
      <c r="R1001" s="93"/>
      <c r="S1001" s="93"/>
      <c r="T1001" s="93"/>
      <c r="U1001" s="93"/>
      <c r="V1001" s="93"/>
      <c r="W1001" s="93"/>
    </row>
    <row r="1002" spans="2:23" s="14" customFormat="1" ht="17.100000000000001" customHeight="1">
      <c r="B1002" s="89"/>
      <c r="C1002" s="90"/>
      <c r="D1002" s="91"/>
      <c r="E1002" s="92"/>
      <c r="F1002" s="89"/>
      <c r="G1002" s="89"/>
      <c r="H1002" s="89"/>
      <c r="I1002" s="89"/>
      <c r="J1002" s="89"/>
      <c r="K1002" s="89"/>
      <c r="L1002" s="93"/>
      <c r="M1002" s="93"/>
      <c r="N1002" s="93"/>
      <c r="O1002" s="93"/>
      <c r="P1002" s="93"/>
      <c r="Q1002" s="93"/>
      <c r="R1002" s="93"/>
      <c r="S1002" s="93"/>
      <c r="T1002" s="93"/>
      <c r="U1002" s="93"/>
      <c r="V1002" s="93"/>
      <c r="W1002" s="93"/>
    </row>
    <row r="1003" spans="2:23" s="14" customFormat="1" ht="17.100000000000001" customHeight="1">
      <c r="B1003" s="89"/>
      <c r="C1003" s="90"/>
      <c r="D1003" s="91"/>
      <c r="E1003" s="92"/>
      <c r="F1003" s="89"/>
      <c r="G1003" s="89"/>
      <c r="H1003" s="89"/>
      <c r="I1003" s="89"/>
      <c r="J1003" s="89"/>
      <c r="K1003" s="89"/>
      <c r="L1003" s="93"/>
      <c r="M1003" s="93"/>
      <c r="N1003" s="93"/>
      <c r="O1003" s="93"/>
      <c r="P1003" s="93"/>
      <c r="Q1003" s="93"/>
      <c r="R1003" s="93"/>
      <c r="S1003" s="93"/>
      <c r="T1003" s="93"/>
      <c r="U1003" s="93"/>
      <c r="V1003" s="93"/>
      <c r="W1003" s="93"/>
    </row>
    <row r="1004" spans="2:23" s="14" customFormat="1" ht="17.100000000000001" customHeight="1">
      <c r="B1004" s="89"/>
      <c r="C1004" s="90"/>
      <c r="D1004" s="91"/>
      <c r="E1004" s="92"/>
      <c r="F1004" s="89"/>
      <c r="G1004" s="89"/>
      <c r="H1004" s="89"/>
      <c r="I1004" s="89"/>
      <c r="J1004" s="89"/>
      <c r="K1004" s="89"/>
      <c r="L1004" s="93"/>
      <c r="M1004" s="93"/>
      <c r="N1004" s="93"/>
      <c r="O1004" s="93"/>
      <c r="P1004" s="93"/>
      <c r="Q1004" s="93"/>
      <c r="R1004" s="93"/>
      <c r="S1004" s="93"/>
      <c r="T1004" s="93"/>
      <c r="U1004" s="93"/>
      <c r="V1004" s="93"/>
      <c r="W1004" s="93"/>
    </row>
    <row r="1005" spans="2:23" s="14" customFormat="1" ht="17.100000000000001" customHeight="1">
      <c r="B1005" s="89"/>
      <c r="C1005" s="90"/>
      <c r="D1005" s="91"/>
      <c r="E1005" s="92"/>
      <c r="F1005" s="89"/>
      <c r="G1005" s="89"/>
      <c r="H1005" s="89"/>
      <c r="I1005" s="89"/>
      <c r="J1005" s="89"/>
      <c r="K1005" s="89"/>
      <c r="L1005" s="93"/>
      <c r="M1005" s="93"/>
      <c r="N1005" s="93"/>
      <c r="O1005" s="93"/>
      <c r="P1005" s="93"/>
      <c r="Q1005" s="93"/>
      <c r="R1005" s="93"/>
      <c r="S1005" s="93"/>
      <c r="T1005" s="93"/>
      <c r="U1005" s="93"/>
      <c r="V1005" s="93"/>
      <c r="W1005" s="93"/>
    </row>
    <row r="1006" spans="2:23" s="14" customFormat="1" ht="17.100000000000001" customHeight="1">
      <c r="B1006" s="89"/>
      <c r="C1006" s="90"/>
      <c r="D1006" s="91"/>
      <c r="E1006" s="92"/>
      <c r="F1006" s="89"/>
      <c r="G1006" s="89"/>
      <c r="H1006" s="89"/>
      <c r="I1006" s="89"/>
      <c r="J1006" s="89"/>
      <c r="K1006" s="89"/>
      <c r="L1006" s="93"/>
      <c r="M1006" s="93"/>
      <c r="N1006" s="93"/>
      <c r="O1006" s="93"/>
      <c r="P1006" s="93"/>
      <c r="Q1006" s="93"/>
      <c r="R1006" s="93"/>
      <c r="S1006" s="93"/>
      <c r="T1006" s="93"/>
      <c r="U1006" s="93"/>
      <c r="V1006" s="93"/>
      <c r="W1006" s="93"/>
    </row>
    <row r="1007" spans="2:23" s="14" customFormat="1" ht="17.100000000000001" customHeight="1">
      <c r="B1007" s="89"/>
      <c r="C1007" s="90"/>
      <c r="D1007" s="91"/>
      <c r="E1007" s="92"/>
      <c r="F1007" s="89"/>
      <c r="G1007" s="89"/>
      <c r="H1007" s="89"/>
      <c r="I1007" s="89"/>
      <c r="J1007" s="89"/>
      <c r="K1007" s="89"/>
      <c r="L1007" s="93"/>
      <c r="M1007" s="93"/>
      <c r="N1007" s="93"/>
      <c r="O1007" s="93"/>
      <c r="P1007" s="93"/>
      <c r="Q1007" s="93"/>
      <c r="R1007" s="93"/>
      <c r="S1007" s="93"/>
      <c r="T1007" s="93"/>
      <c r="U1007" s="93"/>
      <c r="V1007" s="93"/>
      <c r="W1007" s="93"/>
    </row>
    <row r="1008" spans="2:23" s="14" customFormat="1" ht="17.100000000000001" customHeight="1">
      <c r="B1008" s="89"/>
      <c r="C1008" s="90"/>
      <c r="D1008" s="91"/>
      <c r="E1008" s="92"/>
      <c r="F1008" s="89"/>
      <c r="G1008" s="89"/>
      <c r="H1008" s="89"/>
      <c r="I1008" s="89"/>
      <c r="J1008" s="89"/>
      <c r="K1008" s="89"/>
      <c r="L1008" s="93"/>
      <c r="M1008" s="93"/>
      <c r="N1008" s="93"/>
      <c r="O1008" s="93"/>
      <c r="P1008" s="93"/>
      <c r="Q1008" s="93"/>
      <c r="R1008" s="93"/>
      <c r="S1008" s="93"/>
      <c r="T1008" s="93"/>
      <c r="U1008" s="93"/>
      <c r="V1008" s="93"/>
      <c r="W1008" s="93"/>
    </row>
    <row r="1009" spans="2:23" s="14" customFormat="1" ht="17.100000000000001" customHeight="1">
      <c r="B1009" s="89"/>
      <c r="C1009" s="90"/>
      <c r="D1009" s="91"/>
      <c r="E1009" s="92"/>
      <c r="F1009" s="89"/>
      <c r="G1009" s="89"/>
      <c r="H1009" s="89"/>
      <c r="I1009" s="89"/>
      <c r="J1009" s="89"/>
      <c r="K1009" s="89"/>
      <c r="L1009" s="93"/>
      <c r="M1009" s="93"/>
      <c r="N1009" s="93"/>
      <c r="O1009" s="93"/>
      <c r="P1009" s="93"/>
      <c r="Q1009" s="93"/>
      <c r="R1009" s="93"/>
      <c r="S1009" s="93"/>
      <c r="T1009" s="93"/>
      <c r="U1009" s="93"/>
      <c r="V1009" s="93"/>
      <c r="W1009" s="93"/>
    </row>
    <row r="1010" spans="2:23" s="14" customFormat="1" ht="17.100000000000001" customHeight="1">
      <c r="B1010" s="89"/>
      <c r="C1010" s="90"/>
      <c r="D1010" s="91"/>
      <c r="E1010" s="92"/>
      <c r="F1010" s="89"/>
      <c r="G1010" s="89"/>
      <c r="H1010" s="89"/>
      <c r="I1010" s="89"/>
      <c r="J1010" s="89"/>
      <c r="K1010" s="89"/>
      <c r="L1010" s="93"/>
      <c r="M1010" s="93"/>
      <c r="N1010" s="93"/>
      <c r="O1010" s="93"/>
      <c r="P1010" s="93"/>
      <c r="Q1010" s="93"/>
      <c r="R1010" s="93"/>
      <c r="S1010" s="93"/>
      <c r="T1010" s="93"/>
      <c r="U1010" s="93"/>
      <c r="V1010" s="93"/>
      <c r="W1010" s="93"/>
    </row>
    <row r="1011" spans="2:23" s="14" customFormat="1" ht="17.100000000000001" customHeight="1">
      <c r="B1011" s="89"/>
      <c r="C1011" s="90"/>
      <c r="D1011" s="91"/>
      <c r="E1011" s="92"/>
      <c r="F1011" s="89"/>
      <c r="G1011" s="89"/>
      <c r="H1011" s="89"/>
      <c r="I1011" s="89"/>
      <c r="J1011" s="89"/>
      <c r="K1011" s="89"/>
      <c r="L1011" s="93"/>
      <c r="M1011" s="93"/>
      <c r="N1011" s="93"/>
      <c r="O1011" s="93"/>
      <c r="P1011" s="93"/>
      <c r="Q1011" s="93"/>
      <c r="R1011" s="93"/>
      <c r="S1011" s="93"/>
      <c r="T1011" s="93"/>
      <c r="U1011" s="93"/>
      <c r="V1011" s="93"/>
      <c r="W1011" s="93"/>
    </row>
    <row r="1012" spans="2:23" s="14" customFormat="1" ht="17.100000000000001" customHeight="1">
      <c r="B1012" s="89"/>
      <c r="C1012" s="90"/>
      <c r="D1012" s="91"/>
      <c r="E1012" s="92"/>
      <c r="F1012" s="89"/>
      <c r="G1012" s="89"/>
      <c r="H1012" s="89"/>
      <c r="I1012" s="89"/>
      <c r="J1012" s="89"/>
      <c r="K1012" s="89"/>
      <c r="L1012" s="93"/>
      <c r="M1012" s="93"/>
      <c r="N1012" s="93"/>
      <c r="O1012" s="93"/>
      <c r="P1012" s="93"/>
      <c r="Q1012" s="93"/>
      <c r="R1012" s="93"/>
      <c r="S1012" s="93"/>
      <c r="T1012" s="93"/>
      <c r="U1012" s="93"/>
      <c r="V1012" s="93"/>
      <c r="W1012" s="93"/>
    </row>
    <row r="1013" spans="2:23" s="14" customFormat="1" ht="17.100000000000001" customHeight="1">
      <c r="B1013" s="89"/>
      <c r="C1013" s="90"/>
      <c r="D1013" s="91"/>
      <c r="E1013" s="92"/>
      <c r="F1013" s="89"/>
      <c r="G1013" s="89"/>
      <c r="H1013" s="89"/>
      <c r="I1013" s="89"/>
      <c r="J1013" s="89"/>
      <c r="K1013" s="89"/>
      <c r="L1013" s="93"/>
      <c r="M1013" s="93"/>
      <c r="N1013" s="93"/>
      <c r="O1013" s="93"/>
      <c r="P1013" s="93"/>
      <c r="Q1013" s="93"/>
      <c r="R1013" s="93"/>
      <c r="S1013" s="93"/>
      <c r="T1013" s="93"/>
      <c r="U1013" s="93"/>
      <c r="V1013" s="93"/>
      <c r="W1013" s="93"/>
    </row>
    <row r="1014" spans="2:23" s="14" customFormat="1" ht="17.100000000000001" customHeight="1">
      <c r="B1014" s="89"/>
      <c r="C1014" s="90"/>
      <c r="D1014" s="91"/>
      <c r="E1014" s="92"/>
      <c r="F1014" s="89"/>
      <c r="G1014" s="89"/>
      <c r="H1014" s="89"/>
      <c r="I1014" s="89"/>
      <c r="J1014" s="89"/>
      <c r="K1014" s="89"/>
      <c r="L1014" s="93"/>
      <c r="M1014" s="93"/>
      <c r="N1014" s="93"/>
      <c r="O1014" s="93"/>
      <c r="P1014" s="93"/>
      <c r="Q1014" s="93"/>
      <c r="R1014" s="93"/>
      <c r="S1014" s="93"/>
      <c r="T1014" s="93"/>
      <c r="U1014" s="93"/>
      <c r="V1014" s="93"/>
      <c r="W1014" s="93"/>
    </row>
    <row r="1015" spans="2:23" s="14" customFormat="1" ht="17.100000000000001" customHeight="1">
      <c r="B1015" s="89"/>
      <c r="C1015" s="90"/>
      <c r="D1015" s="91"/>
      <c r="E1015" s="92"/>
      <c r="F1015" s="89"/>
      <c r="G1015" s="89"/>
      <c r="H1015" s="89"/>
      <c r="I1015" s="89"/>
      <c r="J1015" s="89"/>
      <c r="K1015" s="89"/>
      <c r="L1015" s="93"/>
      <c r="M1015" s="93"/>
      <c r="N1015" s="93"/>
      <c r="O1015" s="93"/>
      <c r="P1015" s="93"/>
      <c r="Q1015" s="93"/>
      <c r="R1015" s="93"/>
      <c r="S1015" s="93"/>
      <c r="T1015" s="93"/>
      <c r="U1015" s="93"/>
      <c r="V1015" s="93"/>
      <c r="W1015" s="93"/>
    </row>
    <row r="1016" spans="2:23" s="14" customFormat="1" ht="17.100000000000001" customHeight="1">
      <c r="B1016" s="89"/>
      <c r="C1016" s="90"/>
      <c r="D1016" s="91"/>
      <c r="E1016" s="92"/>
      <c r="F1016" s="89"/>
      <c r="G1016" s="89"/>
      <c r="H1016" s="89"/>
      <c r="I1016" s="89"/>
      <c r="J1016" s="89"/>
      <c r="K1016" s="89"/>
      <c r="L1016" s="93"/>
      <c r="M1016" s="93"/>
      <c r="N1016" s="93"/>
      <c r="O1016" s="93"/>
      <c r="P1016" s="93"/>
      <c r="Q1016" s="93"/>
      <c r="R1016" s="93"/>
      <c r="S1016" s="93"/>
      <c r="T1016" s="93"/>
      <c r="U1016" s="93"/>
      <c r="V1016" s="93"/>
      <c r="W1016" s="93"/>
    </row>
    <row r="1017" spans="2:23" s="14" customFormat="1" ht="17.100000000000001" customHeight="1">
      <c r="B1017" s="89"/>
      <c r="C1017" s="90"/>
      <c r="D1017" s="91"/>
      <c r="E1017" s="92"/>
      <c r="F1017" s="89"/>
      <c r="G1017" s="89"/>
      <c r="H1017" s="89"/>
      <c r="I1017" s="89"/>
      <c r="J1017" s="89"/>
      <c r="K1017" s="89"/>
      <c r="L1017" s="93"/>
      <c r="M1017" s="93"/>
      <c r="N1017" s="93"/>
      <c r="O1017" s="93"/>
      <c r="P1017" s="93"/>
      <c r="Q1017" s="93"/>
      <c r="R1017" s="93"/>
      <c r="S1017" s="93"/>
      <c r="T1017" s="93"/>
      <c r="U1017" s="93"/>
      <c r="V1017" s="93"/>
      <c r="W1017" s="93"/>
    </row>
    <row r="1018" spans="2:23" s="14" customFormat="1" ht="17.100000000000001" customHeight="1">
      <c r="B1018" s="89"/>
      <c r="C1018" s="90"/>
      <c r="D1018" s="91"/>
      <c r="E1018" s="92"/>
      <c r="F1018" s="89"/>
      <c r="G1018" s="89"/>
      <c r="H1018" s="89"/>
      <c r="I1018" s="89"/>
      <c r="J1018" s="89"/>
      <c r="K1018" s="89"/>
      <c r="L1018" s="93"/>
      <c r="M1018" s="93"/>
      <c r="N1018" s="93"/>
      <c r="O1018" s="93"/>
      <c r="P1018" s="93"/>
      <c r="Q1018" s="93"/>
      <c r="R1018" s="93"/>
      <c r="S1018" s="93"/>
      <c r="T1018" s="93"/>
      <c r="U1018" s="93"/>
      <c r="V1018" s="93"/>
      <c r="W1018" s="93"/>
    </row>
    <row r="1019" spans="2:23" s="14" customFormat="1" ht="17.100000000000001" customHeight="1">
      <c r="B1019" s="89"/>
      <c r="C1019" s="90"/>
      <c r="D1019" s="91"/>
      <c r="E1019" s="92"/>
      <c r="F1019" s="89"/>
      <c r="G1019" s="89"/>
      <c r="H1019" s="89"/>
      <c r="I1019" s="89"/>
      <c r="J1019" s="89"/>
      <c r="K1019" s="89"/>
      <c r="L1019" s="93"/>
      <c r="M1019" s="93"/>
      <c r="N1019" s="93"/>
      <c r="O1019" s="93"/>
      <c r="P1019" s="93"/>
      <c r="Q1019" s="93"/>
      <c r="R1019" s="93"/>
      <c r="S1019" s="93"/>
      <c r="T1019" s="93"/>
      <c r="U1019" s="93"/>
      <c r="V1019" s="93"/>
      <c r="W1019" s="93"/>
    </row>
    <row r="1020" spans="2:23" s="14" customFormat="1" ht="17.100000000000001" customHeight="1">
      <c r="B1020" s="89"/>
      <c r="C1020" s="90"/>
      <c r="D1020" s="91"/>
      <c r="E1020" s="92"/>
      <c r="F1020" s="89"/>
      <c r="G1020" s="89"/>
      <c r="H1020" s="89"/>
      <c r="I1020" s="89"/>
      <c r="J1020" s="89"/>
      <c r="K1020" s="89"/>
      <c r="L1020" s="93"/>
      <c r="M1020" s="93"/>
      <c r="N1020" s="93"/>
      <c r="O1020" s="93"/>
      <c r="P1020" s="93"/>
      <c r="Q1020" s="93"/>
      <c r="R1020" s="93"/>
      <c r="S1020" s="93"/>
      <c r="T1020" s="93"/>
      <c r="U1020" s="93"/>
      <c r="V1020" s="93"/>
      <c r="W1020" s="93"/>
    </row>
    <row r="1021" spans="2:23" s="14" customFormat="1" ht="17.100000000000001" customHeight="1">
      <c r="B1021" s="89"/>
      <c r="C1021" s="90"/>
      <c r="D1021" s="91"/>
      <c r="E1021" s="92"/>
      <c r="F1021" s="89"/>
      <c r="G1021" s="89"/>
      <c r="H1021" s="89"/>
      <c r="I1021" s="89"/>
      <c r="J1021" s="89"/>
      <c r="K1021" s="89"/>
      <c r="L1021" s="93"/>
      <c r="M1021" s="93"/>
      <c r="N1021" s="93"/>
      <c r="O1021" s="93"/>
      <c r="P1021" s="93"/>
      <c r="Q1021" s="93"/>
      <c r="R1021" s="93"/>
      <c r="S1021" s="93"/>
      <c r="T1021" s="93"/>
      <c r="U1021" s="93"/>
      <c r="V1021" s="93"/>
      <c r="W1021" s="93"/>
    </row>
    <row r="1022" spans="2:23" s="14" customFormat="1" ht="17.100000000000001" customHeight="1">
      <c r="B1022" s="89"/>
      <c r="C1022" s="90"/>
      <c r="D1022" s="91"/>
      <c r="E1022" s="92"/>
      <c r="F1022" s="89"/>
      <c r="G1022" s="89"/>
      <c r="H1022" s="89"/>
      <c r="I1022" s="89"/>
      <c r="J1022" s="89"/>
      <c r="K1022" s="89"/>
      <c r="L1022" s="93"/>
      <c r="M1022" s="93"/>
      <c r="N1022" s="93"/>
      <c r="O1022" s="93"/>
      <c r="P1022" s="93"/>
      <c r="Q1022" s="93"/>
      <c r="R1022" s="93"/>
      <c r="S1022" s="93"/>
      <c r="T1022" s="93"/>
      <c r="U1022" s="93"/>
      <c r="V1022" s="93"/>
      <c r="W1022" s="93"/>
    </row>
    <row r="1023" spans="2:23" s="14" customFormat="1" ht="17.100000000000001" customHeight="1">
      <c r="B1023" s="89"/>
      <c r="C1023" s="90"/>
      <c r="D1023" s="91"/>
      <c r="E1023" s="92"/>
      <c r="F1023" s="89"/>
      <c r="G1023" s="89"/>
      <c r="H1023" s="89"/>
      <c r="I1023" s="89"/>
      <c r="J1023" s="89"/>
      <c r="K1023" s="89"/>
      <c r="L1023" s="93"/>
      <c r="M1023" s="93"/>
      <c r="N1023" s="93"/>
      <c r="O1023" s="93"/>
      <c r="P1023" s="93"/>
      <c r="Q1023" s="93"/>
      <c r="R1023" s="93"/>
      <c r="S1023" s="93"/>
      <c r="T1023" s="93"/>
      <c r="U1023" s="93"/>
      <c r="V1023" s="93"/>
      <c r="W1023" s="93"/>
    </row>
    <row r="1024" spans="2:23" s="14" customFormat="1" ht="17.100000000000001" customHeight="1">
      <c r="B1024" s="89"/>
      <c r="C1024" s="90"/>
      <c r="D1024" s="91"/>
      <c r="E1024" s="92"/>
      <c r="F1024" s="89"/>
      <c r="G1024" s="89"/>
      <c r="H1024" s="89"/>
      <c r="I1024" s="89"/>
      <c r="J1024" s="89"/>
      <c r="K1024" s="89"/>
      <c r="L1024" s="93"/>
      <c r="M1024" s="93"/>
      <c r="N1024" s="93"/>
      <c r="O1024" s="93"/>
      <c r="P1024" s="93"/>
      <c r="Q1024" s="93"/>
      <c r="R1024" s="93"/>
      <c r="S1024" s="93"/>
      <c r="T1024" s="93"/>
      <c r="U1024" s="93"/>
      <c r="V1024" s="93"/>
      <c r="W1024" s="93"/>
    </row>
    <row r="1025" spans="2:23" s="14" customFormat="1" ht="17.100000000000001" customHeight="1">
      <c r="B1025" s="89"/>
      <c r="C1025" s="90"/>
      <c r="D1025" s="91"/>
      <c r="E1025" s="92"/>
      <c r="F1025" s="89"/>
      <c r="G1025" s="89"/>
      <c r="H1025" s="89"/>
      <c r="I1025" s="89"/>
      <c r="J1025" s="89"/>
      <c r="K1025" s="89"/>
      <c r="L1025" s="93"/>
      <c r="M1025" s="93"/>
      <c r="N1025" s="93"/>
      <c r="O1025" s="93"/>
      <c r="P1025" s="93"/>
      <c r="Q1025" s="93"/>
      <c r="R1025" s="93"/>
      <c r="S1025" s="93"/>
      <c r="T1025" s="93"/>
      <c r="U1025" s="93"/>
      <c r="V1025" s="93"/>
      <c r="W1025" s="93"/>
    </row>
    <row r="1026" spans="2:23" s="14" customFormat="1" ht="17.100000000000001" customHeight="1">
      <c r="B1026" s="89"/>
      <c r="C1026" s="90"/>
      <c r="D1026" s="91"/>
      <c r="E1026" s="92"/>
      <c r="F1026" s="89"/>
      <c r="G1026" s="89"/>
      <c r="H1026" s="89"/>
      <c r="I1026" s="89"/>
      <c r="J1026" s="89"/>
      <c r="K1026" s="89"/>
      <c r="L1026" s="93"/>
      <c r="M1026" s="93"/>
      <c r="N1026" s="93"/>
      <c r="O1026" s="93"/>
      <c r="P1026" s="93"/>
      <c r="Q1026" s="93"/>
      <c r="R1026" s="93"/>
      <c r="S1026" s="93"/>
      <c r="T1026" s="93"/>
      <c r="U1026" s="93"/>
      <c r="V1026" s="93"/>
      <c r="W1026" s="93"/>
    </row>
    <row r="1027" spans="2:23" s="14" customFormat="1" ht="17.100000000000001" customHeight="1">
      <c r="B1027" s="89"/>
      <c r="C1027" s="90"/>
      <c r="D1027" s="91"/>
      <c r="E1027" s="92"/>
      <c r="F1027" s="89"/>
      <c r="G1027" s="89"/>
      <c r="H1027" s="89"/>
      <c r="I1027" s="89"/>
      <c r="J1027" s="89"/>
      <c r="K1027" s="89"/>
      <c r="L1027" s="93"/>
      <c r="M1027" s="93"/>
      <c r="N1027" s="93"/>
      <c r="O1027" s="93"/>
      <c r="P1027" s="93"/>
      <c r="Q1027" s="93"/>
      <c r="R1027" s="93"/>
      <c r="S1027" s="93"/>
      <c r="T1027" s="93"/>
      <c r="U1027" s="93"/>
      <c r="V1027" s="93"/>
      <c r="W1027" s="93"/>
    </row>
    <row r="1028" spans="2:23" s="14" customFormat="1" ht="17.100000000000001" customHeight="1">
      <c r="B1028" s="89"/>
      <c r="C1028" s="90"/>
      <c r="D1028" s="91"/>
      <c r="E1028" s="92"/>
      <c r="F1028" s="89"/>
      <c r="G1028" s="89"/>
      <c r="H1028" s="89"/>
      <c r="I1028" s="89"/>
      <c r="J1028" s="89"/>
      <c r="K1028" s="89"/>
      <c r="L1028" s="93"/>
      <c r="M1028" s="93"/>
      <c r="N1028" s="93"/>
      <c r="O1028" s="93"/>
      <c r="P1028" s="93"/>
      <c r="Q1028" s="93"/>
      <c r="R1028" s="93"/>
      <c r="S1028" s="93"/>
      <c r="T1028" s="93"/>
      <c r="U1028" s="93"/>
      <c r="V1028" s="93"/>
      <c r="W1028" s="93"/>
    </row>
    <row r="1029" spans="2:23" s="14" customFormat="1" ht="17.100000000000001" customHeight="1">
      <c r="B1029" s="89"/>
      <c r="C1029" s="90"/>
      <c r="D1029" s="91"/>
      <c r="E1029" s="92"/>
      <c r="F1029" s="89"/>
      <c r="G1029" s="89"/>
      <c r="H1029" s="89"/>
      <c r="I1029" s="89"/>
      <c r="J1029" s="89"/>
      <c r="K1029" s="89"/>
      <c r="L1029" s="93"/>
      <c r="M1029" s="93"/>
      <c r="N1029" s="93"/>
      <c r="O1029" s="93"/>
      <c r="P1029" s="93"/>
      <c r="Q1029" s="93"/>
      <c r="R1029" s="93"/>
      <c r="S1029" s="93"/>
      <c r="T1029" s="93"/>
      <c r="U1029" s="93"/>
      <c r="V1029" s="93"/>
      <c r="W1029" s="93"/>
    </row>
    <row r="1030" spans="2:23" s="14" customFormat="1" ht="17.100000000000001" customHeight="1">
      <c r="B1030" s="89"/>
      <c r="C1030" s="90"/>
      <c r="D1030" s="91"/>
      <c r="E1030" s="92"/>
      <c r="F1030" s="89"/>
      <c r="G1030" s="89"/>
      <c r="H1030" s="89"/>
      <c r="I1030" s="89"/>
      <c r="J1030" s="89"/>
      <c r="K1030" s="89"/>
      <c r="L1030" s="93"/>
      <c r="M1030" s="93"/>
      <c r="N1030" s="93"/>
      <c r="O1030" s="93"/>
      <c r="P1030" s="93"/>
      <c r="Q1030" s="93"/>
      <c r="R1030" s="93"/>
      <c r="S1030" s="93"/>
      <c r="T1030" s="93"/>
      <c r="U1030" s="93"/>
      <c r="V1030" s="93"/>
      <c r="W1030" s="93"/>
    </row>
    <row r="1031" spans="2:23" s="14" customFormat="1" ht="17.100000000000001" customHeight="1">
      <c r="B1031" s="89"/>
      <c r="C1031" s="90"/>
      <c r="D1031" s="91"/>
      <c r="E1031" s="92"/>
      <c r="F1031" s="89"/>
      <c r="G1031" s="89"/>
      <c r="H1031" s="89"/>
      <c r="I1031" s="89"/>
      <c r="J1031" s="89"/>
      <c r="K1031" s="89"/>
      <c r="L1031" s="93"/>
      <c r="M1031" s="93"/>
      <c r="N1031" s="93"/>
      <c r="O1031" s="93"/>
      <c r="P1031" s="93"/>
      <c r="Q1031" s="93"/>
      <c r="R1031" s="93"/>
      <c r="S1031" s="93"/>
      <c r="T1031" s="93"/>
      <c r="U1031" s="93"/>
      <c r="V1031" s="93"/>
      <c r="W1031" s="93"/>
    </row>
    <row r="1032" spans="2:23" s="14" customFormat="1" ht="17.100000000000001" customHeight="1">
      <c r="B1032" s="89"/>
      <c r="C1032" s="90"/>
      <c r="D1032" s="91"/>
      <c r="E1032" s="92"/>
      <c r="F1032" s="89"/>
      <c r="G1032" s="89"/>
      <c r="H1032" s="89"/>
      <c r="I1032" s="89"/>
      <c r="J1032" s="89"/>
      <c r="K1032" s="89"/>
      <c r="L1032" s="93"/>
      <c r="M1032" s="93"/>
      <c r="N1032" s="93"/>
      <c r="O1032" s="93"/>
      <c r="P1032" s="93"/>
      <c r="Q1032" s="93"/>
      <c r="R1032" s="93"/>
      <c r="S1032" s="93"/>
      <c r="T1032" s="93"/>
      <c r="U1032" s="93"/>
      <c r="V1032" s="93"/>
      <c r="W1032" s="93"/>
    </row>
    <row r="1033" spans="2:23" s="14" customFormat="1" ht="17.100000000000001" customHeight="1">
      <c r="B1033" s="89"/>
      <c r="C1033" s="90"/>
      <c r="D1033" s="91"/>
      <c r="E1033" s="92"/>
      <c r="F1033" s="89"/>
      <c r="G1033" s="89"/>
      <c r="H1033" s="89"/>
      <c r="I1033" s="89"/>
      <c r="J1033" s="89"/>
      <c r="K1033" s="89"/>
      <c r="L1033" s="93"/>
      <c r="M1033" s="93"/>
      <c r="N1033" s="93"/>
      <c r="O1033" s="93"/>
      <c r="P1033" s="93"/>
      <c r="Q1033" s="93"/>
      <c r="R1033" s="93"/>
      <c r="S1033" s="93"/>
      <c r="T1033" s="93"/>
      <c r="U1033" s="93"/>
      <c r="V1033" s="93"/>
      <c r="W1033" s="93"/>
    </row>
    <row r="1034" spans="2:23" s="14" customFormat="1" ht="17.100000000000001" customHeight="1">
      <c r="B1034" s="89"/>
      <c r="C1034" s="90"/>
      <c r="D1034" s="91"/>
      <c r="E1034" s="92"/>
      <c r="F1034" s="89"/>
      <c r="G1034" s="89"/>
      <c r="H1034" s="89"/>
      <c r="I1034" s="89"/>
      <c r="J1034" s="89"/>
      <c r="K1034" s="89"/>
      <c r="L1034" s="93"/>
      <c r="M1034" s="93"/>
      <c r="N1034" s="93"/>
      <c r="O1034" s="93"/>
      <c r="P1034" s="93"/>
      <c r="Q1034" s="93"/>
      <c r="R1034" s="93"/>
      <c r="S1034" s="93"/>
      <c r="T1034" s="93"/>
      <c r="U1034" s="93"/>
      <c r="V1034" s="93"/>
      <c r="W1034" s="93"/>
    </row>
    <row r="1035" spans="2:23" s="14" customFormat="1" ht="17.100000000000001" customHeight="1">
      <c r="B1035" s="89"/>
      <c r="C1035" s="90"/>
      <c r="D1035" s="91"/>
      <c r="E1035" s="92"/>
      <c r="F1035" s="89"/>
      <c r="G1035" s="89"/>
      <c r="H1035" s="89"/>
      <c r="I1035" s="89"/>
      <c r="J1035" s="89"/>
      <c r="K1035" s="89"/>
      <c r="L1035" s="93"/>
      <c r="M1035" s="93"/>
      <c r="N1035" s="93"/>
      <c r="O1035" s="93"/>
      <c r="P1035" s="93"/>
      <c r="Q1035" s="93"/>
      <c r="R1035" s="93"/>
      <c r="S1035" s="93"/>
      <c r="T1035" s="93"/>
      <c r="U1035" s="93"/>
      <c r="V1035" s="93"/>
      <c r="W1035" s="93"/>
    </row>
    <row r="1036" spans="2:23" s="14" customFormat="1" ht="17.100000000000001" customHeight="1">
      <c r="B1036" s="89"/>
      <c r="C1036" s="90"/>
      <c r="D1036" s="91"/>
      <c r="E1036" s="92"/>
      <c r="F1036" s="89"/>
      <c r="G1036" s="89"/>
      <c r="H1036" s="89"/>
      <c r="I1036" s="89"/>
      <c r="J1036" s="89"/>
      <c r="K1036" s="89"/>
      <c r="L1036" s="93"/>
      <c r="M1036" s="93"/>
      <c r="N1036" s="93"/>
      <c r="O1036" s="93"/>
      <c r="P1036" s="93"/>
      <c r="Q1036" s="93"/>
      <c r="R1036" s="93"/>
      <c r="S1036" s="93"/>
      <c r="T1036" s="93"/>
      <c r="U1036" s="93"/>
      <c r="V1036" s="93"/>
      <c r="W1036" s="93"/>
    </row>
    <row r="1037" spans="2:23" s="14" customFormat="1" ht="17.100000000000001" customHeight="1">
      <c r="B1037" s="89"/>
      <c r="C1037" s="90"/>
      <c r="D1037" s="91"/>
      <c r="E1037" s="92"/>
      <c r="F1037" s="89"/>
      <c r="G1037" s="89"/>
      <c r="H1037" s="89"/>
      <c r="I1037" s="89"/>
      <c r="J1037" s="89"/>
      <c r="K1037" s="89"/>
      <c r="L1037" s="93"/>
      <c r="M1037" s="93"/>
      <c r="N1037" s="93"/>
      <c r="O1037" s="93"/>
      <c r="P1037" s="93"/>
      <c r="Q1037" s="93"/>
      <c r="R1037" s="93"/>
      <c r="S1037" s="93"/>
      <c r="T1037" s="93"/>
      <c r="U1037" s="93"/>
      <c r="V1037" s="93"/>
      <c r="W1037" s="93"/>
    </row>
    <row r="1038" spans="2:23" s="14" customFormat="1" ht="17.100000000000001" customHeight="1">
      <c r="B1038" s="89"/>
      <c r="C1038" s="90"/>
      <c r="D1038" s="91"/>
      <c r="E1038" s="92"/>
      <c r="F1038" s="89"/>
      <c r="G1038" s="89"/>
      <c r="H1038" s="89"/>
      <c r="I1038" s="89"/>
      <c r="J1038" s="89"/>
      <c r="K1038" s="89"/>
      <c r="L1038" s="93"/>
      <c r="M1038" s="93"/>
      <c r="N1038" s="93"/>
      <c r="O1038" s="93"/>
      <c r="P1038" s="93"/>
      <c r="Q1038" s="93"/>
      <c r="R1038" s="93"/>
      <c r="S1038" s="93"/>
      <c r="T1038" s="93"/>
      <c r="U1038" s="93"/>
      <c r="V1038" s="93"/>
      <c r="W1038" s="93"/>
    </row>
    <row r="1039" spans="2:23" s="14" customFormat="1" ht="17.100000000000001" customHeight="1">
      <c r="B1039" s="89"/>
      <c r="C1039" s="90"/>
      <c r="D1039" s="91"/>
      <c r="E1039" s="92"/>
      <c r="F1039" s="89"/>
      <c r="G1039" s="89"/>
      <c r="H1039" s="89"/>
      <c r="I1039" s="89"/>
      <c r="J1039" s="89"/>
      <c r="K1039" s="89"/>
      <c r="L1039" s="93"/>
      <c r="M1039" s="93"/>
      <c r="N1039" s="93"/>
      <c r="O1039" s="93"/>
      <c r="P1039" s="93"/>
      <c r="Q1039" s="93"/>
      <c r="R1039" s="93"/>
      <c r="S1039" s="93"/>
      <c r="T1039" s="93"/>
      <c r="U1039" s="93"/>
      <c r="V1039" s="93"/>
      <c r="W1039" s="93"/>
    </row>
    <row r="1040" spans="2:23" s="14" customFormat="1" ht="17.100000000000001" customHeight="1">
      <c r="B1040" s="89"/>
      <c r="C1040" s="90"/>
      <c r="D1040" s="91"/>
      <c r="E1040" s="92"/>
      <c r="F1040" s="89"/>
      <c r="G1040" s="89"/>
      <c r="H1040" s="89"/>
      <c r="I1040" s="89"/>
      <c r="J1040" s="89"/>
      <c r="K1040" s="89"/>
      <c r="L1040" s="93"/>
      <c r="M1040" s="93"/>
      <c r="N1040" s="93"/>
      <c r="O1040" s="93"/>
      <c r="P1040" s="93"/>
      <c r="Q1040" s="93"/>
      <c r="R1040" s="93"/>
      <c r="S1040" s="93"/>
      <c r="T1040" s="93"/>
      <c r="U1040" s="93"/>
      <c r="V1040" s="93"/>
      <c r="W1040" s="93"/>
    </row>
    <row r="1041" spans="2:23" s="14" customFormat="1" ht="17.100000000000001" customHeight="1">
      <c r="B1041" s="89"/>
      <c r="C1041" s="90"/>
      <c r="D1041" s="91"/>
      <c r="E1041" s="92"/>
      <c r="F1041" s="89"/>
      <c r="G1041" s="89"/>
      <c r="H1041" s="89"/>
      <c r="I1041" s="89"/>
      <c r="J1041" s="89"/>
      <c r="K1041" s="89"/>
      <c r="L1041" s="93"/>
      <c r="M1041" s="93"/>
      <c r="N1041" s="93"/>
      <c r="O1041" s="93"/>
      <c r="P1041" s="93"/>
      <c r="Q1041" s="93"/>
      <c r="R1041" s="93"/>
      <c r="S1041" s="93"/>
      <c r="T1041" s="93"/>
      <c r="U1041" s="93"/>
      <c r="V1041" s="93"/>
      <c r="W1041" s="93"/>
    </row>
  </sheetData>
  <dataConsolidate/>
  <mergeCells count="3">
    <mergeCell ref="C5:E5"/>
    <mergeCell ref="F5:K6"/>
    <mergeCell ref="C6:E6"/>
  </mergeCells>
  <phoneticPr fontId="5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6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161925</xdr:rowOff>
                  </from>
                  <to>
                    <xdr:col>4</xdr:col>
                    <xdr:colOff>9525</xdr:colOff>
                    <xdr:row>7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7"/>
  <dimension ref="A1:Y1049"/>
  <sheetViews>
    <sheetView showGridLines="0" zoomScaleNormal="100" workbookViewId="0">
      <selection activeCell="H23" sqref="H23"/>
    </sheetView>
  </sheetViews>
  <sheetFormatPr defaultColWidth="9.140625" defaultRowHeight="17.100000000000001" customHeight="1"/>
  <cols>
    <col min="1" max="1" width="4.42578125" style="2" customWidth="1"/>
    <col min="2" max="2" width="25.7109375" style="4" bestFit="1" customWidth="1"/>
    <col min="3" max="3" width="19.7109375" style="44" customWidth="1"/>
    <col min="4" max="4" width="10.7109375" style="39" customWidth="1"/>
    <col min="5" max="5" width="7" style="35" customWidth="1"/>
    <col min="6" max="7" width="7.7109375" style="4" customWidth="1"/>
    <col min="8" max="8" width="8.7109375" style="4" customWidth="1"/>
    <col min="9" max="9" width="7.7109375" style="4" customWidth="1"/>
    <col min="10" max="10" width="6.7109375" style="4" customWidth="1"/>
    <col min="11" max="11" width="48.5703125" style="4" customWidth="1"/>
    <col min="12" max="12" width="12.28515625" style="2" bestFit="1" customWidth="1"/>
    <col min="13" max="13" width="14.140625" style="2" bestFit="1" customWidth="1"/>
    <col min="14" max="16384" width="9.140625" style="2"/>
  </cols>
  <sheetData>
    <row r="1" spans="1:25" s="29" customFormat="1" ht="22.5" customHeight="1" thickBot="1">
      <c r="A1" s="97" t="s">
        <v>539</v>
      </c>
      <c r="B1" s="98"/>
      <c r="C1" s="99"/>
      <c r="D1" s="100"/>
      <c r="E1" s="101"/>
      <c r="F1" s="102" t="s">
        <v>543</v>
      </c>
      <c r="G1" s="103"/>
      <c r="H1" s="103"/>
      <c r="I1" s="104" t="s">
        <v>540</v>
      </c>
      <c r="J1" s="105"/>
      <c r="K1" s="106" t="s">
        <v>590</v>
      </c>
      <c r="L1" s="45"/>
      <c r="M1" s="46"/>
      <c r="N1" s="47"/>
    </row>
    <row r="2" spans="1:25" s="29" customFormat="1" ht="17.100000000000001" customHeight="1" thickBot="1">
      <c r="A2" s="107" t="s">
        <v>592</v>
      </c>
      <c r="B2" s="108"/>
      <c r="C2" s="109" t="s">
        <v>541</v>
      </c>
      <c r="D2" s="110"/>
      <c r="E2" s="111"/>
      <c r="F2" s="112"/>
      <c r="G2" s="112"/>
      <c r="H2" s="112"/>
      <c r="I2" s="112"/>
      <c r="J2" s="113"/>
      <c r="K2" s="114" t="s">
        <v>542</v>
      </c>
      <c r="L2" s="48"/>
      <c r="M2" s="49" t="s">
        <v>21</v>
      </c>
      <c r="N2" s="50"/>
    </row>
    <row r="3" spans="1:2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51" t="s">
        <v>22</v>
      </c>
      <c r="M3" s="49" t="s">
        <v>23</v>
      </c>
      <c r="N3" s="52"/>
      <c r="O3" s="18"/>
    </row>
    <row r="4" spans="1:25" s="8" customFormat="1" ht="15">
      <c r="A4" s="19" t="s">
        <v>0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9" t="s">
        <v>24</v>
      </c>
      <c r="M4" s="53" t="s">
        <v>25</v>
      </c>
      <c r="N4" s="54">
        <f>N2*N3</f>
        <v>0</v>
      </c>
    </row>
    <row r="5" spans="1:25" s="8" customFormat="1" ht="13.5">
      <c r="A5" s="19" t="s">
        <v>41</v>
      </c>
      <c r="B5" s="9"/>
      <c r="C5" s="158" t="s">
        <v>658</v>
      </c>
      <c r="D5" s="159"/>
      <c r="E5" s="160"/>
      <c r="F5" s="161" t="s">
        <v>633</v>
      </c>
      <c r="G5" s="162"/>
      <c r="H5" s="162"/>
      <c r="I5" s="162"/>
      <c r="J5" s="162"/>
      <c r="K5" s="163"/>
      <c r="L5" s="51" t="s">
        <v>26</v>
      </c>
      <c r="M5" s="53" t="s">
        <v>23</v>
      </c>
      <c r="N5" s="54"/>
    </row>
    <row r="6" spans="1:25" s="8" customFormat="1" ht="13.5">
      <c r="A6" s="19" t="s">
        <v>19</v>
      </c>
      <c r="B6" s="9"/>
      <c r="C6" s="158" t="s">
        <v>628</v>
      </c>
      <c r="D6" s="159"/>
      <c r="E6" s="160"/>
      <c r="F6" s="164"/>
      <c r="G6" s="165"/>
      <c r="H6" s="165"/>
      <c r="I6" s="165"/>
      <c r="J6" s="165"/>
      <c r="K6" s="166"/>
      <c r="L6" s="49" t="s">
        <v>24</v>
      </c>
      <c r="M6" s="53" t="s">
        <v>25</v>
      </c>
      <c r="N6" s="54">
        <f>N2*N5</f>
        <v>0</v>
      </c>
    </row>
    <row r="7" spans="1:25" s="8" customFormat="1" ht="13.5">
      <c r="A7" s="10"/>
      <c r="B7" s="20" t="s">
        <v>2</v>
      </c>
      <c r="C7" s="42" t="s">
        <v>619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</row>
    <row r="8" spans="1:2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</row>
    <row r="9" spans="1:25" ht="11.25">
      <c r="A9" s="69">
        <v>1</v>
      </c>
      <c r="B9" s="68" t="s">
        <v>652</v>
      </c>
      <c r="C9" s="69" t="s">
        <v>651</v>
      </c>
      <c r="D9" s="69" t="s">
        <v>621</v>
      </c>
      <c r="E9" s="69">
        <v>10</v>
      </c>
      <c r="F9" s="69" t="s">
        <v>585</v>
      </c>
      <c r="G9" s="69" t="s">
        <v>586</v>
      </c>
      <c r="H9" s="69"/>
      <c r="I9" s="69"/>
      <c r="J9" s="69"/>
      <c r="K9" s="69"/>
    </row>
    <row r="10" spans="1:25" ht="11.25">
      <c r="A10" s="69">
        <v>2</v>
      </c>
      <c r="B10" s="68" t="s">
        <v>653</v>
      </c>
      <c r="C10" s="69" t="s">
        <v>654</v>
      </c>
      <c r="D10" s="69" t="s">
        <v>531</v>
      </c>
      <c r="E10" s="69">
        <v>100</v>
      </c>
      <c r="F10" s="69" t="s">
        <v>585</v>
      </c>
      <c r="G10" s="69" t="s">
        <v>586</v>
      </c>
      <c r="H10" s="69"/>
      <c r="I10" s="69"/>
      <c r="J10" s="69"/>
      <c r="K10" s="69"/>
    </row>
    <row r="11" spans="1:25" ht="11.25">
      <c r="A11" s="69">
        <v>3</v>
      </c>
      <c r="B11" s="68" t="s">
        <v>632</v>
      </c>
      <c r="C11" s="69" t="s">
        <v>519</v>
      </c>
      <c r="D11" s="69" t="s">
        <v>531</v>
      </c>
      <c r="E11" s="69">
        <v>8</v>
      </c>
      <c r="F11" s="69" t="s">
        <v>585</v>
      </c>
      <c r="G11" s="69" t="s">
        <v>586</v>
      </c>
      <c r="H11" s="69"/>
      <c r="I11" s="69"/>
      <c r="J11" s="69"/>
      <c r="K11" s="69" t="s">
        <v>657</v>
      </c>
    </row>
    <row r="12" spans="1:25" ht="11.25">
      <c r="A12" s="69">
        <v>4</v>
      </c>
      <c r="B12" s="68" t="s">
        <v>626</v>
      </c>
      <c r="C12" s="69" t="s">
        <v>627</v>
      </c>
      <c r="D12" s="69" t="s">
        <v>531</v>
      </c>
      <c r="E12" s="69">
        <v>16</v>
      </c>
      <c r="F12" s="69" t="s">
        <v>585</v>
      </c>
      <c r="G12" s="69" t="s">
        <v>586</v>
      </c>
      <c r="H12" s="69"/>
      <c r="I12" s="69"/>
      <c r="J12" s="69"/>
      <c r="K12" s="69"/>
    </row>
    <row r="13" spans="1:25" ht="11.25">
      <c r="A13" s="69">
        <v>5</v>
      </c>
      <c r="B13" s="68" t="s">
        <v>656</v>
      </c>
      <c r="C13" s="69" t="s">
        <v>655</v>
      </c>
      <c r="D13" s="69" t="s">
        <v>638</v>
      </c>
      <c r="E13" s="69">
        <v>20</v>
      </c>
      <c r="F13" s="69" t="s">
        <v>585</v>
      </c>
      <c r="G13" s="69" t="s">
        <v>586</v>
      </c>
      <c r="H13" s="69"/>
      <c r="I13" s="69"/>
      <c r="J13" s="69"/>
      <c r="K13" s="69"/>
    </row>
    <row r="14" spans="1:25" ht="11.25">
      <c r="A14" s="69">
        <v>6</v>
      </c>
      <c r="B14" s="68" t="s">
        <v>641</v>
      </c>
      <c r="C14" s="69" t="s">
        <v>639</v>
      </c>
      <c r="D14" s="69" t="s">
        <v>620</v>
      </c>
      <c r="E14" s="69"/>
      <c r="F14" s="69"/>
      <c r="G14" s="69"/>
      <c r="H14" s="69"/>
      <c r="I14" s="69"/>
      <c r="J14" s="69"/>
      <c r="K14" s="69"/>
    </row>
    <row r="15" spans="1:25" ht="11.25">
      <c r="A15" s="69">
        <v>7</v>
      </c>
      <c r="B15" s="68" t="s">
        <v>642</v>
      </c>
      <c r="C15" s="69" t="s">
        <v>640</v>
      </c>
      <c r="D15" s="69" t="s">
        <v>620</v>
      </c>
      <c r="E15" s="69"/>
      <c r="F15" s="69"/>
      <c r="G15" s="69"/>
      <c r="H15" s="69"/>
      <c r="I15" s="69"/>
      <c r="J15" s="69"/>
      <c r="K15" s="69"/>
      <c r="L15" s="8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</row>
    <row r="16" spans="1:25" ht="11.25">
      <c r="A16" s="69">
        <v>8</v>
      </c>
      <c r="B16" s="68" t="s">
        <v>625</v>
      </c>
      <c r="C16" s="69" t="s">
        <v>624</v>
      </c>
      <c r="D16" s="69" t="s">
        <v>531</v>
      </c>
      <c r="E16" s="69">
        <v>1</v>
      </c>
      <c r="F16" s="69"/>
      <c r="G16" s="69"/>
      <c r="H16" s="69"/>
      <c r="I16" s="69"/>
      <c r="J16" s="69"/>
      <c r="K16" s="69"/>
      <c r="L16" s="8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</row>
    <row r="17" spans="1:14" ht="11.25">
      <c r="A17" s="69">
        <v>10</v>
      </c>
      <c r="B17" s="68" t="s">
        <v>622</v>
      </c>
      <c r="C17" s="69" t="s">
        <v>623</v>
      </c>
      <c r="D17" s="69" t="s">
        <v>646</v>
      </c>
      <c r="E17" s="69"/>
      <c r="F17" s="71"/>
      <c r="G17" s="71"/>
      <c r="H17" s="71"/>
      <c r="I17" s="71"/>
      <c r="J17" s="71"/>
      <c r="K17" s="70"/>
      <c r="L17" s="8"/>
    </row>
    <row r="18" spans="1:14" ht="11.25">
      <c r="A18" s="69"/>
      <c r="B18" s="68"/>
      <c r="C18" s="70"/>
      <c r="D18" s="71"/>
      <c r="E18" s="71"/>
      <c r="F18" s="69"/>
      <c r="G18" s="69"/>
      <c r="H18" s="69"/>
      <c r="I18" s="69"/>
      <c r="J18" s="69"/>
      <c r="K18" s="70"/>
      <c r="L18" s="8"/>
      <c r="M18" s="14"/>
      <c r="N18" s="15"/>
    </row>
    <row r="19" spans="1:14" ht="11.25">
      <c r="A19" s="69"/>
      <c r="B19" s="68"/>
      <c r="C19" s="70"/>
      <c r="D19" s="71"/>
      <c r="E19" s="71"/>
      <c r="F19" s="72"/>
      <c r="G19" s="69"/>
      <c r="H19" s="71"/>
      <c r="I19" s="71"/>
      <c r="J19" s="71"/>
      <c r="K19" s="70"/>
      <c r="L19" s="8"/>
      <c r="M19" s="14"/>
      <c r="N19" s="15"/>
    </row>
    <row r="20" spans="1:14" ht="11.25">
      <c r="A20" s="69"/>
      <c r="B20" s="68"/>
      <c r="C20" s="70"/>
      <c r="D20" s="71"/>
      <c r="E20" s="71"/>
      <c r="F20" s="72"/>
      <c r="G20" s="69"/>
      <c r="H20" s="71"/>
      <c r="I20" s="71"/>
      <c r="J20" s="71"/>
      <c r="K20" s="70"/>
      <c r="L20" s="8"/>
    </row>
    <row r="21" spans="1:14" ht="11.25">
      <c r="A21" s="69"/>
      <c r="B21" s="68"/>
      <c r="C21" s="70"/>
      <c r="D21" s="71"/>
      <c r="E21" s="71"/>
      <c r="F21" s="73"/>
      <c r="G21" s="69"/>
      <c r="H21" s="71"/>
      <c r="I21" s="71"/>
      <c r="J21" s="71"/>
      <c r="K21" s="70"/>
      <c r="L21" s="8"/>
      <c r="M21" s="14"/>
      <c r="N21" s="15"/>
    </row>
    <row r="22" spans="1:14" ht="11.25">
      <c r="A22" s="69"/>
      <c r="B22" s="68"/>
      <c r="C22" s="70"/>
      <c r="D22" s="69"/>
      <c r="E22" s="71"/>
      <c r="F22" s="73"/>
      <c r="G22" s="69"/>
      <c r="H22" s="71"/>
      <c r="I22" s="71"/>
      <c r="J22" s="71"/>
      <c r="K22" s="70"/>
      <c r="L22" s="8"/>
      <c r="M22" s="3"/>
      <c r="N22" s="1"/>
    </row>
    <row r="23" spans="1:14" ht="11.25">
      <c r="A23" s="69"/>
      <c r="B23" s="68"/>
      <c r="C23" s="70"/>
      <c r="D23" s="69"/>
      <c r="E23" s="69"/>
      <c r="F23" s="69"/>
      <c r="G23" s="69"/>
      <c r="H23" s="69"/>
      <c r="I23" s="69"/>
      <c r="J23" s="69"/>
      <c r="K23" s="74"/>
      <c r="L23" s="8"/>
    </row>
    <row r="24" spans="1:14" ht="11.25">
      <c r="A24" s="69"/>
      <c r="B24" s="68"/>
      <c r="C24" s="70"/>
      <c r="D24" s="69"/>
      <c r="E24" s="69"/>
      <c r="F24" s="69"/>
      <c r="G24" s="69"/>
      <c r="H24" s="69"/>
      <c r="I24" s="69"/>
      <c r="J24" s="69"/>
      <c r="K24" s="74"/>
      <c r="L24" s="8"/>
    </row>
    <row r="25" spans="1:14" ht="11.25">
      <c r="A25" s="69"/>
      <c r="B25" s="68"/>
      <c r="C25" s="70"/>
      <c r="D25" s="69"/>
      <c r="E25" s="69"/>
      <c r="F25" s="69"/>
      <c r="G25" s="69"/>
      <c r="H25" s="69"/>
      <c r="I25" s="69"/>
      <c r="J25" s="69"/>
      <c r="K25" s="74"/>
      <c r="L25" s="8"/>
    </row>
    <row r="26" spans="1:14" ht="11.25">
      <c r="A26" s="69"/>
      <c r="B26" s="68"/>
      <c r="C26" s="70"/>
      <c r="D26" s="69"/>
      <c r="E26" s="69"/>
      <c r="F26" s="69"/>
      <c r="G26" s="69"/>
      <c r="H26" s="69"/>
      <c r="I26" s="69"/>
      <c r="J26" s="69"/>
      <c r="K26" s="74"/>
      <c r="L26" s="8"/>
    </row>
    <row r="27" spans="1:14" ht="11.25">
      <c r="A27" s="69"/>
      <c r="B27" s="68"/>
      <c r="C27" s="70"/>
      <c r="D27" s="69"/>
      <c r="E27" s="69"/>
      <c r="F27" s="69"/>
      <c r="G27" s="69"/>
      <c r="H27" s="69"/>
      <c r="I27" s="69"/>
      <c r="J27" s="69"/>
      <c r="K27" s="74"/>
      <c r="L27" s="8"/>
    </row>
    <row r="28" spans="1:14" ht="11.25">
      <c r="A28" s="69"/>
      <c r="B28" s="68"/>
      <c r="C28" s="70"/>
      <c r="D28" s="69"/>
      <c r="E28" s="69"/>
      <c r="F28" s="69"/>
      <c r="G28" s="69"/>
      <c r="H28" s="69"/>
      <c r="I28" s="69"/>
      <c r="J28" s="69"/>
      <c r="K28" s="74"/>
      <c r="L28" s="8"/>
    </row>
    <row r="29" spans="1:14" ht="11.25">
      <c r="A29" s="69"/>
      <c r="B29" s="68"/>
      <c r="C29" s="70"/>
      <c r="D29" s="69"/>
      <c r="E29" s="69"/>
      <c r="F29" s="69"/>
      <c r="G29" s="69"/>
      <c r="H29" s="69"/>
      <c r="I29" s="69"/>
      <c r="J29" s="69"/>
      <c r="K29" s="74"/>
      <c r="L29" s="8"/>
    </row>
    <row r="30" spans="1:14" ht="11.25">
      <c r="A30" s="69"/>
      <c r="B30" s="68"/>
      <c r="C30" s="70"/>
      <c r="D30" s="69"/>
      <c r="E30" s="69"/>
      <c r="F30" s="69"/>
      <c r="G30" s="69"/>
      <c r="H30" s="69"/>
      <c r="I30" s="69"/>
      <c r="J30" s="69"/>
      <c r="K30" s="74"/>
      <c r="L30" s="8"/>
    </row>
    <row r="31" spans="1:14" ht="11.25">
      <c r="A31" s="69"/>
      <c r="B31" s="68"/>
      <c r="C31" s="70"/>
      <c r="D31" s="69"/>
      <c r="E31" s="69"/>
      <c r="F31" s="69"/>
      <c r="G31" s="69"/>
      <c r="H31" s="69"/>
      <c r="I31" s="69"/>
      <c r="J31" s="69"/>
      <c r="K31" s="74"/>
      <c r="L31" s="8"/>
    </row>
    <row r="32" spans="1:14" ht="11.25">
      <c r="A32" s="69"/>
      <c r="B32" s="69"/>
      <c r="C32" s="70"/>
      <c r="D32" s="69"/>
      <c r="E32" s="69"/>
      <c r="F32" s="69"/>
      <c r="G32" s="69"/>
      <c r="H32" s="69"/>
      <c r="I32" s="69"/>
      <c r="J32" s="69"/>
      <c r="K32" s="74"/>
      <c r="L32" s="8"/>
    </row>
    <row r="33" spans="1:25" ht="11.25">
      <c r="A33" s="69"/>
      <c r="B33" s="69"/>
      <c r="C33" s="70"/>
      <c r="D33" s="69"/>
      <c r="E33" s="69"/>
      <c r="F33" s="69"/>
      <c r="G33" s="69"/>
      <c r="H33" s="69"/>
      <c r="I33" s="69"/>
      <c r="J33" s="69"/>
      <c r="K33" s="74"/>
      <c r="L33" s="8"/>
    </row>
    <row r="34" spans="1:25" ht="11.25">
      <c r="A34" s="69"/>
      <c r="B34" s="75"/>
      <c r="C34" s="76"/>
      <c r="D34" s="76"/>
      <c r="E34" s="76"/>
      <c r="F34" s="69"/>
      <c r="G34" s="69"/>
      <c r="H34" s="69"/>
      <c r="I34" s="69"/>
      <c r="J34" s="69"/>
      <c r="K34" s="74"/>
      <c r="L34" s="60"/>
    </row>
    <row r="35" spans="1:25" ht="11.25">
      <c r="A35" s="69"/>
      <c r="B35" s="69"/>
      <c r="C35" s="69"/>
      <c r="D35" s="69"/>
      <c r="E35" s="69"/>
      <c r="F35" s="69"/>
      <c r="G35" s="69"/>
      <c r="H35" s="69"/>
      <c r="I35" s="69"/>
      <c r="J35" s="69"/>
      <c r="K35" s="74"/>
      <c r="L35" s="8"/>
    </row>
    <row r="36" spans="1:25" ht="11.25">
      <c r="A36" s="69"/>
      <c r="B36" s="69"/>
      <c r="C36" s="69"/>
      <c r="D36" s="69"/>
      <c r="E36" s="69"/>
      <c r="F36" s="69"/>
      <c r="G36" s="69"/>
      <c r="H36" s="69"/>
      <c r="I36" s="69"/>
      <c r="J36" s="69"/>
      <c r="K36" s="74"/>
      <c r="L36" s="8"/>
    </row>
    <row r="37" spans="1:25" ht="11.25">
      <c r="A37" s="69"/>
      <c r="B37" s="69"/>
      <c r="C37" s="74"/>
      <c r="D37" s="69"/>
      <c r="E37" s="69"/>
      <c r="F37" s="69"/>
      <c r="G37" s="69"/>
      <c r="H37" s="69"/>
      <c r="I37" s="69"/>
      <c r="J37" s="69"/>
      <c r="K37" s="74"/>
      <c r="L37" s="8"/>
    </row>
    <row r="38" spans="1:25" ht="11.25">
      <c r="A38" s="69"/>
      <c r="B38" s="69"/>
      <c r="C38" s="74"/>
      <c r="D38" s="69"/>
      <c r="E38" s="69"/>
      <c r="F38" s="69"/>
      <c r="G38" s="69"/>
      <c r="H38" s="69"/>
      <c r="I38" s="69"/>
      <c r="J38" s="69"/>
      <c r="K38" s="74"/>
      <c r="L38" s="8"/>
    </row>
    <row r="39" spans="1:25" ht="11.25">
      <c r="A39" s="69"/>
      <c r="B39" s="69"/>
      <c r="C39" s="74"/>
      <c r="D39" s="69"/>
      <c r="E39" s="69"/>
      <c r="F39" s="69"/>
      <c r="G39" s="69"/>
      <c r="H39" s="69"/>
      <c r="I39" s="69"/>
      <c r="J39" s="69"/>
      <c r="K39" s="74"/>
      <c r="L39" s="8"/>
    </row>
    <row r="40" spans="1:25" ht="11.25">
      <c r="A40" s="69"/>
      <c r="B40" s="69"/>
      <c r="C40" s="74"/>
      <c r="D40" s="69"/>
      <c r="E40" s="69"/>
      <c r="F40" s="69"/>
      <c r="G40" s="69"/>
      <c r="H40" s="69"/>
      <c r="I40" s="69"/>
      <c r="J40" s="69"/>
      <c r="K40" s="74"/>
      <c r="L40" s="8"/>
    </row>
    <row r="41" spans="1:25" ht="11.25">
      <c r="A41" s="69"/>
      <c r="B41" s="69"/>
      <c r="C41" s="74"/>
      <c r="D41" s="69"/>
      <c r="E41" s="69"/>
      <c r="F41" s="69"/>
      <c r="G41" s="69"/>
      <c r="H41" s="69"/>
      <c r="I41" s="69"/>
      <c r="J41" s="69"/>
      <c r="K41" s="74"/>
      <c r="L41" s="8"/>
    </row>
    <row r="42" spans="1:25" ht="11.25">
      <c r="A42" s="69"/>
      <c r="B42" s="69"/>
      <c r="C42" s="74"/>
      <c r="D42" s="69"/>
      <c r="E42" s="69"/>
      <c r="F42" s="69"/>
      <c r="G42" s="69"/>
      <c r="H42" s="69"/>
      <c r="I42" s="69"/>
      <c r="J42" s="69"/>
      <c r="K42" s="74"/>
      <c r="L42" s="8"/>
    </row>
    <row r="43" spans="1:25" ht="11.25">
      <c r="A43" s="69"/>
      <c r="B43" s="77"/>
      <c r="C43" s="74"/>
      <c r="D43" s="69"/>
      <c r="E43" s="69"/>
      <c r="F43" s="69"/>
      <c r="G43" s="69"/>
      <c r="H43" s="69"/>
      <c r="I43" s="69"/>
      <c r="J43" s="69"/>
      <c r="K43" s="74"/>
      <c r="L43" s="8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</row>
    <row r="44" spans="1:25" ht="11.25">
      <c r="A44" s="69"/>
      <c r="B44" s="77"/>
      <c r="C44" s="74"/>
      <c r="D44" s="69"/>
      <c r="E44" s="69"/>
      <c r="F44" s="69"/>
      <c r="G44" s="69"/>
      <c r="H44" s="69"/>
      <c r="I44" s="69"/>
      <c r="J44" s="69"/>
      <c r="K44" s="74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</row>
    <row r="45" spans="1:25" ht="11.25">
      <c r="A45" s="69"/>
      <c r="B45" s="77"/>
      <c r="C45" s="74"/>
      <c r="D45" s="69"/>
      <c r="E45" s="69"/>
      <c r="F45" s="69"/>
      <c r="G45" s="69"/>
      <c r="H45" s="69"/>
      <c r="I45" s="69"/>
      <c r="J45" s="69"/>
      <c r="K45" s="74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</row>
    <row r="46" spans="1:25" ht="11.25">
      <c r="A46" s="86"/>
      <c r="B46" s="87"/>
      <c r="C46" s="88"/>
      <c r="D46" s="86"/>
      <c r="E46" s="86"/>
      <c r="F46" s="86"/>
      <c r="G46" s="86"/>
      <c r="H46" s="86"/>
      <c r="I46" s="86"/>
      <c r="J46" s="86"/>
      <c r="K46" s="88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</row>
    <row r="47" spans="1:25" s="85" customFormat="1" ht="234.75" customHeight="1">
      <c r="A47" s="79" t="s">
        <v>587</v>
      </c>
      <c r="B47" s="80"/>
      <c r="C47" s="81"/>
      <c r="D47" s="82"/>
      <c r="E47" s="83"/>
      <c r="F47" s="84"/>
      <c r="G47" s="84"/>
      <c r="H47" s="84"/>
      <c r="I47" s="84"/>
      <c r="J47" s="84"/>
      <c r="K47" s="84"/>
    </row>
    <row r="48" spans="1:25" s="14" customFormat="1" ht="17.100000000000001" customHeight="1">
      <c r="B48" s="136" t="s">
        <v>588</v>
      </c>
      <c r="C48" s="137" t="s">
        <v>524</v>
      </c>
      <c r="D48" s="138" t="s">
        <v>525</v>
      </c>
      <c r="E48" s="139" t="s">
        <v>535</v>
      </c>
      <c r="F48" s="140" t="s">
        <v>526</v>
      </c>
      <c r="G48" s="140" t="s">
        <v>575</v>
      </c>
      <c r="H48" s="96"/>
      <c r="I48" s="96"/>
      <c r="J48" s="96"/>
      <c r="K48" s="96"/>
      <c r="L48" s="95"/>
      <c r="M48" s="95"/>
      <c r="N48" s="95"/>
      <c r="O48" s="95"/>
      <c r="P48" s="95"/>
      <c r="Q48" s="95"/>
      <c r="R48" s="95"/>
      <c r="S48" s="95"/>
      <c r="T48" s="95"/>
      <c r="U48" s="95"/>
      <c r="V48" s="95"/>
      <c r="W48" s="95"/>
    </row>
    <row r="49" spans="2:23" s="14" customFormat="1" ht="17.100000000000001" customHeight="1">
      <c r="B49" s="140" t="s">
        <v>519</v>
      </c>
      <c r="C49" s="137" t="s">
        <v>520</v>
      </c>
      <c r="D49" s="138" t="s">
        <v>521</v>
      </c>
      <c r="E49" s="139" t="s">
        <v>522</v>
      </c>
      <c r="F49" s="140" t="s">
        <v>523</v>
      </c>
      <c r="G49" s="140" t="s">
        <v>527</v>
      </c>
      <c r="H49" s="96"/>
      <c r="I49" s="96"/>
      <c r="J49" s="96"/>
      <c r="K49" s="96"/>
      <c r="L49" s="95"/>
      <c r="M49" s="95"/>
      <c r="N49" s="95"/>
      <c r="O49" s="95"/>
      <c r="P49" s="95"/>
      <c r="Q49" s="95"/>
      <c r="R49" s="95"/>
      <c r="S49" s="95"/>
      <c r="T49" s="95"/>
      <c r="U49" s="95"/>
      <c r="V49" s="95"/>
      <c r="W49" s="95"/>
    </row>
    <row r="50" spans="2:23" s="14" customFormat="1" ht="17.100000000000001" customHeight="1">
      <c r="B50" s="141" t="s">
        <v>576</v>
      </c>
      <c r="C50" s="142" t="s">
        <v>577</v>
      </c>
      <c r="D50" s="143" t="s">
        <v>578</v>
      </c>
      <c r="E50" s="144">
        <v>1</v>
      </c>
      <c r="F50" s="141" t="s">
        <v>579</v>
      </c>
      <c r="G50" s="141" t="s">
        <v>580</v>
      </c>
      <c r="H50" s="89"/>
      <c r="I50" s="89"/>
      <c r="J50" s="89"/>
      <c r="K50" s="89"/>
      <c r="L50" s="93"/>
      <c r="M50" s="93"/>
      <c r="N50" s="93"/>
      <c r="O50" s="93"/>
      <c r="P50" s="93"/>
      <c r="Q50" s="93"/>
      <c r="R50" s="93"/>
      <c r="S50" s="93"/>
      <c r="T50" s="93"/>
      <c r="U50" s="93"/>
      <c r="V50" s="93"/>
      <c r="W50" s="93"/>
    </row>
    <row r="51" spans="2:23" s="14" customFormat="1" ht="17.100000000000001" customHeight="1">
      <c r="B51" s="141" t="s">
        <v>581</v>
      </c>
      <c r="C51" s="142" t="s">
        <v>577</v>
      </c>
      <c r="D51" s="143" t="s">
        <v>578</v>
      </c>
      <c r="E51" s="144">
        <v>1</v>
      </c>
      <c r="F51" s="141" t="s">
        <v>579</v>
      </c>
      <c r="G51" s="141" t="s">
        <v>580</v>
      </c>
      <c r="H51" s="89"/>
      <c r="I51" s="89"/>
      <c r="J51" s="89"/>
      <c r="K51" s="89"/>
      <c r="L51" s="93"/>
      <c r="M51" s="93"/>
      <c r="N51" s="93"/>
      <c r="O51" s="93"/>
      <c r="P51" s="93"/>
      <c r="Q51" s="93"/>
      <c r="R51" s="93"/>
      <c r="S51" s="93"/>
      <c r="T51" s="93"/>
      <c r="U51" s="93"/>
      <c r="V51" s="93"/>
      <c r="W51" s="93"/>
    </row>
    <row r="52" spans="2:23" s="14" customFormat="1" ht="17.100000000000001" customHeight="1">
      <c r="B52" s="141" t="s">
        <v>582</v>
      </c>
      <c r="C52" s="142" t="s">
        <v>577</v>
      </c>
      <c r="D52" s="143" t="s">
        <v>578</v>
      </c>
      <c r="E52" s="144">
        <v>6</v>
      </c>
      <c r="F52" s="141" t="s">
        <v>579</v>
      </c>
      <c r="G52" s="141" t="s">
        <v>580</v>
      </c>
      <c r="H52" s="89"/>
      <c r="I52" s="89"/>
      <c r="J52" s="89"/>
      <c r="K52" s="89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</row>
    <row r="53" spans="2:23" s="14" customFormat="1" ht="17.100000000000001" customHeight="1">
      <c r="B53" s="141" t="s">
        <v>583</v>
      </c>
      <c r="C53" s="142" t="s">
        <v>577</v>
      </c>
      <c r="D53" s="143" t="s">
        <v>578</v>
      </c>
      <c r="E53" s="144">
        <v>3</v>
      </c>
      <c r="F53" s="141" t="s">
        <v>579</v>
      </c>
      <c r="G53" s="141" t="s">
        <v>580</v>
      </c>
      <c r="H53" s="89"/>
      <c r="I53" s="89"/>
      <c r="J53" s="89"/>
      <c r="K53" s="89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</row>
    <row r="54" spans="2:23" s="14" customFormat="1" ht="17.100000000000001" customHeight="1">
      <c r="B54" s="89"/>
      <c r="C54" s="90"/>
      <c r="D54" s="91"/>
      <c r="E54" s="92"/>
      <c r="F54" s="89"/>
      <c r="G54" s="89"/>
      <c r="H54" s="89"/>
      <c r="I54" s="89"/>
      <c r="J54" s="89"/>
      <c r="K54" s="89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</row>
    <row r="55" spans="2:23" s="14" customFormat="1" ht="17.100000000000001" customHeight="1">
      <c r="B55" s="89"/>
      <c r="C55" s="90"/>
      <c r="D55" s="91"/>
      <c r="E55" s="92"/>
      <c r="F55" s="89"/>
      <c r="G55" s="89"/>
      <c r="H55" s="89"/>
      <c r="I55" s="89"/>
      <c r="J55" s="89"/>
      <c r="K55" s="89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</row>
    <row r="56" spans="2:23" s="14" customFormat="1" ht="17.100000000000001" customHeight="1">
      <c r="B56" s="89"/>
      <c r="C56" s="90"/>
      <c r="D56" s="91"/>
      <c r="E56" s="92"/>
      <c r="F56" s="89"/>
      <c r="G56" s="89"/>
      <c r="H56" s="89"/>
      <c r="I56" s="89"/>
      <c r="J56" s="89"/>
      <c r="K56" s="89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</row>
    <row r="57" spans="2:23" s="14" customFormat="1" ht="17.100000000000001" customHeight="1">
      <c r="B57" s="89"/>
      <c r="C57" s="90"/>
      <c r="D57" s="91"/>
      <c r="E57" s="92"/>
      <c r="F57" s="89"/>
      <c r="G57" s="89"/>
      <c r="H57" s="89"/>
      <c r="I57" s="89"/>
      <c r="J57" s="89"/>
      <c r="K57" s="89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</row>
    <row r="58" spans="2:23" s="14" customFormat="1" ht="17.100000000000001" customHeight="1">
      <c r="B58" s="89"/>
      <c r="C58" s="90"/>
      <c r="D58" s="91"/>
      <c r="E58" s="92"/>
      <c r="F58" s="89"/>
      <c r="G58" s="89"/>
      <c r="H58" s="89"/>
      <c r="I58" s="89"/>
      <c r="J58" s="89"/>
      <c r="K58" s="89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</row>
    <row r="59" spans="2:23" s="14" customFormat="1" ht="17.100000000000001" customHeight="1">
      <c r="B59" s="89"/>
      <c r="C59" s="90"/>
      <c r="D59" s="91"/>
      <c r="E59" s="92"/>
      <c r="F59" s="89"/>
      <c r="G59" s="89"/>
      <c r="H59" s="89"/>
      <c r="I59" s="89"/>
      <c r="J59" s="89"/>
      <c r="K59" s="89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</row>
    <row r="60" spans="2:23" s="14" customFormat="1" ht="17.100000000000001" customHeight="1">
      <c r="B60" s="89"/>
      <c r="C60" s="90"/>
      <c r="D60" s="91"/>
      <c r="E60" s="92"/>
      <c r="F60" s="89"/>
      <c r="G60" s="89"/>
      <c r="H60" s="89"/>
      <c r="I60" s="89"/>
      <c r="J60" s="89"/>
      <c r="K60" s="89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</row>
    <row r="61" spans="2:23" s="14" customFormat="1" ht="17.100000000000001" customHeight="1">
      <c r="B61" s="89"/>
      <c r="C61" s="90"/>
      <c r="D61" s="91"/>
      <c r="E61" s="92"/>
      <c r="F61" s="89"/>
      <c r="G61" s="89"/>
      <c r="H61" s="89"/>
      <c r="I61" s="89"/>
      <c r="J61" s="89"/>
      <c r="K61" s="89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</row>
    <row r="62" spans="2:23" s="14" customFormat="1" ht="17.100000000000001" customHeight="1">
      <c r="B62" s="89"/>
      <c r="C62" s="90"/>
      <c r="D62" s="91"/>
      <c r="E62" s="92"/>
      <c r="F62" s="89"/>
      <c r="G62" s="89"/>
      <c r="H62" s="89"/>
      <c r="I62" s="89"/>
      <c r="J62" s="89"/>
      <c r="K62" s="89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</row>
    <row r="63" spans="2:23" s="14" customFormat="1" ht="17.100000000000001" customHeight="1">
      <c r="B63" s="89"/>
      <c r="C63" s="90"/>
      <c r="D63" s="91"/>
      <c r="E63" s="92"/>
      <c r="F63" s="89"/>
      <c r="G63" s="89"/>
      <c r="H63" s="89"/>
      <c r="I63" s="89"/>
      <c r="J63" s="89"/>
      <c r="K63" s="89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</row>
    <row r="64" spans="2:23" s="14" customFormat="1" ht="17.100000000000001" customHeight="1">
      <c r="B64" s="89"/>
      <c r="C64" s="90"/>
      <c r="D64" s="91"/>
      <c r="E64" s="92"/>
      <c r="F64" s="89"/>
      <c r="G64" s="89"/>
      <c r="H64" s="89"/>
      <c r="I64" s="89"/>
      <c r="J64" s="89"/>
      <c r="K64" s="89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</row>
    <row r="65" spans="2:23" s="14" customFormat="1" ht="17.100000000000001" customHeight="1">
      <c r="B65" s="89"/>
      <c r="C65" s="90"/>
      <c r="D65" s="91"/>
      <c r="E65" s="92"/>
      <c r="F65" s="89"/>
      <c r="G65" s="89"/>
      <c r="H65" s="89"/>
      <c r="I65" s="89"/>
      <c r="J65" s="89"/>
      <c r="K65" s="89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</row>
    <row r="66" spans="2:23" s="14" customFormat="1" ht="17.100000000000001" customHeight="1">
      <c r="B66" s="89"/>
      <c r="C66" s="90"/>
      <c r="D66" s="91"/>
      <c r="E66" s="92"/>
      <c r="F66" s="89"/>
      <c r="G66" s="89"/>
      <c r="H66" s="89"/>
      <c r="I66" s="89"/>
      <c r="J66" s="89"/>
      <c r="K66" s="89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</row>
    <row r="67" spans="2:23" s="14" customFormat="1" ht="17.100000000000001" customHeight="1">
      <c r="B67" s="89"/>
      <c r="C67" s="90"/>
      <c r="D67" s="91"/>
      <c r="E67" s="92"/>
      <c r="F67" s="89"/>
      <c r="G67" s="89"/>
      <c r="H67" s="89"/>
      <c r="I67" s="89"/>
      <c r="J67" s="89"/>
      <c r="K67" s="89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</row>
    <row r="68" spans="2:23" s="14" customFormat="1" ht="17.100000000000001" customHeight="1">
      <c r="B68" s="89"/>
      <c r="C68" s="90"/>
      <c r="D68" s="91"/>
      <c r="E68" s="92"/>
      <c r="F68" s="89"/>
      <c r="G68" s="89"/>
      <c r="H68" s="89"/>
      <c r="I68" s="89"/>
      <c r="J68" s="89"/>
      <c r="K68" s="89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</row>
    <row r="69" spans="2:23" s="14" customFormat="1" ht="17.100000000000001" customHeight="1">
      <c r="B69" s="89"/>
      <c r="C69" s="90"/>
      <c r="D69" s="91"/>
      <c r="E69" s="92"/>
      <c r="F69" s="89"/>
      <c r="G69" s="89"/>
      <c r="H69" s="89"/>
      <c r="I69" s="89"/>
      <c r="J69" s="89"/>
      <c r="K69" s="89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</row>
    <row r="70" spans="2:23" s="14" customFormat="1" ht="17.100000000000001" customHeight="1">
      <c r="B70" s="89"/>
      <c r="C70" s="90"/>
      <c r="D70" s="91"/>
      <c r="E70" s="92"/>
      <c r="F70" s="89"/>
      <c r="G70" s="89"/>
      <c r="H70" s="89"/>
      <c r="I70" s="89"/>
      <c r="J70" s="89"/>
      <c r="K70" s="89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</row>
    <row r="71" spans="2:23" s="14" customFormat="1" ht="17.100000000000001" customHeight="1">
      <c r="B71" s="89"/>
      <c r="C71" s="90"/>
      <c r="D71" s="91"/>
      <c r="E71" s="92"/>
      <c r="F71" s="89"/>
      <c r="G71" s="89"/>
      <c r="H71" s="89"/>
      <c r="I71" s="89"/>
      <c r="J71" s="89"/>
      <c r="K71" s="89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</row>
    <row r="72" spans="2:23" s="14" customFormat="1" ht="17.100000000000001" customHeight="1">
      <c r="B72" s="89"/>
      <c r="C72" s="90"/>
      <c r="D72" s="91"/>
      <c r="E72" s="92"/>
      <c r="F72" s="89"/>
      <c r="G72" s="89"/>
      <c r="H72" s="89"/>
      <c r="I72" s="89"/>
      <c r="J72" s="89"/>
      <c r="K72" s="89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</row>
    <row r="73" spans="2:23" s="14" customFormat="1" ht="17.100000000000001" customHeight="1">
      <c r="B73" s="89"/>
      <c r="C73" s="90"/>
      <c r="D73" s="91"/>
      <c r="E73" s="92"/>
      <c r="F73" s="89"/>
      <c r="G73" s="89"/>
      <c r="H73" s="89"/>
      <c r="I73" s="89"/>
      <c r="J73" s="89"/>
      <c r="K73" s="89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</row>
    <row r="74" spans="2:23" s="14" customFormat="1" ht="17.100000000000001" customHeight="1">
      <c r="B74" s="89"/>
      <c r="C74" s="90"/>
      <c r="D74" s="91"/>
      <c r="E74" s="92"/>
      <c r="F74" s="89"/>
      <c r="G74" s="89"/>
      <c r="H74" s="89"/>
      <c r="I74" s="89"/>
      <c r="J74" s="89"/>
      <c r="K74" s="89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</row>
    <row r="75" spans="2:23" s="14" customFormat="1" ht="17.100000000000001" customHeight="1">
      <c r="B75" s="89"/>
      <c r="C75" s="90"/>
      <c r="D75" s="91"/>
      <c r="E75" s="92"/>
      <c r="F75" s="89"/>
      <c r="G75" s="89"/>
      <c r="H75" s="89"/>
      <c r="I75" s="89"/>
      <c r="J75" s="89"/>
      <c r="K75" s="89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</row>
    <row r="76" spans="2:23" s="14" customFormat="1" ht="17.100000000000001" customHeight="1">
      <c r="B76" s="89"/>
      <c r="C76" s="90"/>
      <c r="D76" s="91"/>
      <c r="E76" s="92"/>
      <c r="F76" s="89"/>
      <c r="G76" s="89"/>
      <c r="H76" s="89"/>
      <c r="I76" s="89"/>
      <c r="J76" s="89"/>
      <c r="K76" s="89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</row>
    <row r="77" spans="2:23" s="14" customFormat="1" ht="17.100000000000001" customHeight="1">
      <c r="B77" s="89"/>
      <c r="C77" s="90"/>
      <c r="D77" s="91"/>
      <c r="E77" s="92"/>
      <c r="F77" s="89"/>
      <c r="G77" s="89"/>
      <c r="H77" s="89"/>
      <c r="I77" s="89"/>
      <c r="J77" s="89"/>
      <c r="K77" s="89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</row>
    <row r="78" spans="2:23" s="14" customFormat="1" ht="17.100000000000001" customHeight="1">
      <c r="B78" s="89"/>
      <c r="C78" s="90"/>
      <c r="D78" s="91"/>
      <c r="E78" s="92"/>
      <c r="F78" s="89"/>
      <c r="G78" s="89"/>
      <c r="H78" s="89"/>
      <c r="I78" s="89"/>
      <c r="J78" s="89"/>
      <c r="K78" s="89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</row>
    <row r="79" spans="2:23" s="14" customFormat="1" ht="17.100000000000001" customHeight="1">
      <c r="B79" s="89"/>
      <c r="C79" s="90"/>
      <c r="D79" s="91"/>
      <c r="E79" s="92"/>
      <c r="F79" s="89"/>
      <c r="G79" s="89"/>
      <c r="H79" s="89"/>
      <c r="I79" s="89"/>
      <c r="J79" s="89"/>
      <c r="K79" s="89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</row>
    <row r="80" spans="2:23" s="14" customFormat="1" ht="17.100000000000001" customHeight="1">
      <c r="B80" s="89"/>
      <c r="C80" s="90"/>
      <c r="D80" s="91"/>
      <c r="E80" s="92"/>
      <c r="F80" s="89"/>
      <c r="G80" s="89"/>
      <c r="H80" s="89"/>
      <c r="I80" s="89"/>
      <c r="J80" s="89"/>
      <c r="K80" s="89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</row>
    <row r="81" spans="2:23" s="14" customFormat="1" ht="17.100000000000001" customHeight="1">
      <c r="B81" s="89"/>
      <c r="C81" s="90"/>
      <c r="D81" s="91"/>
      <c r="E81" s="92"/>
      <c r="F81" s="89"/>
      <c r="G81" s="89"/>
      <c r="H81" s="89"/>
      <c r="I81" s="89"/>
      <c r="J81" s="89"/>
      <c r="K81" s="89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</row>
    <row r="82" spans="2:23" s="14" customFormat="1" ht="17.100000000000001" customHeight="1">
      <c r="B82" s="89"/>
      <c r="C82" s="90"/>
      <c r="D82" s="91"/>
      <c r="E82" s="92"/>
      <c r="F82" s="89"/>
      <c r="G82" s="89"/>
      <c r="H82" s="89"/>
      <c r="I82" s="89"/>
      <c r="J82" s="89"/>
      <c r="K82" s="89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</row>
    <row r="83" spans="2:23" s="14" customFormat="1" ht="17.100000000000001" customHeight="1">
      <c r="B83" s="89"/>
      <c r="C83" s="90"/>
      <c r="D83" s="91"/>
      <c r="E83" s="92"/>
      <c r="F83" s="89"/>
      <c r="G83" s="89"/>
      <c r="H83" s="89"/>
      <c r="I83" s="89"/>
      <c r="J83" s="89"/>
      <c r="K83" s="89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</row>
    <row r="84" spans="2:23" s="14" customFormat="1" ht="17.100000000000001" customHeight="1">
      <c r="B84" s="89"/>
      <c r="C84" s="90"/>
      <c r="D84" s="91"/>
      <c r="E84" s="92"/>
      <c r="F84" s="89"/>
      <c r="G84" s="89"/>
      <c r="H84" s="89"/>
      <c r="I84" s="89"/>
      <c r="J84" s="89"/>
      <c r="K84" s="89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</row>
    <row r="85" spans="2:23" s="14" customFormat="1" ht="17.100000000000001" customHeight="1">
      <c r="B85" s="89"/>
      <c r="C85" s="90"/>
      <c r="D85" s="91"/>
      <c r="E85" s="92"/>
      <c r="F85" s="89"/>
      <c r="G85" s="89"/>
      <c r="H85" s="89"/>
      <c r="I85" s="89"/>
      <c r="J85" s="89"/>
      <c r="K85" s="89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</row>
    <row r="86" spans="2:23" s="14" customFormat="1" ht="17.100000000000001" customHeight="1">
      <c r="B86" s="89"/>
      <c r="C86" s="90"/>
      <c r="D86" s="91"/>
      <c r="E86" s="92"/>
      <c r="F86" s="89"/>
      <c r="G86" s="89"/>
      <c r="H86" s="89"/>
      <c r="I86" s="89"/>
      <c r="J86" s="89"/>
      <c r="K86" s="89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</row>
    <row r="87" spans="2:23" s="14" customFormat="1" ht="17.100000000000001" customHeight="1">
      <c r="B87" s="89"/>
      <c r="C87" s="90"/>
      <c r="D87" s="91"/>
      <c r="E87" s="92"/>
      <c r="F87" s="89"/>
      <c r="G87" s="89"/>
      <c r="H87" s="89"/>
      <c r="I87" s="89"/>
      <c r="J87" s="89"/>
      <c r="K87" s="89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</row>
    <row r="88" spans="2:23" s="14" customFormat="1" ht="17.100000000000001" customHeight="1">
      <c r="B88" s="89"/>
      <c r="C88" s="90"/>
      <c r="D88" s="91"/>
      <c r="E88" s="92"/>
      <c r="F88" s="89"/>
      <c r="G88" s="89"/>
      <c r="H88" s="89"/>
      <c r="I88" s="89"/>
      <c r="J88" s="89"/>
      <c r="K88" s="89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</row>
    <row r="89" spans="2:23" s="14" customFormat="1" ht="17.100000000000001" customHeight="1">
      <c r="B89" s="89"/>
      <c r="C89" s="90"/>
      <c r="D89" s="91"/>
      <c r="E89" s="92"/>
      <c r="F89" s="89"/>
      <c r="G89" s="89"/>
      <c r="H89" s="89"/>
      <c r="I89" s="89"/>
      <c r="J89" s="89"/>
      <c r="K89" s="89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</row>
    <row r="90" spans="2:23" s="14" customFormat="1" ht="17.100000000000001" customHeight="1">
      <c r="B90" s="89"/>
      <c r="C90" s="90"/>
      <c r="D90" s="91"/>
      <c r="E90" s="92"/>
      <c r="F90" s="89"/>
      <c r="G90" s="89"/>
      <c r="H90" s="89"/>
      <c r="I90" s="89"/>
      <c r="J90" s="89"/>
      <c r="K90" s="89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</row>
    <row r="91" spans="2:23" s="14" customFormat="1" ht="17.100000000000001" customHeight="1">
      <c r="B91" s="89"/>
      <c r="C91" s="90"/>
      <c r="D91" s="91"/>
      <c r="E91" s="92"/>
      <c r="F91" s="89"/>
      <c r="G91" s="89"/>
      <c r="H91" s="89"/>
      <c r="I91" s="89"/>
      <c r="J91" s="89"/>
      <c r="K91" s="89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</row>
    <row r="92" spans="2:23" s="14" customFormat="1" ht="17.100000000000001" customHeight="1">
      <c r="B92" s="89"/>
      <c r="C92" s="90"/>
      <c r="D92" s="91"/>
      <c r="E92" s="92"/>
      <c r="F92" s="89"/>
      <c r="G92" s="89"/>
      <c r="H92" s="89"/>
      <c r="I92" s="89"/>
      <c r="J92" s="89"/>
      <c r="K92" s="89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</row>
    <row r="93" spans="2:23" s="14" customFormat="1" ht="17.100000000000001" customHeight="1">
      <c r="B93" s="89"/>
      <c r="C93" s="90"/>
      <c r="D93" s="91"/>
      <c r="E93" s="92"/>
      <c r="F93" s="89"/>
      <c r="G93" s="89"/>
      <c r="H93" s="89"/>
      <c r="I93" s="89"/>
      <c r="J93" s="89"/>
      <c r="K93" s="89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</row>
    <row r="94" spans="2:23" s="14" customFormat="1" ht="17.100000000000001" customHeight="1">
      <c r="B94" s="89"/>
      <c r="C94" s="90"/>
      <c r="D94" s="91"/>
      <c r="E94" s="92"/>
      <c r="F94" s="89"/>
      <c r="G94" s="89"/>
      <c r="H94" s="89"/>
      <c r="I94" s="89"/>
      <c r="J94" s="89"/>
      <c r="K94" s="89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</row>
    <row r="95" spans="2:23" s="14" customFormat="1" ht="17.100000000000001" customHeight="1">
      <c r="B95" s="89"/>
      <c r="C95" s="90"/>
      <c r="D95" s="91"/>
      <c r="E95" s="92"/>
      <c r="F95" s="89"/>
      <c r="G95" s="89"/>
      <c r="H95" s="89"/>
      <c r="I95" s="89"/>
      <c r="J95" s="89"/>
      <c r="K95" s="89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</row>
    <row r="96" spans="2:23" s="14" customFormat="1" ht="17.100000000000001" customHeight="1">
      <c r="B96" s="89"/>
      <c r="C96" s="90"/>
      <c r="D96" s="91"/>
      <c r="E96" s="92"/>
      <c r="F96" s="89"/>
      <c r="G96" s="89"/>
      <c r="H96" s="89"/>
      <c r="I96" s="89"/>
      <c r="J96" s="89"/>
      <c r="K96" s="89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</row>
    <row r="97" spans="2:23" s="14" customFormat="1" ht="17.100000000000001" customHeight="1">
      <c r="B97" s="89"/>
      <c r="C97" s="90"/>
      <c r="D97" s="91"/>
      <c r="E97" s="92"/>
      <c r="F97" s="89"/>
      <c r="G97" s="89"/>
      <c r="H97" s="89"/>
      <c r="I97" s="89"/>
      <c r="J97" s="89"/>
      <c r="K97" s="89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</row>
    <row r="98" spans="2:23" s="14" customFormat="1" ht="17.100000000000001" customHeight="1">
      <c r="B98" s="89"/>
      <c r="C98" s="90"/>
      <c r="D98" s="91"/>
      <c r="E98" s="92"/>
      <c r="F98" s="89"/>
      <c r="G98" s="89"/>
      <c r="H98" s="89"/>
      <c r="I98" s="89"/>
      <c r="J98" s="89"/>
      <c r="K98" s="89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</row>
    <row r="99" spans="2:23" s="14" customFormat="1" ht="17.100000000000001" customHeight="1">
      <c r="B99" s="89"/>
      <c r="C99" s="90"/>
      <c r="D99" s="91"/>
      <c r="E99" s="92"/>
      <c r="F99" s="89"/>
      <c r="G99" s="89"/>
      <c r="H99" s="89"/>
      <c r="I99" s="89"/>
      <c r="J99" s="89"/>
      <c r="K99" s="89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</row>
    <row r="100" spans="2:23" s="14" customFormat="1" ht="17.100000000000001" customHeight="1">
      <c r="B100" s="89"/>
      <c r="C100" s="90"/>
      <c r="D100" s="91"/>
      <c r="E100" s="92"/>
      <c r="F100" s="89"/>
      <c r="G100" s="89"/>
      <c r="H100" s="89"/>
      <c r="I100" s="89"/>
      <c r="J100" s="89"/>
      <c r="K100" s="89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</row>
    <row r="101" spans="2:23" s="14" customFormat="1" ht="17.100000000000001" customHeight="1">
      <c r="B101" s="89"/>
      <c r="C101" s="90"/>
      <c r="D101" s="91"/>
      <c r="E101" s="92"/>
      <c r="F101" s="89"/>
      <c r="G101" s="89"/>
      <c r="H101" s="89"/>
      <c r="I101" s="89"/>
      <c r="J101" s="89"/>
      <c r="K101" s="89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</row>
    <row r="102" spans="2:23" s="14" customFormat="1" ht="17.100000000000001" customHeight="1">
      <c r="B102" s="89"/>
      <c r="C102" s="90"/>
      <c r="D102" s="91"/>
      <c r="E102" s="92"/>
      <c r="F102" s="89"/>
      <c r="G102" s="89"/>
      <c r="H102" s="89"/>
      <c r="I102" s="89"/>
      <c r="J102" s="89"/>
      <c r="K102" s="89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</row>
    <row r="103" spans="2:23" s="14" customFormat="1" ht="17.100000000000001" customHeight="1">
      <c r="B103" s="89"/>
      <c r="C103" s="90"/>
      <c r="D103" s="91"/>
      <c r="E103" s="92"/>
      <c r="F103" s="89"/>
      <c r="G103" s="89"/>
      <c r="H103" s="89"/>
      <c r="I103" s="89"/>
      <c r="J103" s="89"/>
      <c r="K103" s="89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</row>
    <row r="104" spans="2:23" s="14" customFormat="1" ht="17.100000000000001" customHeight="1">
      <c r="B104" s="89"/>
      <c r="C104" s="90"/>
      <c r="D104" s="91"/>
      <c r="E104" s="92"/>
      <c r="F104" s="89"/>
      <c r="G104" s="89"/>
      <c r="H104" s="89"/>
      <c r="I104" s="89"/>
      <c r="J104" s="89"/>
      <c r="K104" s="89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</row>
    <row r="105" spans="2:23" s="14" customFormat="1" ht="17.100000000000001" customHeight="1">
      <c r="B105" s="89"/>
      <c r="C105" s="90"/>
      <c r="D105" s="91"/>
      <c r="E105" s="92"/>
      <c r="F105" s="89"/>
      <c r="G105" s="89"/>
      <c r="H105" s="89"/>
      <c r="I105" s="89"/>
      <c r="J105" s="89"/>
      <c r="K105" s="89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</row>
    <row r="106" spans="2:23" s="14" customFormat="1" ht="17.100000000000001" customHeight="1">
      <c r="B106" s="89"/>
      <c r="C106" s="90"/>
      <c r="D106" s="91"/>
      <c r="E106" s="92"/>
      <c r="F106" s="89"/>
      <c r="G106" s="89"/>
      <c r="H106" s="89"/>
      <c r="I106" s="89"/>
      <c r="J106" s="89"/>
      <c r="K106" s="89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</row>
    <row r="107" spans="2:23" s="14" customFormat="1" ht="17.100000000000001" customHeight="1">
      <c r="B107" s="89"/>
      <c r="C107" s="90"/>
      <c r="D107" s="91"/>
      <c r="E107" s="92"/>
      <c r="F107" s="89"/>
      <c r="G107" s="89"/>
      <c r="H107" s="89"/>
      <c r="I107" s="89"/>
      <c r="J107" s="89"/>
      <c r="K107" s="89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</row>
    <row r="108" spans="2:23" s="14" customFormat="1" ht="17.100000000000001" customHeight="1">
      <c r="B108" s="89"/>
      <c r="C108" s="90"/>
      <c r="D108" s="91"/>
      <c r="E108" s="92"/>
      <c r="F108" s="89"/>
      <c r="G108" s="89"/>
      <c r="H108" s="89"/>
      <c r="I108" s="89"/>
      <c r="J108" s="89"/>
      <c r="K108" s="89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</row>
    <row r="109" spans="2:23" s="14" customFormat="1" ht="17.100000000000001" customHeight="1">
      <c r="B109" s="89"/>
      <c r="C109" s="90"/>
      <c r="D109" s="91"/>
      <c r="E109" s="92"/>
      <c r="F109" s="89"/>
      <c r="G109" s="89"/>
      <c r="H109" s="89"/>
      <c r="I109" s="89"/>
      <c r="J109" s="89"/>
      <c r="K109" s="89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</row>
    <row r="110" spans="2:23" s="14" customFormat="1" ht="17.100000000000001" customHeight="1">
      <c r="B110" s="89"/>
      <c r="C110" s="90"/>
      <c r="D110" s="91"/>
      <c r="E110" s="92"/>
      <c r="F110" s="89"/>
      <c r="G110" s="89"/>
      <c r="H110" s="89"/>
      <c r="I110" s="89"/>
      <c r="J110" s="89"/>
      <c r="K110" s="89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</row>
    <row r="111" spans="2:23" s="14" customFormat="1" ht="17.100000000000001" customHeight="1">
      <c r="B111" s="89"/>
      <c r="C111" s="90"/>
      <c r="D111" s="91"/>
      <c r="E111" s="92"/>
      <c r="F111" s="89"/>
      <c r="G111" s="89"/>
      <c r="H111" s="89"/>
      <c r="I111" s="89"/>
      <c r="J111" s="89"/>
      <c r="K111" s="89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</row>
    <row r="112" spans="2:23" s="14" customFormat="1" ht="17.100000000000001" customHeight="1">
      <c r="B112" s="89"/>
      <c r="C112" s="90"/>
      <c r="D112" s="91"/>
      <c r="E112" s="92"/>
      <c r="F112" s="89"/>
      <c r="G112" s="89"/>
      <c r="H112" s="89"/>
      <c r="I112" s="89"/>
      <c r="J112" s="89"/>
      <c r="K112" s="89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</row>
    <row r="113" spans="2:23" s="14" customFormat="1" ht="17.100000000000001" customHeight="1">
      <c r="B113" s="89"/>
      <c r="C113" s="90"/>
      <c r="D113" s="91"/>
      <c r="E113" s="92"/>
      <c r="F113" s="89"/>
      <c r="G113" s="89"/>
      <c r="H113" s="89"/>
      <c r="I113" s="89"/>
      <c r="J113" s="89"/>
      <c r="K113" s="89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</row>
    <row r="114" spans="2:23" s="14" customFormat="1" ht="17.100000000000001" customHeight="1">
      <c r="B114" s="89"/>
      <c r="C114" s="90"/>
      <c r="D114" s="91"/>
      <c r="E114" s="92"/>
      <c r="F114" s="89"/>
      <c r="G114" s="89"/>
      <c r="H114" s="89"/>
      <c r="I114" s="89"/>
      <c r="J114" s="89"/>
      <c r="K114" s="89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</row>
    <row r="115" spans="2:23" s="14" customFormat="1" ht="17.100000000000001" customHeight="1">
      <c r="B115" s="89"/>
      <c r="C115" s="90"/>
      <c r="D115" s="91"/>
      <c r="E115" s="92"/>
      <c r="F115" s="89"/>
      <c r="G115" s="89"/>
      <c r="H115" s="89"/>
      <c r="I115" s="89"/>
      <c r="J115" s="89"/>
      <c r="K115" s="89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</row>
    <row r="116" spans="2:23" s="14" customFormat="1" ht="17.100000000000001" customHeight="1">
      <c r="B116" s="89"/>
      <c r="C116" s="90"/>
      <c r="D116" s="91"/>
      <c r="E116" s="92"/>
      <c r="F116" s="89"/>
      <c r="G116" s="89"/>
      <c r="H116" s="89"/>
      <c r="I116" s="89"/>
      <c r="J116" s="89"/>
      <c r="K116" s="89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</row>
    <row r="117" spans="2:23" s="14" customFormat="1" ht="17.100000000000001" customHeight="1">
      <c r="B117" s="89"/>
      <c r="C117" s="90"/>
      <c r="D117" s="91"/>
      <c r="E117" s="92"/>
      <c r="F117" s="89"/>
      <c r="G117" s="89"/>
      <c r="H117" s="89"/>
      <c r="I117" s="89"/>
      <c r="J117" s="89"/>
      <c r="K117" s="89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</row>
    <row r="118" spans="2:23" s="14" customFormat="1" ht="17.100000000000001" customHeight="1">
      <c r="B118" s="89"/>
      <c r="C118" s="90"/>
      <c r="D118" s="91"/>
      <c r="E118" s="92"/>
      <c r="F118" s="89"/>
      <c r="G118" s="89"/>
      <c r="H118" s="89"/>
      <c r="I118" s="89"/>
      <c r="J118" s="89"/>
      <c r="K118" s="89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</row>
    <row r="119" spans="2:23" s="14" customFormat="1" ht="17.100000000000001" customHeight="1">
      <c r="B119" s="89"/>
      <c r="C119" s="90"/>
      <c r="D119" s="91"/>
      <c r="E119" s="92"/>
      <c r="F119" s="89"/>
      <c r="G119" s="89"/>
      <c r="H119" s="89"/>
      <c r="I119" s="89"/>
      <c r="J119" s="89"/>
      <c r="K119" s="89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</row>
    <row r="120" spans="2:23" s="14" customFormat="1" ht="17.100000000000001" customHeight="1">
      <c r="B120" s="89"/>
      <c r="C120" s="90"/>
      <c r="D120" s="91"/>
      <c r="E120" s="92"/>
      <c r="F120" s="89"/>
      <c r="G120" s="89"/>
      <c r="H120" s="89"/>
      <c r="I120" s="89"/>
      <c r="J120" s="89"/>
      <c r="K120" s="89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</row>
    <row r="121" spans="2:23" s="14" customFormat="1" ht="17.100000000000001" customHeight="1">
      <c r="B121" s="89"/>
      <c r="C121" s="90"/>
      <c r="D121" s="91"/>
      <c r="E121" s="92"/>
      <c r="F121" s="89"/>
      <c r="G121" s="89"/>
      <c r="H121" s="89"/>
      <c r="I121" s="89"/>
      <c r="J121" s="89"/>
      <c r="K121" s="89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</row>
    <row r="122" spans="2:23" s="14" customFormat="1" ht="17.100000000000001" customHeight="1">
      <c r="B122" s="89"/>
      <c r="C122" s="90"/>
      <c r="D122" s="91"/>
      <c r="E122" s="92"/>
      <c r="F122" s="89"/>
      <c r="G122" s="89"/>
      <c r="H122" s="89"/>
      <c r="I122" s="89"/>
      <c r="J122" s="89"/>
      <c r="K122" s="89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</row>
    <row r="123" spans="2:23" s="14" customFormat="1" ht="17.100000000000001" customHeight="1">
      <c r="B123" s="89"/>
      <c r="C123" s="90"/>
      <c r="D123" s="91"/>
      <c r="E123" s="92"/>
      <c r="F123" s="89"/>
      <c r="G123" s="89"/>
      <c r="H123" s="89"/>
      <c r="I123" s="89"/>
      <c r="J123" s="89"/>
      <c r="K123" s="89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</row>
    <row r="124" spans="2:23" s="14" customFormat="1" ht="17.100000000000001" customHeight="1">
      <c r="B124" s="89"/>
      <c r="C124" s="90"/>
      <c r="D124" s="91"/>
      <c r="E124" s="92"/>
      <c r="F124" s="89"/>
      <c r="G124" s="89"/>
      <c r="H124" s="89"/>
      <c r="I124" s="89"/>
      <c r="J124" s="89"/>
      <c r="K124" s="89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</row>
    <row r="125" spans="2:23" s="14" customFormat="1" ht="17.100000000000001" customHeight="1">
      <c r="B125" s="89"/>
      <c r="C125" s="90"/>
      <c r="D125" s="91"/>
      <c r="E125" s="92"/>
      <c r="F125" s="89"/>
      <c r="G125" s="89"/>
      <c r="H125" s="89"/>
      <c r="I125" s="89"/>
      <c r="J125" s="89"/>
      <c r="K125" s="89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</row>
    <row r="126" spans="2:23" s="14" customFormat="1" ht="17.100000000000001" customHeight="1">
      <c r="B126" s="89"/>
      <c r="C126" s="90"/>
      <c r="D126" s="91"/>
      <c r="E126" s="92"/>
      <c r="F126" s="89"/>
      <c r="G126" s="89"/>
      <c r="H126" s="89"/>
      <c r="I126" s="89"/>
      <c r="J126" s="89"/>
      <c r="K126" s="89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</row>
    <row r="127" spans="2:23" s="14" customFormat="1" ht="17.100000000000001" customHeight="1">
      <c r="B127" s="89"/>
      <c r="C127" s="90"/>
      <c r="D127" s="91"/>
      <c r="E127" s="92"/>
      <c r="F127" s="89"/>
      <c r="G127" s="89"/>
      <c r="H127" s="89"/>
      <c r="I127" s="89"/>
      <c r="J127" s="89"/>
      <c r="K127" s="89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</row>
    <row r="128" spans="2:23" s="14" customFormat="1" ht="17.100000000000001" customHeight="1">
      <c r="B128" s="89"/>
      <c r="C128" s="90"/>
      <c r="D128" s="91"/>
      <c r="E128" s="92"/>
      <c r="F128" s="89"/>
      <c r="G128" s="89"/>
      <c r="H128" s="89"/>
      <c r="I128" s="89"/>
      <c r="J128" s="89"/>
      <c r="K128" s="89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</row>
    <row r="129" spans="2:23" s="14" customFormat="1" ht="17.100000000000001" customHeight="1">
      <c r="B129" s="89"/>
      <c r="C129" s="90"/>
      <c r="D129" s="91"/>
      <c r="E129" s="92"/>
      <c r="F129" s="89"/>
      <c r="G129" s="89"/>
      <c r="H129" s="89"/>
      <c r="I129" s="89"/>
      <c r="J129" s="89"/>
      <c r="K129" s="89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</row>
    <row r="130" spans="2:23" s="14" customFormat="1" ht="17.100000000000001" customHeight="1">
      <c r="B130" s="89"/>
      <c r="C130" s="90"/>
      <c r="D130" s="91"/>
      <c r="E130" s="92"/>
      <c r="F130" s="89"/>
      <c r="G130" s="89"/>
      <c r="H130" s="89"/>
      <c r="I130" s="89"/>
      <c r="J130" s="89"/>
      <c r="K130" s="89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</row>
    <row r="131" spans="2:23" s="14" customFormat="1" ht="17.100000000000001" customHeight="1">
      <c r="B131" s="89"/>
      <c r="C131" s="90"/>
      <c r="D131" s="91"/>
      <c r="E131" s="92"/>
      <c r="F131" s="89"/>
      <c r="G131" s="89"/>
      <c r="H131" s="89"/>
      <c r="I131" s="89"/>
      <c r="J131" s="89"/>
      <c r="K131" s="89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</row>
    <row r="132" spans="2:23" s="14" customFormat="1" ht="17.100000000000001" customHeight="1">
      <c r="B132" s="89"/>
      <c r="C132" s="90"/>
      <c r="D132" s="91"/>
      <c r="E132" s="92"/>
      <c r="F132" s="89"/>
      <c r="G132" s="89"/>
      <c r="H132" s="89"/>
      <c r="I132" s="89"/>
      <c r="J132" s="89"/>
      <c r="K132" s="89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</row>
    <row r="133" spans="2:23" s="14" customFormat="1" ht="17.100000000000001" customHeight="1">
      <c r="B133" s="89"/>
      <c r="C133" s="90"/>
      <c r="D133" s="91"/>
      <c r="E133" s="92"/>
      <c r="F133" s="89"/>
      <c r="G133" s="89"/>
      <c r="H133" s="89"/>
      <c r="I133" s="89"/>
      <c r="J133" s="89"/>
      <c r="K133" s="89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</row>
    <row r="134" spans="2:23" s="14" customFormat="1" ht="17.100000000000001" customHeight="1">
      <c r="B134" s="89"/>
      <c r="C134" s="90"/>
      <c r="D134" s="91"/>
      <c r="E134" s="92"/>
      <c r="F134" s="89"/>
      <c r="G134" s="89"/>
      <c r="H134" s="89"/>
      <c r="I134" s="89"/>
      <c r="J134" s="89"/>
      <c r="K134" s="89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</row>
    <row r="135" spans="2:23" s="14" customFormat="1" ht="17.100000000000001" customHeight="1">
      <c r="B135" s="89"/>
      <c r="C135" s="90"/>
      <c r="D135" s="91"/>
      <c r="E135" s="92"/>
      <c r="F135" s="89"/>
      <c r="G135" s="89"/>
      <c r="H135" s="89"/>
      <c r="I135" s="89"/>
      <c r="J135" s="89"/>
      <c r="K135" s="89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</row>
    <row r="136" spans="2:23" s="14" customFormat="1" ht="17.100000000000001" customHeight="1">
      <c r="B136" s="89"/>
      <c r="C136" s="90"/>
      <c r="D136" s="91"/>
      <c r="E136" s="92"/>
      <c r="F136" s="89"/>
      <c r="G136" s="89"/>
      <c r="H136" s="89"/>
      <c r="I136" s="89"/>
      <c r="J136" s="89"/>
      <c r="K136" s="89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</row>
    <row r="137" spans="2:23" s="14" customFormat="1" ht="17.100000000000001" customHeight="1">
      <c r="B137" s="89"/>
      <c r="C137" s="90"/>
      <c r="D137" s="91"/>
      <c r="E137" s="92"/>
      <c r="F137" s="89"/>
      <c r="G137" s="89"/>
      <c r="H137" s="89"/>
      <c r="I137" s="89"/>
      <c r="J137" s="89"/>
      <c r="K137" s="89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</row>
    <row r="138" spans="2:23" s="14" customFormat="1" ht="17.100000000000001" customHeight="1">
      <c r="B138" s="89"/>
      <c r="C138" s="90"/>
      <c r="D138" s="91"/>
      <c r="E138" s="92"/>
      <c r="F138" s="89"/>
      <c r="G138" s="89"/>
      <c r="H138" s="89"/>
      <c r="I138" s="89"/>
      <c r="J138" s="89"/>
      <c r="K138" s="89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</row>
    <row r="139" spans="2:23" s="14" customFormat="1" ht="17.100000000000001" customHeight="1">
      <c r="B139" s="89"/>
      <c r="C139" s="90"/>
      <c r="D139" s="91"/>
      <c r="E139" s="92"/>
      <c r="F139" s="89"/>
      <c r="G139" s="89"/>
      <c r="H139" s="89"/>
      <c r="I139" s="89"/>
      <c r="J139" s="89"/>
      <c r="K139" s="89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</row>
    <row r="140" spans="2:23" s="14" customFormat="1" ht="17.100000000000001" customHeight="1">
      <c r="B140" s="89"/>
      <c r="C140" s="90"/>
      <c r="D140" s="91"/>
      <c r="E140" s="92"/>
      <c r="F140" s="89"/>
      <c r="G140" s="89"/>
      <c r="H140" s="89"/>
      <c r="I140" s="89"/>
      <c r="J140" s="89"/>
      <c r="K140" s="89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</row>
    <row r="141" spans="2:23" s="14" customFormat="1" ht="17.100000000000001" customHeight="1">
      <c r="B141" s="89"/>
      <c r="C141" s="90"/>
      <c r="D141" s="91"/>
      <c r="E141" s="92"/>
      <c r="F141" s="89"/>
      <c r="G141" s="89"/>
      <c r="H141" s="89"/>
      <c r="I141" s="89"/>
      <c r="J141" s="89"/>
      <c r="K141" s="89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</row>
    <row r="142" spans="2:23" s="14" customFormat="1" ht="17.100000000000001" customHeight="1">
      <c r="B142" s="89"/>
      <c r="C142" s="90"/>
      <c r="D142" s="91"/>
      <c r="E142" s="92"/>
      <c r="F142" s="89"/>
      <c r="G142" s="89"/>
      <c r="H142" s="89"/>
      <c r="I142" s="89"/>
      <c r="J142" s="89"/>
      <c r="K142" s="89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</row>
    <row r="143" spans="2:23" s="14" customFormat="1" ht="17.100000000000001" customHeight="1">
      <c r="B143" s="89"/>
      <c r="C143" s="90"/>
      <c r="D143" s="91"/>
      <c r="E143" s="92"/>
      <c r="F143" s="89"/>
      <c r="G143" s="89"/>
      <c r="H143" s="89"/>
      <c r="I143" s="89"/>
      <c r="J143" s="89"/>
      <c r="K143" s="89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</row>
    <row r="144" spans="2:23" s="14" customFormat="1" ht="17.100000000000001" customHeight="1">
      <c r="B144" s="89"/>
      <c r="C144" s="90"/>
      <c r="D144" s="91"/>
      <c r="E144" s="92"/>
      <c r="F144" s="89"/>
      <c r="G144" s="89"/>
      <c r="H144" s="89"/>
      <c r="I144" s="89"/>
      <c r="J144" s="89"/>
      <c r="K144" s="89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</row>
    <row r="145" spans="2:23" s="14" customFormat="1" ht="17.100000000000001" customHeight="1">
      <c r="B145" s="89"/>
      <c r="C145" s="90"/>
      <c r="D145" s="91"/>
      <c r="E145" s="92"/>
      <c r="F145" s="89"/>
      <c r="G145" s="89"/>
      <c r="H145" s="89"/>
      <c r="I145" s="89"/>
      <c r="J145" s="89"/>
      <c r="K145" s="89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</row>
    <row r="146" spans="2:23" s="14" customFormat="1" ht="17.100000000000001" customHeight="1">
      <c r="B146" s="89"/>
      <c r="C146" s="90"/>
      <c r="D146" s="91"/>
      <c r="E146" s="92"/>
      <c r="F146" s="89"/>
      <c r="G146" s="89"/>
      <c r="H146" s="89"/>
      <c r="I146" s="89"/>
      <c r="J146" s="89"/>
      <c r="K146" s="89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</row>
    <row r="147" spans="2:23" s="14" customFormat="1" ht="17.100000000000001" customHeight="1">
      <c r="B147" s="89"/>
      <c r="C147" s="90"/>
      <c r="D147" s="91"/>
      <c r="E147" s="92"/>
      <c r="F147" s="89"/>
      <c r="G147" s="89"/>
      <c r="H147" s="89"/>
      <c r="I147" s="89"/>
      <c r="J147" s="89"/>
      <c r="K147" s="89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</row>
    <row r="148" spans="2:23" s="14" customFormat="1" ht="17.100000000000001" customHeight="1">
      <c r="B148" s="89"/>
      <c r="C148" s="90"/>
      <c r="D148" s="91"/>
      <c r="E148" s="92"/>
      <c r="F148" s="89"/>
      <c r="G148" s="89"/>
      <c r="H148" s="89"/>
      <c r="I148" s="89"/>
      <c r="J148" s="89"/>
      <c r="K148" s="89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</row>
    <row r="149" spans="2:23" s="14" customFormat="1" ht="17.100000000000001" customHeight="1">
      <c r="B149" s="89"/>
      <c r="C149" s="90"/>
      <c r="D149" s="91"/>
      <c r="E149" s="92"/>
      <c r="F149" s="89"/>
      <c r="G149" s="89"/>
      <c r="H149" s="89"/>
      <c r="I149" s="89"/>
      <c r="J149" s="89"/>
      <c r="K149" s="89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</row>
    <row r="150" spans="2:23" s="14" customFormat="1" ht="17.100000000000001" customHeight="1">
      <c r="B150" s="89"/>
      <c r="C150" s="90"/>
      <c r="D150" s="91"/>
      <c r="E150" s="92"/>
      <c r="F150" s="89"/>
      <c r="G150" s="89"/>
      <c r="H150" s="89"/>
      <c r="I150" s="89"/>
      <c r="J150" s="89"/>
      <c r="K150" s="89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</row>
    <row r="151" spans="2:23" s="14" customFormat="1" ht="17.100000000000001" customHeight="1">
      <c r="B151" s="89"/>
      <c r="C151" s="90"/>
      <c r="D151" s="91"/>
      <c r="E151" s="92"/>
      <c r="F151" s="89"/>
      <c r="G151" s="89"/>
      <c r="H151" s="89"/>
      <c r="I151" s="89"/>
      <c r="J151" s="89"/>
      <c r="K151" s="89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</row>
    <row r="152" spans="2:23" s="14" customFormat="1" ht="17.100000000000001" customHeight="1">
      <c r="B152" s="89"/>
      <c r="C152" s="90"/>
      <c r="D152" s="91"/>
      <c r="E152" s="92"/>
      <c r="F152" s="89"/>
      <c r="G152" s="89"/>
      <c r="H152" s="89"/>
      <c r="I152" s="89"/>
      <c r="J152" s="89"/>
      <c r="K152" s="89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</row>
    <row r="153" spans="2:23" s="14" customFormat="1" ht="17.100000000000001" customHeight="1">
      <c r="B153" s="89"/>
      <c r="C153" s="90"/>
      <c r="D153" s="91"/>
      <c r="E153" s="92"/>
      <c r="F153" s="89"/>
      <c r="G153" s="89"/>
      <c r="H153" s="89"/>
      <c r="I153" s="89"/>
      <c r="J153" s="89"/>
      <c r="K153" s="89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</row>
    <row r="154" spans="2:23" s="14" customFormat="1" ht="17.100000000000001" customHeight="1">
      <c r="B154" s="89"/>
      <c r="C154" s="90"/>
      <c r="D154" s="91"/>
      <c r="E154" s="92"/>
      <c r="F154" s="89"/>
      <c r="G154" s="89"/>
      <c r="H154" s="89"/>
      <c r="I154" s="89"/>
      <c r="J154" s="89"/>
      <c r="K154" s="89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</row>
    <row r="155" spans="2:23" s="14" customFormat="1" ht="17.100000000000001" customHeight="1">
      <c r="B155" s="89"/>
      <c r="C155" s="90"/>
      <c r="D155" s="91"/>
      <c r="E155" s="92"/>
      <c r="F155" s="89"/>
      <c r="G155" s="89"/>
      <c r="H155" s="89"/>
      <c r="I155" s="89"/>
      <c r="J155" s="89"/>
      <c r="K155" s="89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</row>
    <row r="156" spans="2:23" s="14" customFormat="1" ht="17.100000000000001" customHeight="1">
      <c r="B156" s="89"/>
      <c r="C156" s="90"/>
      <c r="D156" s="91"/>
      <c r="E156" s="92"/>
      <c r="F156" s="89"/>
      <c r="G156" s="89"/>
      <c r="H156" s="89"/>
      <c r="I156" s="89"/>
      <c r="J156" s="89"/>
      <c r="K156" s="89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</row>
    <row r="157" spans="2:23" s="14" customFormat="1" ht="17.100000000000001" customHeight="1">
      <c r="B157" s="89"/>
      <c r="C157" s="90"/>
      <c r="D157" s="91"/>
      <c r="E157" s="92"/>
      <c r="F157" s="89"/>
      <c r="G157" s="89"/>
      <c r="H157" s="89"/>
      <c r="I157" s="89"/>
      <c r="J157" s="89"/>
      <c r="K157" s="89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</row>
    <row r="158" spans="2:23" s="14" customFormat="1" ht="17.100000000000001" customHeight="1">
      <c r="B158" s="89"/>
      <c r="C158" s="90"/>
      <c r="D158" s="91"/>
      <c r="E158" s="92"/>
      <c r="F158" s="89"/>
      <c r="G158" s="89"/>
      <c r="H158" s="89"/>
      <c r="I158" s="89"/>
      <c r="J158" s="89"/>
      <c r="K158" s="89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</row>
    <row r="159" spans="2:23" s="14" customFormat="1" ht="17.100000000000001" customHeight="1">
      <c r="B159" s="89"/>
      <c r="C159" s="90"/>
      <c r="D159" s="91"/>
      <c r="E159" s="92"/>
      <c r="F159" s="89"/>
      <c r="G159" s="89"/>
      <c r="H159" s="89"/>
      <c r="I159" s="89"/>
      <c r="J159" s="89"/>
      <c r="K159" s="89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</row>
    <row r="160" spans="2:23" s="14" customFormat="1" ht="17.100000000000001" customHeight="1">
      <c r="B160" s="89"/>
      <c r="C160" s="90"/>
      <c r="D160" s="91"/>
      <c r="E160" s="92"/>
      <c r="F160" s="89"/>
      <c r="G160" s="89"/>
      <c r="H160" s="89"/>
      <c r="I160" s="89"/>
      <c r="J160" s="89"/>
      <c r="K160" s="89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</row>
    <row r="161" spans="2:23" s="14" customFormat="1" ht="17.100000000000001" customHeight="1">
      <c r="B161" s="89"/>
      <c r="C161" s="90"/>
      <c r="D161" s="91"/>
      <c r="E161" s="92"/>
      <c r="F161" s="89"/>
      <c r="G161" s="89"/>
      <c r="H161" s="89"/>
      <c r="I161" s="89"/>
      <c r="J161" s="89"/>
      <c r="K161" s="89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</row>
    <row r="162" spans="2:23" s="14" customFormat="1" ht="17.100000000000001" customHeight="1">
      <c r="B162" s="89"/>
      <c r="C162" s="90"/>
      <c r="D162" s="91"/>
      <c r="E162" s="92"/>
      <c r="F162" s="89"/>
      <c r="G162" s="89"/>
      <c r="H162" s="89"/>
      <c r="I162" s="89"/>
      <c r="J162" s="89"/>
      <c r="K162" s="89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</row>
    <row r="163" spans="2:23" s="14" customFormat="1" ht="17.100000000000001" customHeight="1">
      <c r="B163" s="89"/>
      <c r="C163" s="90"/>
      <c r="D163" s="91"/>
      <c r="E163" s="92"/>
      <c r="F163" s="89"/>
      <c r="G163" s="89"/>
      <c r="H163" s="89"/>
      <c r="I163" s="89"/>
      <c r="J163" s="89"/>
      <c r="K163" s="89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</row>
    <row r="164" spans="2:23" s="14" customFormat="1" ht="17.100000000000001" customHeight="1">
      <c r="B164" s="89"/>
      <c r="C164" s="90"/>
      <c r="D164" s="91"/>
      <c r="E164" s="92"/>
      <c r="F164" s="89"/>
      <c r="G164" s="89"/>
      <c r="H164" s="89"/>
      <c r="I164" s="89"/>
      <c r="J164" s="89"/>
      <c r="K164" s="89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</row>
    <row r="165" spans="2:23" s="14" customFormat="1" ht="17.100000000000001" customHeight="1">
      <c r="B165" s="89"/>
      <c r="C165" s="90"/>
      <c r="D165" s="91"/>
      <c r="E165" s="92"/>
      <c r="F165" s="89"/>
      <c r="G165" s="89"/>
      <c r="H165" s="89"/>
      <c r="I165" s="89"/>
      <c r="J165" s="89"/>
      <c r="K165" s="89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</row>
    <row r="166" spans="2:23" s="14" customFormat="1" ht="17.100000000000001" customHeight="1">
      <c r="B166" s="89"/>
      <c r="C166" s="90"/>
      <c r="D166" s="91"/>
      <c r="E166" s="92"/>
      <c r="F166" s="89"/>
      <c r="G166" s="89"/>
      <c r="H166" s="89"/>
      <c r="I166" s="89"/>
      <c r="J166" s="89"/>
      <c r="K166" s="89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</row>
    <row r="167" spans="2:23" s="14" customFormat="1" ht="17.100000000000001" customHeight="1">
      <c r="B167" s="89"/>
      <c r="C167" s="90"/>
      <c r="D167" s="91"/>
      <c r="E167" s="92"/>
      <c r="F167" s="89"/>
      <c r="G167" s="89"/>
      <c r="H167" s="89"/>
      <c r="I167" s="89"/>
      <c r="J167" s="89"/>
      <c r="K167" s="89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</row>
    <row r="168" spans="2:23" s="14" customFormat="1" ht="17.100000000000001" customHeight="1">
      <c r="B168" s="89"/>
      <c r="C168" s="90"/>
      <c r="D168" s="91"/>
      <c r="E168" s="92"/>
      <c r="F168" s="89"/>
      <c r="G168" s="89"/>
      <c r="H168" s="89"/>
      <c r="I168" s="89"/>
      <c r="J168" s="89"/>
      <c r="K168" s="89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</row>
    <row r="169" spans="2:23" s="14" customFormat="1" ht="17.100000000000001" customHeight="1">
      <c r="B169" s="89"/>
      <c r="C169" s="90"/>
      <c r="D169" s="91"/>
      <c r="E169" s="92"/>
      <c r="F169" s="89"/>
      <c r="G169" s="89"/>
      <c r="H169" s="89"/>
      <c r="I169" s="89"/>
      <c r="J169" s="89"/>
      <c r="K169" s="89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</row>
    <row r="170" spans="2:23" s="14" customFormat="1" ht="17.100000000000001" customHeight="1">
      <c r="B170" s="89"/>
      <c r="C170" s="90"/>
      <c r="D170" s="91"/>
      <c r="E170" s="92"/>
      <c r="F170" s="89"/>
      <c r="G170" s="89"/>
      <c r="H170" s="89"/>
      <c r="I170" s="89"/>
      <c r="J170" s="89"/>
      <c r="K170" s="89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</row>
    <row r="171" spans="2:23" s="14" customFormat="1" ht="17.100000000000001" customHeight="1">
      <c r="B171" s="89"/>
      <c r="C171" s="90"/>
      <c r="D171" s="91"/>
      <c r="E171" s="92"/>
      <c r="F171" s="89"/>
      <c r="G171" s="89"/>
      <c r="H171" s="89"/>
      <c r="I171" s="89"/>
      <c r="J171" s="89"/>
      <c r="K171" s="89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</row>
    <row r="172" spans="2:23" s="14" customFormat="1" ht="17.100000000000001" customHeight="1">
      <c r="B172" s="89"/>
      <c r="C172" s="90"/>
      <c r="D172" s="91"/>
      <c r="E172" s="92"/>
      <c r="F172" s="89"/>
      <c r="G172" s="89"/>
      <c r="H172" s="89"/>
      <c r="I172" s="89"/>
      <c r="J172" s="89"/>
      <c r="K172" s="89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</row>
    <row r="173" spans="2:23" s="14" customFormat="1" ht="17.100000000000001" customHeight="1">
      <c r="B173" s="89"/>
      <c r="C173" s="90"/>
      <c r="D173" s="91"/>
      <c r="E173" s="92"/>
      <c r="F173" s="89"/>
      <c r="G173" s="89"/>
      <c r="H173" s="89"/>
      <c r="I173" s="89"/>
      <c r="J173" s="89"/>
      <c r="K173" s="89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</row>
    <row r="174" spans="2:23" s="14" customFormat="1" ht="17.100000000000001" customHeight="1">
      <c r="B174" s="89"/>
      <c r="C174" s="90"/>
      <c r="D174" s="91"/>
      <c r="E174" s="92"/>
      <c r="F174" s="89"/>
      <c r="G174" s="89"/>
      <c r="H174" s="89"/>
      <c r="I174" s="89"/>
      <c r="J174" s="89"/>
      <c r="K174" s="89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</row>
    <row r="175" spans="2:23" s="14" customFormat="1" ht="17.100000000000001" customHeight="1">
      <c r="B175" s="89"/>
      <c r="C175" s="90"/>
      <c r="D175" s="91"/>
      <c r="E175" s="92"/>
      <c r="F175" s="89"/>
      <c r="G175" s="89"/>
      <c r="H175" s="89"/>
      <c r="I175" s="89"/>
      <c r="J175" s="89"/>
      <c r="K175" s="89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</row>
    <row r="176" spans="2:23" s="14" customFormat="1" ht="17.100000000000001" customHeight="1">
      <c r="B176" s="89"/>
      <c r="C176" s="90"/>
      <c r="D176" s="91"/>
      <c r="E176" s="92"/>
      <c r="F176" s="89"/>
      <c r="G176" s="89"/>
      <c r="H176" s="89"/>
      <c r="I176" s="89"/>
      <c r="J176" s="89"/>
      <c r="K176" s="89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</row>
    <row r="177" spans="2:23" s="14" customFormat="1" ht="17.100000000000001" customHeight="1">
      <c r="B177" s="89"/>
      <c r="C177" s="90"/>
      <c r="D177" s="91"/>
      <c r="E177" s="92"/>
      <c r="F177" s="89"/>
      <c r="G177" s="89"/>
      <c r="H177" s="89"/>
      <c r="I177" s="89"/>
      <c r="J177" s="89"/>
      <c r="K177" s="89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</row>
    <row r="178" spans="2:23" s="14" customFormat="1" ht="17.100000000000001" customHeight="1">
      <c r="B178" s="89"/>
      <c r="C178" s="90"/>
      <c r="D178" s="91"/>
      <c r="E178" s="92"/>
      <c r="F178" s="89"/>
      <c r="G178" s="89"/>
      <c r="H178" s="89"/>
      <c r="I178" s="89"/>
      <c r="J178" s="89"/>
      <c r="K178" s="89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</row>
    <row r="179" spans="2:23" s="14" customFormat="1" ht="17.100000000000001" customHeight="1">
      <c r="B179" s="89"/>
      <c r="C179" s="90"/>
      <c r="D179" s="91"/>
      <c r="E179" s="92"/>
      <c r="F179" s="89"/>
      <c r="G179" s="89"/>
      <c r="H179" s="89"/>
      <c r="I179" s="89"/>
      <c r="J179" s="89"/>
      <c r="K179" s="89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</row>
    <row r="180" spans="2:23" s="14" customFormat="1" ht="17.100000000000001" customHeight="1">
      <c r="B180" s="89"/>
      <c r="C180" s="90"/>
      <c r="D180" s="91"/>
      <c r="E180" s="92"/>
      <c r="F180" s="89"/>
      <c r="G180" s="89"/>
      <c r="H180" s="89"/>
      <c r="I180" s="89"/>
      <c r="J180" s="89"/>
      <c r="K180" s="89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</row>
    <row r="181" spans="2:23" s="14" customFormat="1" ht="17.100000000000001" customHeight="1">
      <c r="B181" s="89"/>
      <c r="C181" s="90"/>
      <c r="D181" s="91"/>
      <c r="E181" s="92"/>
      <c r="F181" s="89"/>
      <c r="G181" s="89"/>
      <c r="H181" s="89"/>
      <c r="I181" s="89"/>
      <c r="J181" s="89"/>
      <c r="K181" s="89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</row>
    <row r="182" spans="2:23" s="14" customFormat="1" ht="17.100000000000001" customHeight="1">
      <c r="B182" s="89"/>
      <c r="C182" s="90"/>
      <c r="D182" s="91"/>
      <c r="E182" s="92"/>
      <c r="F182" s="89"/>
      <c r="G182" s="89"/>
      <c r="H182" s="89"/>
      <c r="I182" s="89"/>
      <c r="J182" s="89"/>
      <c r="K182" s="89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</row>
    <row r="183" spans="2:23" s="14" customFormat="1" ht="17.100000000000001" customHeight="1">
      <c r="B183" s="89"/>
      <c r="C183" s="90"/>
      <c r="D183" s="91"/>
      <c r="E183" s="92"/>
      <c r="F183" s="89"/>
      <c r="G183" s="89"/>
      <c r="H183" s="89"/>
      <c r="I183" s="89"/>
      <c r="J183" s="89"/>
      <c r="K183" s="89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</row>
    <row r="184" spans="2:23" s="14" customFormat="1" ht="17.100000000000001" customHeight="1">
      <c r="B184" s="89"/>
      <c r="C184" s="90"/>
      <c r="D184" s="91"/>
      <c r="E184" s="92"/>
      <c r="F184" s="89"/>
      <c r="G184" s="89"/>
      <c r="H184" s="89"/>
      <c r="I184" s="89"/>
      <c r="J184" s="89"/>
      <c r="K184" s="89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</row>
    <row r="185" spans="2:23" s="14" customFormat="1" ht="17.100000000000001" customHeight="1">
      <c r="B185" s="89"/>
      <c r="C185" s="90"/>
      <c r="D185" s="91"/>
      <c r="E185" s="92"/>
      <c r="F185" s="89"/>
      <c r="G185" s="89"/>
      <c r="H185" s="89"/>
      <c r="I185" s="89"/>
      <c r="J185" s="89"/>
      <c r="K185" s="89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</row>
    <row r="186" spans="2:23" s="14" customFormat="1" ht="17.100000000000001" customHeight="1">
      <c r="B186" s="89"/>
      <c r="C186" s="90"/>
      <c r="D186" s="91"/>
      <c r="E186" s="92"/>
      <c r="F186" s="89"/>
      <c r="G186" s="89"/>
      <c r="H186" s="89"/>
      <c r="I186" s="89"/>
      <c r="J186" s="89"/>
      <c r="K186" s="89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</row>
    <row r="187" spans="2:23" s="14" customFormat="1" ht="17.100000000000001" customHeight="1">
      <c r="B187" s="89"/>
      <c r="C187" s="90"/>
      <c r="D187" s="91"/>
      <c r="E187" s="92"/>
      <c r="F187" s="89"/>
      <c r="G187" s="89"/>
      <c r="H187" s="89"/>
      <c r="I187" s="89"/>
      <c r="J187" s="89"/>
      <c r="K187" s="89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</row>
    <row r="188" spans="2:23" s="14" customFormat="1" ht="17.100000000000001" customHeight="1">
      <c r="B188" s="89"/>
      <c r="C188" s="90"/>
      <c r="D188" s="91"/>
      <c r="E188" s="92"/>
      <c r="F188" s="89"/>
      <c r="G188" s="89"/>
      <c r="H188" s="89"/>
      <c r="I188" s="89"/>
      <c r="J188" s="89"/>
      <c r="K188" s="89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</row>
    <row r="189" spans="2:23" s="14" customFormat="1" ht="17.100000000000001" customHeight="1">
      <c r="B189" s="89"/>
      <c r="C189" s="90"/>
      <c r="D189" s="91"/>
      <c r="E189" s="92"/>
      <c r="F189" s="89"/>
      <c r="G189" s="89"/>
      <c r="H189" s="89"/>
      <c r="I189" s="89"/>
      <c r="J189" s="89"/>
      <c r="K189" s="89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</row>
    <row r="190" spans="2:23" s="14" customFormat="1" ht="17.100000000000001" customHeight="1">
      <c r="B190" s="89"/>
      <c r="C190" s="90"/>
      <c r="D190" s="91"/>
      <c r="E190" s="92"/>
      <c r="F190" s="89"/>
      <c r="G190" s="89"/>
      <c r="H190" s="89"/>
      <c r="I190" s="89"/>
      <c r="J190" s="89"/>
      <c r="K190" s="89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</row>
    <row r="191" spans="2:23" s="14" customFormat="1" ht="17.100000000000001" customHeight="1">
      <c r="B191" s="89"/>
      <c r="C191" s="90"/>
      <c r="D191" s="91"/>
      <c r="E191" s="92"/>
      <c r="F191" s="89"/>
      <c r="G191" s="89"/>
      <c r="H191" s="89"/>
      <c r="I191" s="89"/>
      <c r="J191" s="89"/>
      <c r="K191" s="89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</row>
    <row r="192" spans="2:23" s="14" customFormat="1" ht="17.100000000000001" customHeight="1">
      <c r="B192" s="89"/>
      <c r="C192" s="90"/>
      <c r="D192" s="91"/>
      <c r="E192" s="92"/>
      <c r="F192" s="89"/>
      <c r="G192" s="89"/>
      <c r="H192" s="89"/>
      <c r="I192" s="89"/>
      <c r="J192" s="89"/>
      <c r="K192" s="89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</row>
    <row r="193" spans="2:23" s="14" customFormat="1" ht="17.100000000000001" customHeight="1">
      <c r="B193" s="89"/>
      <c r="C193" s="90"/>
      <c r="D193" s="91"/>
      <c r="E193" s="92"/>
      <c r="F193" s="89"/>
      <c r="G193" s="89"/>
      <c r="H193" s="89"/>
      <c r="I193" s="89"/>
      <c r="J193" s="89"/>
      <c r="K193" s="89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</row>
    <row r="194" spans="2:23" s="14" customFormat="1" ht="17.100000000000001" customHeight="1">
      <c r="B194" s="89"/>
      <c r="C194" s="90"/>
      <c r="D194" s="91"/>
      <c r="E194" s="92"/>
      <c r="F194" s="89"/>
      <c r="G194" s="89"/>
      <c r="H194" s="89"/>
      <c r="I194" s="89"/>
      <c r="J194" s="89"/>
      <c r="K194" s="89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</row>
    <row r="195" spans="2:23" s="14" customFormat="1" ht="17.100000000000001" customHeight="1">
      <c r="B195" s="89"/>
      <c r="C195" s="90"/>
      <c r="D195" s="91"/>
      <c r="E195" s="92"/>
      <c r="F195" s="89"/>
      <c r="G195" s="89"/>
      <c r="H195" s="89"/>
      <c r="I195" s="89"/>
      <c r="J195" s="89"/>
      <c r="K195" s="89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</row>
    <row r="196" spans="2:23" s="14" customFormat="1" ht="17.100000000000001" customHeight="1">
      <c r="B196" s="89"/>
      <c r="C196" s="90"/>
      <c r="D196" s="91"/>
      <c r="E196" s="92"/>
      <c r="F196" s="89"/>
      <c r="G196" s="89"/>
      <c r="H196" s="89"/>
      <c r="I196" s="89"/>
      <c r="J196" s="89"/>
      <c r="K196" s="89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</row>
    <row r="197" spans="2:23" s="14" customFormat="1" ht="17.100000000000001" customHeight="1">
      <c r="B197" s="89"/>
      <c r="C197" s="90"/>
      <c r="D197" s="91"/>
      <c r="E197" s="92"/>
      <c r="F197" s="89"/>
      <c r="G197" s="89"/>
      <c r="H197" s="89"/>
      <c r="I197" s="89"/>
      <c r="J197" s="89"/>
      <c r="K197" s="89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</row>
    <row r="198" spans="2:23" s="14" customFormat="1" ht="17.100000000000001" customHeight="1">
      <c r="B198" s="89"/>
      <c r="C198" s="90"/>
      <c r="D198" s="91"/>
      <c r="E198" s="92"/>
      <c r="F198" s="89"/>
      <c r="G198" s="89"/>
      <c r="H198" s="89"/>
      <c r="I198" s="89"/>
      <c r="J198" s="89"/>
      <c r="K198" s="89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</row>
    <row r="199" spans="2:23" s="14" customFormat="1" ht="17.100000000000001" customHeight="1">
      <c r="B199" s="89"/>
      <c r="C199" s="90"/>
      <c r="D199" s="91"/>
      <c r="E199" s="92"/>
      <c r="F199" s="89"/>
      <c r="G199" s="89"/>
      <c r="H199" s="89"/>
      <c r="I199" s="89"/>
      <c r="J199" s="89"/>
      <c r="K199" s="89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</row>
    <row r="200" spans="2:23" s="14" customFormat="1" ht="17.100000000000001" customHeight="1">
      <c r="B200" s="89"/>
      <c r="C200" s="90"/>
      <c r="D200" s="91"/>
      <c r="E200" s="92"/>
      <c r="F200" s="89"/>
      <c r="G200" s="89"/>
      <c r="H200" s="89"/>
      <c r="I200" s="89"/>
      <c r="J200" s="89"/>
      <c r="K200" s="89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</row>
    <row r="201" spans="2:23" s="14" customFormat="1" ht="17.100000000000001" customHeight="1">
      <c r="B201" s="89"/>
      <c r="C201" s="90"/>
      <c r="D201" s="91"/>
      <c r="E201" s="92"/>
      <c r="F201" s="89"/>
      <c r="G201" s="89"/>
      <c r="H201" s="89"/>
      <c r="I201" s="89"/>
      <c r="J201" s="89"/>
      <c r="K201" s="89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</row>
    <row r="202" spans="2:23" s="14" customFormat="1" ht="17.100000000000001" customHeight="1">
      <c r="B202" s="89"/>
      <c r="C202" s="90"/>
      <c r="D202" s="91"/>
      <c r="E202" s="92"/>
      <c r="F202" s="89"/>
      <c r="G202" s="89"/>
      <c r="H202" s="89"/>
      <c r="I202" s="89"/>
      <c r="J202" s="89"/>
      <c r="K202" s="89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</row>
    <row r="203" spans="2:23" s="14" customFormat="1" ht="17.100000000000001" customHeight="1">
      <c r="B203" s="89"/>
      <c r="C203" s="90"/>
      <c r="D203" s="91"/>
      <c r="E203" s="92"/>
      <c r="F203" s="89"/>
      <c r="G203" s="89"/>
      <c r="H203" s="89"/>
      <c r="I203" s="89"/>
      <c r="J203" s="89"/>
      <c r="K203" s="89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</row>
    <row r="204" spans="2:23" s="14" customFormat="1" ht="17.100000000000001" customHeight="1">
      <c r="B204" s="89"/>
      <c r="C204" s="90"/>
      <c r="D204" s="91"/>
      <c r="E204" s="92"/>
      <c r="F204" s="89"/>
      <c r="G204" s="89"/>
      <c r="H204" s="89"/>
      <c r="I204" s="89"/>
      <c r="J204" s="89"/>
      <c r="K204" s="89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</row>
    <row r="205" spans="2:23" s="14" customFormat="1" ht="17.100000000000001" customHeight="1">
      <c r="B205" s="89"/>
      <c r="C205" s="90"/>
      <c r="D205" s="91"/>
      <c r="E205" s="92"/>
      <c r="F205" s="89"/>
      <c r="G205" s="89"/>
      <c r="H205" s="89"/>
      <c r="I205" s="89"/>
      <c r="J205" s="89"/>
      <c r="K205" s="89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</row>
    <row r="206" spans="2:23" s="14" customFormat="1" ht="17.100000000000001" customHeight="1">
      <c r="B206" s="89"/>
      <c r="C206" s="90"/>
      <c r="D206" s="91"/>
      <c r="E206" s="92"/>
      <c r="F206" s="89"/>
      <c r="G206" s="89"/>
      <c r="H206" s="89"/>
      <c r="I206" s="89"/>
      <c r="J206" s="89"/>
      <c r="K206" s="89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</row>
    <row r="207" spans="2:23" s="14" customFormat="1" ht="17.100000000000001" customHeight="1">
      <c r="B207" s="89"/>
      <c r="C207" s="90"/>
      <c r="D207" s="91"/>
      <c r="E207" s="92"/>
      <c r="F207" s="89"/>
      <c r="G207" s="89"/>
      <c r="H207" s="89"/>
      <c r="I207" s="89"/>
      <c r="J207" s="89"/>
      <c r="K207" s="89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</row>
    <row r="208" spans="2:23" s="14" customFormat="1" ht="17.100000000000001" customHeight="1">
      <c r="B208" s="89"/>
      <c r="C208" s="90"/>
      <c r="D208" s="91"/>
      <c r="E208" s="92"/>
      <c r="F208" s="89"/>
      <c r="G208" s="89"/>
      <c r="H208" s="89"/>
      <c r="I208" s="89"/>
      <c r="J208" s="89"/>
      <c r="K208" s="89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</row>
    <row r="209" spans="2:23" s="14" customFormat="1" ht="17.100000000000001" customHeight="1">
      <c r="B209" s="89"/>
      <c r="C209" s="90"/>
      <c r="D209" s="91"/>
      <c r="E209" s="92"/>
      <c r="F209" s="89"/>
      <c r="G209" s="89"/>
      <c r="H209" s="89"/>
      <c r="I209" s="89"/>
      <c r="J209" s="89"/>
      <c r="K209" s="89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</row>
    <row r="210" spans="2:23" s="14" customFormat="1" ht="17.100000000000001" customHeight="1">
      <c r="B210" s="89"/>
      <c r="C210" s="90"/>
      <c r="D210" s="91"/>
      <c r="E210" s="92"/>
      <c r="F210" s="89"/>
      <c r="G210" s="89"/>
      <c r="H210" s="89"/>
      <c r="I210" s="89"/>
      <c r="J210" s="89"/>
      <c r="K210" s="89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</row>
    <row r="211" spans="2:23" s="14" customFormat="1" ht="17.100000000000001" customHeight="1">
      <c r="B211" s="89"/>
      <c r="C211" s="90"/>
      <c r="D211" s="91"/>
      <c r="E211" s="92"/>
      <c r="F211" s="89"/>
      <c r="G211" s="89"/>
      <c r="H211" s="89"/>
      <c r="I211" s="89"/>
      <c r="J211" s="89"/>
      <c r="K211" s="89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</row>
    <row r="212" spans="2:23" s="14" customFormat="1" ht="17.100000000000001" customHeight="1">
      <c r="B212" s="89"/>
      <c r="C212" s="90"/>
      <c r="D212" s="91"/>
      <c r="E212" s="92"/>
      <c r="F212" s="89"/>
      <c r="G212" s="89"/>
      <c r="H212" s="89"/>
      <c r="I212" s="89"/>
      <c r="J212" s="89"/>
      <c r="K212" s="89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</row>
    <row r="213" spans="2:23" s="14" customFormat="1" ht="17.100000000000001" customHeight="1">
      <c r="B213" s="89"/>
      <c r="C213" s="90"/>
      <c r="D213" s="91"/>
      <c r="E213" s="92"/>
      <c r="F213" s="89"/>
      <c r="G213" s="89"/>
      <c r="H213" s="89"/>
      <c r="I213" s="89"/>
      <c r="J213" s="89"/>
      <c r="K213" s="89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</row>
    <row r="214" spans="2:23" s="14" customFormat="1" ht="17.100000000000001" customHeight="1">
      <c r="B214" s="89"/>
      <c r="C214" s="90"/>
      <c r="D214" s="91"/>
      <c r="E214" s="92"/>
      <c r="F214" s="89"/>
      <c r="G214" s="89"/>
      <c r="H214" s="89"/>
      <c r="I214" s="89"/>
      <c r="J214" s="89"/>
      <c r="K214" s="89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</row>
    <row r="215" spans="2:23" s="14" customFormat="1" ht="17.100000000000001" customHeight="1">
      <c r="B215" s="89"/>
      <c r="C215" s="90"/>
      <c r="D215" s="91"/>
      <c r="E215" s="92"/>
      <c r="F215" s="89"/>
      <c r="G215" s="89"/>
      <c r="H215" s="89"/>
      <c r="I215" s="89"/>
      <c r="J215" s="89"/>
      <c r="K215" s="89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</row>
    <row r="216" spans="2:23" s="14" customFormat="1" ht="17.100000000000001" customHeight="1">
      <c r="B216" s="89"/>
      <c r="C216" s="90"/>
      <c r="D216" s="91"/>
      <c r="E216" s="92"/>
      <c r="F216" s="89"/>
      <c r="G216" s="89"/>
      <c r="H216" s="89"/>
      <c r="I216" s="89"/>
      <c r="J216" s="89"/>
      <c r="K216" s="89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</row>
    <row r="217" spans="2:23" s="14" customFormat="1" ht="17.100000000000001" customHeight="1">
      <c r="B217" s="89"/>
      <c r="C217" s="90"/>
      <c r="D217" s="91"/>
      <c r="E217" s="92"/>
      <c r="F217" s="89"/>
      <c r="G217" s="89"/>
      <c r="H217" s="89"/>
      <c r="I217" s="89"/>
      <c r="J217" s="89"/>
      <c r="K217" s="89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</row>
    <row r="218" spans="2:23" s="14" customFormat="1" ht="17.100000000000001" customHeight="1">
      <c r="B218" s="89"/>
      <c r="C218" s="90"/>
      <c r="D218" s="91"/>
      <c r="E218" s="92"/>
      <c r="F218" s="89"/>
      <c r="G218" s="89"/>
      <c r="H218" s="89"/>
      <c r="I218" s="89"/>
      <c r="J218" s="89"/>
      <c r="K218" s="89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</row>
    <row r="219" spans="2:23" s="14" customFormat="1" ht="17.100000000000001" customHeight="1">
      <c r="B219" s="89"/>
      <c r="C219" s="90"/>
      <c r="D219" s="91"/>
      <c r="E219" s="92"/>
      <c r="F219" s="89"/>
      <c r="G219" s="89"/>
      <c r="H219" s="89"/>
      <c r="I219" s="89"/>
      <c r="J219" s="89"/>
      <c r="K219" s="89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</row>
    <row r="220" spans="2:23" s="14" customFormat="1" ht="17.100000000000001" customHeight="1">
      <c r="B220" s="89"/>
      <c r="C220" s="90"/>
      <c r="D220" s="91"/>
      <c r="E220" s="92"/>
      <c r="F220" s="89"/>
      <c r="G220" s="89"/>
      <c r="H220" s="89"/>
      <c r="I220" s="89"/>
      <c r="J220" s="89"/>
      <c r="K220" s="89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</row>
    <row r="221" spans="2:23" s="14" customFormat="1" ht="17.100000000000001" customHeight="1">
      <c r="B221" s="89"/>
      <c r="C221" s="90"/>
      <c r="D221" s="91"/>
      <c r="E221" s="92"/>
      <c r="F221" s="89"/>
      <c r="G221" s="89"/>
      <c r="H221" s="89"/>
      <c r="I221" s="89"/>
      <c r="J221" s="89"/>
      <c r="K221" s="89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</row>
    <row r="222" spans="2:23" s="14" customFormat="1" ht="17.100000000000001" customHeight="1">
      <c r="B222" s="89"/>
      <c r="C222" s="90"/>
      <c r="D222" s="91"/>
      <c r="E222" s="92"/>
      <c r="F222" s="89"/>
      <c r="G222" s="89"/>
      <c r="H222" s="89"/>
      <c r="I222" s="89"/>
      <c r="J222" s="89"/>
      <c r="K222" s="89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</row>
    <row r="223" spans="2:23" s="14" customFormat="1" ht="17.100000000000001" customHeight="1">
      <c r="B223" s="89"/>
      <c r="C223" s="90"/>
      <c r="D223" s="91"/>
      <c r="E223" s="92"/>
      <c r="F223" s="89"/>
      <c r="G223" s="89"/>
      <c r="H223" s="89"/>
      <c r="I223" s="89"/>
      <c r="J223" s="89"/>
      <c r="K223" s="89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</row>
    <row r="224" spans="2:23" s="14" customFormat="1" ht="17.100000000000001" customHeight="1">
      <c r="B224" s="89"/>
      <c r="C224" s="90"/>
      <c r="D224" s="91"/>
      <c r="E224" s="92"/>
      <c r="F224" s="89"/>
      <c r="G224" s="89"/>
      <c r="H224" s="89"/>
      <c r="I224" s="89"/>
      <c r="J224" s="89"/>
      <c r="K224" s="89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</row>
    <row r="225" spans="2:23" s="14" customFormat="1" ht="17.100000000000001" customHeight="1">
      <c r="B225" s="89"/>
      <c r="C225" s="90"/>
      <c r="D225" s="91"/>
      <c r="E225" s="92"/>
      <c r="F225" s="89"/>
      <c r="G225" s="89"/>
      <c r="H225" s="89"/>
      <c r="I225" s="89"/>
      <c r="J225" s="89"/>
      <c r="K225" s="89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</row>
    <row r="226" spans="2:23" s="14" customFormat="1" ht="17.100000000000001" customHeight="1">
      <c r="B226" s="89"/>
      <c r="C226" s="90"/>
      <c r="D226" s="91"/>
      <c r="E226" s="92"/>
      <c r="F226" s="89"/>
      <c r="G226" s="89"/>
      <c r="H226" s="89"/>
      <c r="I226" s="89"/>
      <c r="J226" s="89"/>
      <c r="K226" s="89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</row>
    <row r="227" spans="2:23" s="14" customFormat="1" ht="17.100000000000001" customHeight="1">
      <c r="B227" s="89"/>
      <c r="C227" s="90"/>
      <c r="D227" s="91"/>
      <c r="E227" s="92"/>
      <c r="F227" s="89"/>
      <c r="G227" s="89"/>
      <c r="H227" s="89"/>
      <c r="I227" s="89"/>
      <c r="J227" s="89"/>
      <c r="K227" s="89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</row>
    <row r="228" spans="2:23" s="14" customFormat="1" ht="17.100000000000001" customHeight="1">
      <c r="B228" s="89"/>
      <c r="C228" s="90"/>
      <c r="D228" s="91"/>
      <c r="E228" s="92"/>
      <c r="F228" s="89"/>
      <c r="G228" s="89"/>
      <c r="H228" s="89"/>
      <c r="I228" s="89"/>
      <c r="J228" s="89"/>
      <c r="K228" s="89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</row>
    <row r="229" spans="2:23" s="14" customFormat="1" ht="17.100000000000001" customHeight="1">
      <c r="B229" s="89"/>
      <c r="C229" s="90"/>
      <c r="D229" s="91"/>
      <c r="E229" s="92"/>
      <c r="F229" s="89"/>
      <c r="G229" s="89"/>
      <c r="H229" s="89"/>
      <c r="I229" s="89"/>
      <c r="J229" s="89"/>
      <c r="K229" s="89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</row>
    <row r="230" spans="2:23" s="14" customFormat="1" ht="17.100000000000001" customHeight="1">
      <c r="B230" s="89"/>
      <c r="C230" s="90"/>
      <c r="D230" s="91"/>
      <c r="E230" s="92"/>
      <c r="F230" s="89"/>
      <c r="G230" s="89"/>
      <c r="H230" s="89"/>
      <c r="I230" s="89"/>
      <c r="J230" s="89"/>
      <c r="K230" s="89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</row>
    <row r="231" spans="2:23" s="14" customFormat="1" ht="17.100000000000001" customHeight="1">
      <c r="B231" s="89"/>
      <c r="C231" s="90"/>
      <c r="D231" s="91"/>
      <c r="E231" s="92"/>
      <c r="F231" s="89"/>
      <c r="G231" s="89"/>
      <c r="H231" s="89"/>
      <c r="I231" s="89"/>
      <c r="J231" s="89"/>
      <c r="K231" s="89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</row>
    <row r="232" spans="2:23" s="14" customFormat="1" ht="17.100000000000001" customHeight="1">
      <c r="B232" s="89"/>
      <c r="C232" s="90"/>
      <c r="D232" s="91"/>
      <c r="E232" s="92"/>
      <c r="F232" s="89"/>
      <c r="G232" s="89"/>
      <c r="H232" s="89"/>
      <c r="I232" s="89"/>
      <c r="J232" s="89"/>
      <c r="K232" s="89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</row>
    <row r="233" spans="2:23" s="14" customFormat="1" ht="17.100000000000001" customHeight="1">
      <c r="B233" s="89"/>
      <c r="C233" s="90"/>
      <c r="D233" s="91"/>
      <c r="E233" s="92"/>
      <c r="F233" s="89"/>
      <c r="G233" s="89"/>
      <c r="H233" s="89"/>
      <c r="I233" s="89"/>
      <c r="J233" s="89"/>
      <c r="K233" s="89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</row>
    <row r="234" spans="2:23" s="14" customFormat="1" ht="17.100000000000001" customHeight="1">
      <c r="B234" s="89"/>
      <c r="C234" s="90"/>
      <c r="D234" s="91"/>
      <c r="E234" s="92"/>
      <c r="F234" s="89"/>
      <c r="G234" s="89"/>
      <c r="H234" s="89"/>
      <c r="I234" s="89"/>
      <c r="J234" s="89"/>
      <c r="K234" s="89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</row>
    <row r="235" spans="2:23" s="14" customFormat="1" ht="17.100000000000001" customHeight="1">
      <c r="B235" s="89"/>
      <c r="C235" s="90"/>
      <c r="D235" s="91"/>
      <c r="E235" s="92"/>
      <c r="F235" s="89"/>
      <c r="G235" s="89"/>
      <c r="H235" s="89"/>
      <c r="I235" s="89"/>
      <c r="J235" s="89"/>
      <c r="K235" s="89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</row>
    <row r="236" spans="2:23" s="14" customFormat="1" ht="17.100000000000001" customHeight="1">
      <c r="B236" s="89"/>
      <c r="C236" s="90"/>
      <c r="D236" s="91"/>
      <c r="E236" s="92"/>
      <c r="F236" s="89"/>
      <c r="G236" s="89"/>
      <c r="H236" s="89"/>
      <c r="I236" s="89"/>
      <c r="J236" s="89"/>
      <c r="K236" s="89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</row>
    <row r="237" spans="2:23" s="14" customFormat="1" ht="17.100000000000001" customHeight="1">
      <c r="B237" s="89"/>
      <c r="C237" s="90"/>
      <c r="D237" s="91"/>
      <c r="E237" s="92"/>
      <c r="F237" s="89"/>
      <c r="G237" s="89"/>
      <c r="H237" s="89"/>
      <c r="I237" s="89"/>
      <c r="J237" s="89"/>
      <c r="K237" s="89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</row>
    <row r="238" spans="2:23" s="14" customFormat="1" ht="17.100000000000001" customHeight="1">
      <c r="B238" s="89"/>
      <c r="C238" s="90"/>
      <c r="D238" s="91"/>
      <c r="E238" s="92"/>
      <c r="F238" s="89"/>
      <c r="G238" s="89"/>
      <c r="H238" s="89"/>
      <c r="I238" s="89"/>
      <c r="J238" s="89"/>
      <c r="K238" s="89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</row>
    <row r="239" spans="2:23" s="14" customFormat="1" ht="17.100000000000001" customHeight="1">
      <c r="B239" s="89"/>
      <c r="C239" s="90"/>
      <c r="D239" s="91"/>
      <c r="E239" s="92"/>
      <c r="F239" s="89"/>
      <c r="G239" s="89"/>
      <c r="H239" s="89"/>
      <c r="I239" s="89"/>
      <c r="J239" s="89"/>
      <c r="K239" s="89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</row>
    <row r="240" spans="2:23" s="14" customFormat="1" ht="17.100000000000001" customHeight="1">
      <c r="B240" s="89"/>
      <c r="C240" s="90"/>
      <c r="D240" s="91"/>
      <c r="E240" s="92"/>
      <c r="F240" s="89"/>
      <c r="G240" s="89"/>
      <c r="H240" s="89"/>
      <c r="I240" s="89"/>
      <c r="J240" s="89"/>
      <c r="K240" s="89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</row>
    <row r="241" spans="2:23" s="14" customFormat="1" ht="17.100000000000001" customHeight="1">
      <c r="B241" s="89"/>
      <c r="C241" s="90"/>
      <c r="D241" s="91"/>
      <c r="E241" s="92"/>
      <c r="F241" s="89"/>
      <c r="G241" s="89"/>
      <c r="H241" s="89"/>
      <c r="I241" s="89"/>
      <c r="J241" s="89"/>
      <c r="K241" s="89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</row>
    <row r="242" spans="2:23" s="14" customFormat="1" ht="17.100000000000001" customHeight="1">
      <c r="B242" s="89"/>
      <c r="C242" s="90"/>
      <c r="D242" s="91"/>
      <c r="E242" s="92"/>
      <c r="F242" s="89"/>
      <c r="G242" s="89"/>
      <c r="H242" s="89"/>
      <c r="I242" s="89"/>
      <c r="J242" s="89"/>
      <c r="K242" s="89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</row>
    <row r="243" spans="2:23" s="14" customFormat="1" ht="17.100000000000001" customHeight="1">
      <c r="B243" s="89"/>
      <c r="C243" s="90"/>
      <c r="D243" s="91"/>
      <c r="E243" s="92"/>
      <c r="F243" s="89"/>
      <c r="G243" s="89"/>
      <c r="H243" s="89"/>
      <c r="I243" s="89"/>
      <c r="J243" s="89"/>
      <c r="K243" s="89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</row>
    <row r="244" spans="2:23" s="14" customFormat="1" ht="17.100000000000001" customHeight="1">
      <c r="B244" s="89"/>
      <c r="C244" s="90"/>
      <c r="D244" s="91"/>
      <c r="E244" s="92"/>
      <c r="F244" s="89"/>
      <c r="G244" s="89"/>
      <c r="H244" s="89"/>
      <c r="I244" s="89"/>
      <c r="J244" s="89"/>
      <c r="K244" s="89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</row>
    <row r="245" spans="2:23" s="14" customFormat="1" ht="17.100000000000001" customHeight="1">
      <c r="B245" s="89"/>
      <c r="C245" s="90"/>
      <c r="D245" s="91"/>
      <c r="E245" s="92"/>
      <c r="F245" s="89"/>
      <c r="G245" s="89"/>
      <c r="H245" s="89"/>
      <c r="I245" s="89"/>
      <c r="J245" s="89"/>
      <c r="K245" s="89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</row>
    <row r="246" spans="2:23" s="14" customFormat="1" ht="17.100000000000001" customHeight="1">
      <c r="B246" s="89"/>
      <c r="C246" s="90"/>
      <c r="D246" s="91"/>
      <c r="E246" s="92"/>
      <c r="F246" s="89"/>
      <c r="G246" s="89"/>
      <c r="H246" s="89"/>
      <c r="I246" s="89"/>
      <c r="J246" s="89"/>
      <c r="K246" s="89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</row>
    <row r="247" spans="2:23" s="14" customFormat="1" ht="17.100000000000001" customHeight="1">
      <c r="B247" s="89"/>
      <c r="C247" s="90"/>
      <c r="D247" s="91"/>
      <c r="E247" s="92"/>
      <c r="F247" s="89"/>
      <c r="G247" s="89"/>
      <c r="H247" s="89"/>
      <c r="I247" s="89"/>
      <c r="J247" s="89"/>
      <c r="K247" s="89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</row>
    <row r="248" spans="2:23" s="14" customFormat="1" ht="17.100000000000001" customHeight="1">
      <c r="B248" s="89"/>
      <c r="C248" s="90"/>
      <c r="D248" s="91"/>
      <c r="E248" s="92"/>
      <c r="F248" s="89"/>
      <c r="G248" s="89"/>
      <c r="H248" s="89"/>
      <c r="I248" s="89"/>
      <c r="J248" s="89"/>
      <c r="K248" s="89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</row>
    <row r="249" spans="2:23" s="14" customFormat="1" ht="17.100000000000001" customHeight="1">
      <c r="B249" s="89"/>
      <c r="C249" s="90"/>
      <c r="D249" s="91"/>
      <c r="E249" s="92"/>
      <c r="F249" s="89"/>
      <c r="G249" s="89"/>
      <c r="H249" s="89"/>
      <c r="I249" s="89"/>
      <c r="J249" s="89"/>
      <c r="K249" s="89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</row>
    <row r="250" spans="2:23" s="14" customFormat="1" ht="17.100000000000001" customHeight="1">
      <c r="B250" s="89"/>
      <c r="C250" s="90"/>
      <c r="D250" s="91"/>
      <c r="E250" s="92"/>
      <c r="F250" s="89"/>
      <c r="G250" s="89"/>
      <c r="H250" s="89"/>
      <c r="I250" s="89"/>
      <c r="J250" s="89"/>
      <c r="K250" s="89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</row>
    <row r="251" spans="2:23" s="14" customFormat="1" ht="17.100000000000001" customHeight="1">
      <c r="B251" s="89"/>
      <c r="C251" s="90"/>
      <c r="D251" s="91"/>
      <c r="E251" s="92"/>
      <c r="F251" s="89"/>
      <c r="G251" s="89"/>
      <c r="H251" s="89"/>
      <c r="I251" s="89"/>
      <c r="J251" s="89"/>
      <c r="K251" s="89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</row>
    <row r="252" spans="2:23" s="14" customFormat="1" ht="17.100000000000001" customHeight="1">
      <c r="B252" s="89"/>
      <c r="C252" s="90"/>
      <c r="D252" s="91"/>
      <c r="E252" s="92"/>
      <c r="F252" s="89"/>
      <c r="G252" s="89"/>
      <c r="H252" s="89"/>
      <c r="I252" s="89"/>
      <c r="J252" s="89"/>
      <c r="K252" s="89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</row>
    <row r="253" spans="2:23" s="14" customFormat="1" ht="17.100000000000001" customHeight="1">
      <c r="B253" s="89"/>
      <c r="C253" s="90"/>
      <c r="D253" s="91"/>
      <c r="E253" s="92"/>
      <c r="F253" s="89"/>
      <c r="G253" s="89"/>
      <c r="H253" s="89"/>
      <c r="I253" s="89"/>
      <c r="J253" s="89"/>
      <c r="K253" s="89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</row>
    <row r="254" spans="2:23" s="14" customFormat="1" ht="17.100000000000001" customHeight="1">
      <c r="B254" s="89"/>
      <c r="C254" s="90"/>
      <c r="D254" s="91"/>
      <c r="E254" s="92"/>
      <c r="F254" s="89"/>
      <c r="G254" s="89"/>
      <c r="H254" s="89"/>
      <c r="I254" s="89"/>
      <c r="J254" s="89"/>
      <c r="K254" s="89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</row>
    <row r="255" spans="2:23" s="14" customFormat="1" ht="17.100000000000001" customHeight="1">
      <c r="B255" s="89"/>
      <c r="C255" s="90"/>
      <c r="D255" s="91"/>
      <c r="E255" s="92"/>
      <c r="F255" s="89"/>
      <c r="G255" s="89"/>
      <c r="H255" s="89"/>
      <c r="I255" s="89"/>
      <c r="J255" s="89"/>
      <c r="K255" s="89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</row>
    <row r="256" spans="2:23" s="14" customFormat="1" ht="17.100000000000001" customHeight="1">
      <c r="B256" s="89"/>
      <c r="C256" s="90"/>
      <c r="D256" s="91"/>
      <c r="E256" s="92"/>
      <c r="F256" s="89"/>
      <c r="G256" s="89"/>
      <c r="H256" s="89"/>
      <c r="I256" s="89"/>
      <c r="J256" s="89"/>
      <c r="K256" s="89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</row>
    <row r="257" spans="2:23" s="14" customFormat="1" ht="17.100000000000001" customHeight="1">
      <c r="B257" s="89"/>
      <c r="C257" s="90"/>
      <c r="D257" s="91"/>
      <c r="E257" s="92"/>
      <c r="F257" s="89"/>
      <c r="G257" s="89"/>
      <c r="H257" s="89"/>
      <c r="I257" s="89"/>
      <c r="J257" s="89"/>
      <c r="K257" s="89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</row>
    <row r="258" spans="2:23" s="14" customFormat="1" ht="17.100000000000001" customHeight="1">
      <c r="B258" s="89"/>
      <c r="C258" s="90"/>
      <c r="D258" s="91"/>
      <c r="E258" s="92"/>
      <c r="F258" s="89"/>
      <c r="G258" s="89"/>
      <c r="H258" s="89"/>
      <c r="I258" s="89"/>
      <c r="J258" s="89"/>
      <c r="K258" s="89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</row>
    <row r="259" spans="2:23" s="14" customFormat="1" ht="17.100000000000001" customHeight="1">
      <c r="B259" s="89"/>
      <c r="C259" s="90"/>
      <c r="D259" s="91"/>
      <c r="E259" s="92"/>
      <c r="F259" s="89"/>
      <c r="G259" s="89"/>
      <c r="H259" s="89"/>
      <c r="I259" s="89"/>
      <c r="J259" s="89"/>
      <c r="K259" s="89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</row>
    <row r="260" spans="2:23" s="14" customFormat="1" ht="17.100000000000001" customHeight="1">
      <c r="B260" s="89"/>
      <c r="C260" s="90"/>
      <c r="D260" s="91"/>
      <c r="E260" s="92"/>
      <c r="F260" s="89"/>
      <c r="G260" s="89"/>
      <c r="H260" s="89"/>
      <c r="I260" s="89"/>
      <c r="J260" s="89"/>
      <c r="K260" s="89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</row>
    <row r="261" spans="2:23" s="14" customFormat="1" ht="17.100000000000001" customHeight="1">
      <c r="B261" s="89"/>
      <c r="C261" s="90"/>
      <c r="D261" s="91"/>
      <c r="E261" s="92"/>
      <c r="F261" s="89"/>
      <c r="G261" s="89"/>
      <c r="H261" s="89"/>
      <c r="I261" s="89"/>
      <c r="J261" s="89"/>
      <c r="K261" s="89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</row>
    <row r="262" spans="2:23" s="14" customFormat="1" ht="17.100000000000001" customHeight="1">
      <c r="B262" s="89"/>
      <c r="C262" s="90"/>
      <c r="D262" s="91"/>
      <c r="E262" s="92"/>
      <c r="F262" s="89"/>
      <c r="G262" s="89"/>
      <c r="H262" s="89"/>
      <c r="I262" s="89"/>
      <c r="J262" s="89"/>
      <c r="K262" s="89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</row>
    <row r="263" spans="2:23" s="14" customFormat="1" ht="17.100000000000001" customHeight="1">
      <c r="B263" s="89"/>
      <c r="C263" s="90"/>
      <c r="D263" s="91"/>
      <c r="E263" s="92"/>
      <c r="F263" s="89"/>
      <c r="G263" s="89"/>
      <c r="H263" s="89"/>
      <c r="I263" s="89"/>
      <c r="J263" s="89"/>
      <c r="K263" s="89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</row>
    <row r="264" spans="2:23" s="14" customFormat="1" ht="17.100000000000001" customHeight="1">
      <c r="B264" s="89"/>
      <c r="C264" s="90"/>
      <c r="D264" s="91"/>
      <c r="E264" s="92"/>
      <c r="F264" s="89"/>
      <c r="G264" s="89"/>
      <c r="H264" s="89"/>
      <c r="I264" s="89"/>
      <c r="J264" s="89"/>
      <c r="K264" s="89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</row>
    <row r="265" spans="2:23" s="14" customFormat="1" ht="17.100000000000001" customHeight="1">
      <c r="B265" s="89"/>
      <c r="C265" s="90"/>
      <c r="D265" s="91"/>
      <c r="E265" s="92"/>
      <c r="F265" s="89"/>
      <c r="G265" s="89"/>
      <c r="H265" s="89"/>
      <c r="I265" s="89"/>
      <c r="J265" s="89"/>
      <c r="K265" s="89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</row>
    <row r="266" spans="2:23" s="14" customFormat="1" ht="17.100000000000001" customHeight="1">
      <c r="B266" s="89"/>
      <c r="C266" s="90"/>
      <c r="D266" s="91"/>
      <c r="E266" s="92"/>
      <c r="F266" s="89"/>
      <c r="G266" s="89"/>
      <c r="H266" s="89"/>
      <c r="I266" s="89"/>
      <c r="J266" s="89"/>
      <c r="K266" s="89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</row>
    <row r="267" spans="2:23" s="14" customFormat="1" ht="17.100000000000001" customHeight="1">
      <c r="B267" s="89"/>
      <c r="C267" s="90"/>
      <c r="D267" s="91"/>
      <c r="E267" s="92"/>
      <c r="F267" s="89"/>
      <c r="G267" s="89"/>
      <c r="H267" s="89"/>
      <c r="I267" s="89"/>
      <c r="J267" s="89"/>
      <c r="K267" s="89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</row>
    <row r="268" spans="2:23" s="14" customFormat="1" ht="17.100000000000001" customHeight="1">
      <c r="B268" s="89"/>
      <c r="C268" s="90"/>
      <c r="D268" s="91"/>
      <c r="E268" s="92"/>
      <c r="F268" s="89"/>
      <c r="G268" s="89"/>
      <c r="H268" s="89"/>
      <c r="I268" s="89"/>
      <c r="J268" s="89"/>
      <c r="K268" s="89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</row>
    <row r="269" spans="2:23" s="14" customFormat="1" ht="17.100000000000001" customHeight="1">
      <c r="B269" s="89"/>
      <c r="C269" s="90"/>
      <c r="D269" s="91"/>
      <c r="E269" s="92"/>
      <c r="F269" s="89"/>
      <c r="G269" s="89"/>
      <c r="H269" s="89"/>
      <c r="I269" s="89"/>
      <c r="J269" s="89"/>
      <c r="K269" s="89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</row>
    <row r="270" spans="2:23" s="14" customFormat="1" ht="17.100000000000001" customHeight="1">
      <c r="B270" s="89"/>
      <c r="C270" s="90"/>
      <c r="D270" s="91"/>
      <c r="E270" s="92"/>
      <c r="F270" s="89"/>
      <c r="G270" s="89"/>
      <c r="H270" s="89"/>
      <c r="I270" s="89"/>
      <c r="J270" s="89"/>
      <c r="K270" s="89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</row>
    <row r="271" spans="2:23" s="14" customFormat="1" ht="17.100000000000001" customHeight="1">
      <c r="B271" s="89"/>
      <c r="C271" s="90"/>
      <c r="D271" s="91"/>
      <c r="E271" s="92"/>
      <c r="F271" s="89"/>
      <c r="G271" s="89"/>
      <c r="H271" s="89"/>
      <c r="I271" s="89"/>
      <c r="J271" s="89"/>
      <c r="K271" s="89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</row>
    <row r="272" spans="2:23" s="14" customFormat="1" ht="17.100000000000001" customHeight="1">
      <c r="B272" s="89"/>
      <c r="C272" s="90"/>
      <c r="D272" s="91"/>
      <c r="E272" s="92"/>
      <c r="F272" s="89"/>
      <c r="G272" s="89"/>
      <c r="H272" s="89"/>
      <c r="I272" s="89"/>
      <c r="J272" s="89"/>
      <c r="K272" s="89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</row>
    <row r="273" spans="2:23" s="14" customFormat="1" ht="17.100000000000001" customHeight="1">
      <c r="B273" s="89"/>
      <c r="C273" s="90"/>
      <c r="D273" s="91"/>
      <c r="E273" s="92"/>
      <c r="F273" s="89"/>
      <c r="G273" s="89"/>
      <c r="H273" s="89"/>
      <c r="I273" s="89"/>
      <c r="J273" s="89"/>
      <c r="K273" s="89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</row>
    <row r="274" spans="2:23" s="14" customFormat="1" ht="17.100000000000001" customHeight="1">
      <c r="B274" s="89"/>
      <c r="C274" s="90"/>
      <c r="D274" s="91"/>
      <c r="E274" s="92"/>
      <c r="F274" s="89"/>
      <c r="G274" s="89"/>
      <c r="H274" s="89"/>
      <c r="I274" s="89"/>
      <c r="J274" s="89"/>
      <c r="K274" s="89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</row>
    <row r="275" spans="2:23" s="14" customFormat="1" ht="17.100000000000001" customHeight="1">
      <c r="B275" s="89"/>
      <c r="C275" s="90"/>
      <c r="D275" s="91"/>
      <c r="E275" s="92"/>
      <c r="F275" s="89"/>
      <c r="G275" s="89"/>
      <c r="H275" s="89"/>
      <c r="I275" s="89"/>
      <c r="J275" s="89"/>
      <c r="K275" s="89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</row>
    <row r="276" spans="2:23" s="14" customFormat="1" ht="17.100000000000001" customHeight="1">
      <c r="B276" s="89"/>
      <c r="C276" s="90"/>
      <c r="D276" s="91"/>
      <c r="E276" s="92"/>
      <c r="F276" s="89"/>
      <c r="G276" s="89"/>
      <c r="H276" s="89"/>
      <c r="I276" s="89"/>
      <c r="J276" s="89"/>
      <c r="K276" s="89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</row>
    <row r="277" spans="2:23" s="14" customFormat="1" ht="17.100000000000001" customHeight="1">
      <c r="B277" s="89"/>
      <c r="C277" s="90"/>
      <c r="D277" s="91"/>
      <c r="E277" s="92"/>
      <c r="F277" s="89"/>
      <c r="G277" s="89"/>
      <c r="H277" s="89"/>
      <c r="I277" s="89"/>
      <c r="J277" s="89"/>
      <c r="K277" s="89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</row>
    <row r="278" spans="2:23" s="14" customFormat="1" ht="17.100000000000001" customHeight="1">
      <c r="B278" s="89"/>
      <c r="C278" s="90"/>
      <c r="D278" s="91"/>
      <c r="E278" s="92"/>
      <c r="F278" s="89"/>
      <c r="G278" s="89"/>
      <c r="H278" s="89"/>
      <c r="I278" s="89"/>
      <c r="J278" s="89"/>
      <c r="K278" s="89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</row>
    <row r="279" spans="2:23" s="14" customFormat="1" ht="17.100000000000001" customHeight="1">
      <c r="B279" s="89"/>
      <c r="C279" s="90"/>
      <c r="D279" s="91"/>
      <c r="E279" s="92"/>
      <c r="F279" s="89"/>
      <c r="G279" s="89"/>
      <c r="H279" s="89"/>
      <c r="I279" s="89"/>
      <c r="J279" s="89"/>
      <c r="K279" s="89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</row>
    <row r="280" spans="2:23" s="14" customFormat="1" ht="17.100000000000001" customHeight="1">
      <c r="B280" s="89"/>
      <c r="C280" s="90"/>
      <c r="D280" s="91"/>
      <c r="E280" s="92"/>
      <c r="F280" s="89"/>
      <c r="G280" s="89"/>
      <c r="H280" s="89"/>
      <c r="I280" s="89"/>
      <c r="J280" s="89"/>
      <c r="K280" s="89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</row>
    <row r="281" spans="2:23" s="14" customFormat="1" ht="17.100000000000001" customHeight="1">
      <c r="B281" s="89"/>
      <c r="C281" s="90"/>
      <c r="D281" s="91"/>
      <c r="E281" s="92"/>
      <c r="F281" s="89"/>
      <c r="G281" s="89"/>
      <c r="H281" s="89"/>
      <c r="I281" s="89"/>
      <c r="J281" s="89"/>
      <c r="K281" s="89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</row>
    <row r="282" spans="2:23" s="14" customFormat="1" ht="17.100000000000001" customHeight="1">
      <c r="B282" s="89"/>
      <c r="C282" s="90"/>
      <c r="D282" s="91"/>
      <c r="E282" s="92"/>
      <c r="F282" s="89"/>
      <c r="G282" s="89"/>
      <c r="H282" s="89"/>
      <c r="I282" s="89"/>
      <c r="J282" s="89"/>
      <c r="K282" s="89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</row>
    <row r="283" spans="2:23" s="14" customFormat="1" ht="17.100000000000001" customHeight="1">
      <c r="B283" s="89"/>
      <c r="C283" s="90"/>
      <c r="D283" s="91"/>
      <c r="E283" s="92"/>
      <c r="F283" s="89"/>
      <c r="G283" s="89"/>
      <c r="H283" s="89"/>
      <c r="I283" s="89"/>
      <c r="J283" s="89"/>
      <c r="K283" s="89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</row>
    <row r="284" spans="2:23" s="14" customFormat="1" ht="17.100000000000001" customHeight="1">
      <c r="B284" s="89"/>
      <c r="C284" s="90"/>
      <c r="D284" s="91"/>
      <c r="E284" s="92"/>
      <c r="F284" s="89"/>
      <c r="G284" s="89"/>
      <c r="H284" s="89"/>
      <c r="I284" s="89"/>
      <c r="J284" s="89"/>
      <c r="K284" s="89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</row>
    <row r="285" spans="2:23" s="14" customFormat="1" ht="17.100000000000001" customHeight="1">
      <c r="B285" s="89"/>
      <c r="C285" s="90"/>
      <c r="D285" s="91"/>
      <c r="E285" s="92"/>
      <c r="F285" s="89"/>
      <c r="G285" s="89"/>
      <c r="H285" s="89"/>
      <c r="I285" s="89"/>
      <c r="J285" s="89"/>
      <c r="K285" s="89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</row>
    <row r="286" spans="2:23" s="14" customFormat="1" ht="17.100000000000001" customHeight="1">
      <c r="B286" s="89"/>
      <c r="C286" s="90"/>
      <c r="D286" s="91"/>
      <c r="E286" s="92"/>
      <c r="F286" s="89"/>
      <c r="G286" s="89"/>
      <c r="H286" s="89"/>
      <c r="I286" s="89"/>
      <c r="J286" s="89"/>
      <c r="K286" s="89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</row>
    <row r="287" spans="2:23" s="14" customFormat="1" ht="17.100000000000001" customHeight="1">
      <c r="B287" s="89"/>
      <c r="C287" s="90"/>
      <c r="D287" s="91"/>
      <c r="E287" s="92"/>
      <c r="F287" s="89"/>
      <c r="G287" s="89"/>
      <c r="H287" s="89"/>
      <c r="I287" s="89"/>
      <c r="J287" s="89"/>
      <c r="K287" s="89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</row>
    <row r="288" spans="2:23" s="14" customFormat="1" ht="17.100000000000001" customHeight="1">
      <c r="B288" s="89"/>
      <c r="C288" s="90"/>
      <c r="D288" s="91"/>
      <c r="E288" s="92"/>
      <c r="F288" s="89"/>
      <c r="G288" s="89"/>
      <c r="H288" s="89"/>
      <c r="I288" s="89"/>
      <c r="J288" s="89"/>
      <c r="K288" s="89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</row>
    <row r="289" spans="2:23" s="14" customFormat="1" ht="17.100000000000001" customHeight="1">
      <c r="B289" s="89"/>
      <c r="C289" s="90"/>
      <c r="D289" s="91"/>
      <c r="E289" s="92"/>
      <c r="F289" s="89"/>
      <c r="G289" s="89"/>
      <c r="H289" s="89"/>
      <c r="I289" s="89"/>
      <c r="J289" s="89"/>
      <c r="K289" s="89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</row>
    <row r="290" spans="2:23" s="14" customFormat="1" ht="17.100000000000001" customHeight="1">
      <c r="B290" s="89"/>
      <c r="C290" s="90"/>
      <c r="D290" s="91"/>
      <c r="E290" s="92"/>
      <c r="F290" s="89"/>
      <c r="G290" s="89"/>
      <c r="H290" s="89"/>
      <c r="I290" s="89"/>
      <c r="J290" s="89"/>
      <c r="K290" s="89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</row>
    <row r="291" spans="2:23" s="14" customFormat="1" ht="17.100000000000001" customHeight="1">
      <c r="B291" s="89"/>
      <c r="C291" s="90"/>
      <c r="D291" s="91"/>
      <c r="E291" s="92"/>
      <c r="F291" s="89"/>
      <c r="G291" s="89"/>
      <c r="H291" s="89"/>
      <c r="I291" s="89"/>
      <c r="J291" s="89"/>
      <c r="K291" s="89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</row>
    <row r="292" spans="2:23" s="14" customFormat="1" ht="17.100000000000001" customHeight="1">
      <c r="B292" s="89"/>
      <c r="C292" s="90"/>
      <c r="D292" s="91"/>
      <c r="E292" s="92"/>
      <c r="F292" s="89"/>
      <c r="G292" s="89"/>
      <c r="H292" s="89"/>
      <c r="I292" s="89"/>
      <c r="J292" s="89"/>
      <c r="K292" s="89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</row>
    <row r="293" spans="2:23" s="14" customFormat="1" ht="17.100000000000001" customHeight="1">
      <c r="B293" s="89"/>
      <c r="C293" s="90"/>
      <c r="D293" s="91"/>
      <c r="E293" s="92"/>
      <c r="F293" s="89"/>
      <c r="G293" s="89"/>
      <c r="H293" s="89"/>
      <c r="I293" s="89"/>
      <c r="J293" s="89"/>
      <c r="K293" s="89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</row>
    <row r="294" spans="2:23" s="14" customFormat="1" ht="17.100000000000001" customHeight="1">
      <c r="B294" s="89"/>
      <c r="C294" s="90"/>
      <c r="D294" s="91"/>
      <c r="E294" s="92"/>
      <c r="F294" s="89"/>
      <c r="G294" s="89"/>
      <c r="H294" s="89"/>
      <c r="I294" s="89"/>
      <c r="J294" s="89"/>
      <c r="K294" s="89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</row>
    <row r="295" spans="2:23" s="14" customFormat="1" ht="17.100000000000001" customHeight="1">
      <c r="B295" s="89"/>
      <c r="C295" s="90"/>
      <c r="D295" s="91"/>
      <c r="E295" s="92"/>
      <c r="F295" s="89"/>
      <c r="G295" s="89"/>
      <c r="H295" s="89"/>
      <c r="I295" s="89"/>
      <c r="J295" s="89"/>
      <c r="K295" s="89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</row>
    <row r="296" spans="2:23" s="14" customFormat="1" ht="17.100000000000001" customHeight="1">
      <c r="B296" s="89"/>
      <c r="C296" s="90"/>
      <c r="D296" s="91"/>
      <c r="E296" s="92"/>
      <c r="F296" s="89"/>
      <c r="G296" s="89"/>
      <c r="H296" s="89"/>
      <c r="I296" s="89"/>
      <c r="J296" s="89"/>
      <c r="K296" s="89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</row>
    <row r="297" spans="2:23" s="14" customFormat="1" ht="17.100000000000001" customHeight="1">
      <c r="B297" s="89"/>
      <c r="C297" s="90"/>
      <c r="D297" s="91"/>
      <c r="E297" s="92"/>
      <c r="F297" s="89"/>
      <c r="G297" s="89"/>
      <c r="H297" s="89"/>
      <c r="I297" s="89"/>
      <c r="J297" s="89"/>
      <c r="K297" s="89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</row>
    <row r="298" spans="2:23" s="14" customFormat="1" ht="17.100000000000001" customHeight="1">
      <c r="B298" s="89"/>
      <c r="C298" s="90"/>
      <c r="D298" s="91"/>
      <c r="E298" s="92"/>
      <c r="F298" s="89"/>
      <c r="G298" s="89"/>
      <c r="H298" s="89"/>
      <c r="I298" s="89"/>
      <c r="J298" s="89"/>
      <c r="K298" s="89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</row>
    <row r="299" spans="2:23" s="14" customFormat="1" ht="17.100000000000001" customHeight="1">
      <c r="B299" s="89"/>
      <c r="C299" s="90"/>
      <c r="D299" s="91"/>
      <c r="E299" s="92"/>
      <c r="F299" s="89"/>
      <c r="G299" s="89"/>
      <c r="H299" s="89"/>
      <c r="I299" s="89"/>
      <c r="J299" s="89"/>
      <c r="K299" s="89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</row>
    <row r="300" spans="2:23" s="14" customFormat="1" ht="17.100000000000001" customHeight="1">
      <c r="B300" s="89"/>
      <c r="C300" s="90"/>
      <c r="D300" s="91"/>
      <c r="E300" s="92"/>
      <c r="F300" s="89"/>
      <c r="G300" s="89"/>
      <c r="H300" s="89"/>
      <c r="I300" s="89"/>
      <c r="J300" s="89"/>
      <c r="K300" s="89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</row>
    <row r="301" spans="2:23" s="14" customFormat="1" ht="17.100000000000001" customHeight="1">
      <c r="B301" s="89"/>
      <c r="C301" s="90"/>
      <c r="D301" s="91"/>
      <c r="E301" s="92"/>
      <c r="F301" s="89"/>
      <c r="G301" s="89"/>
      <c r="H301" s="89"/>
      <c r="I301" s="89"/>
      <c r="J301" s="89"/>
      <c r="K301" s="89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</row>
    <row r="302" spans="2:23" s="14" customFormat="1" ht="17.100000000000001" customHeight="1">
      <c r="B302" s="89"/>
      <c r="C302" s="90"/>
      <c r="D302" s="91"/>
      <c r="E302" s="92"/>
      <c r="F302" s="89"/>
      <c r="G302" s="89"/>
      <c r="H302" s="89"/>
      <c r="I302" s="89"/>
      <c r="J302" s="89"/>
      <c r="K302" s="89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</row>
    <row r="303" spans="2:23" s="14" customFormat="1" ht="17.100000000000001" customHeight="1">
      <c r="B303" s="89"/>
      <c r="C303" s="90"/>
      <c r="D303" s="91"/>
      <c r="E303" s="92"/>
      <c r="F303" s="89"/>
      <c r="G303" s="89"/>
      <c r="H303" s="89"/>
      <c r="I303" s="89"/>
      <c r="J303" s="89"/>
      <c r="K303" s="89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</row>
    <row r="304" spans="2:23" s="14" customFormat="1" ht="17.100000000000001" customHeight="1">
      <c r="B304" s="89"/>
      <c r="C304" s="90"/>
      <c r="D304" s="91"/>
      <c r="E304" s="92"/>
      <c r="F304" s="89"/>
      <c r="G304" s="89"/>
      <c r="H304" s="89"/>
      <c r="I304" s="89"/>
      <c r="J304" s="89"/>
      <c r="K304" s="89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</row>
    <row r="305" spans="2:23" s="14" customFormat="1" ht="17.100000000000001" customHeight="1">
      <c r="B305" s="89"/>
      <c r="C305" s="90"/>
      <c r="D305" s="91"/>
      <c r="E305" s="92"/>
      <c r="F305" s="89"/>
      <c r="G305" s="89"/>
      <c r="H305" s="89"/>
      <c r="I305" s="89"/>
      <c r="J305" s="89"/>
      <c r="K305" s="89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</row>
    <row r="306" spans="2:23" s="14" customFormat="1" ht="17.100000000000001" customHeight="1">
      <c r="B306" s="89"/>
      <c r="C306" s="90"/>
      <c r="D306" s="91"/>
      <c r="E306" s="92"/>
      <c r="F306" s="89"/>
      <c r="G306" s="89"/>
      <c r="H306" s="89"/>
      <c r="I306" s="89"/>
      <c r="J306" s="89"/>
      <c r="K306" s="89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</row>
    <row r="307" spans="2:23" s="14" customFormat="1" ht="17.100000000000001" customHeight="1">
      <c r="B307" s="89"/>
      <c r="C307" s="90"/>
      <c r="D307" s="91"/>
      <c r="E307" s="92"/>
      <c r="F307" s="89"/>
      <c r="G307" s="89"/>
      <c r="H307" s="89"/>
      <c r="I307" s="89"/>
      <c r="J307" s="89"/>
      <c r="K307" s="89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</row>
    <row r="308" spans="2:23" s="14" customFormat="1" ht="17.100000000000001" customHeight="1">
      <c r="B308" s="89"/>
      <c r="C308" s="90"/>
      <c r="D308" s="91"/>
      <c r="E308" s="92"/>
      <c r="F308" s="89"/>
      <c r="G308" s="89"/>
      <c r="H308" s="89"/>
      <c r="I308" s="89"/>
      <c r="J308" s="89"/>
      <c r="K308" s="89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</row>
    <row r="309" spans="2:23" s="14" customFormat="1" ht="17.100000000000001" customHeight="1">
      <c r="B309" s="89"/>
      <c r="C309" s="90"/>
      <c r="D309" s="91"/>
      <c r="E309" s="92"/>
      <c r="F309" s="89"/>
      <c r="G309" s="89"/>
      <c r="H309" s="89"/>
      <c r="I309" s="89"/>
      <c r="J309" s="89"/>
      <c r="K309" s="89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</row>
    <row r="310" spans="2:23" s="14" customFormat="1" ht="17.100000000000001" customHeight="1">
      <c r="B310" s="89"/>
      <c r="C310" s="90"/>
      <c r="D310" s="91"/>
      <c r="E310" s="92"/>
      <c r="F310" s="89"/>
      <c r="G310" s="89"/>
      <c r="H310" s="89"/>
      <c r="I310" s="89"/>
      <c r="J310" s="89"/>
      <c r="K310" s="89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</row>
    <row r="311" spans="2:23" s="14" customFormat="1" ht="17.100000000000001" customHeight="1">
      <c r="B311" s="89"/>
      <c r="C311" s="90"/>
      <c r="D311" s="91"/>
      <c r="E311" s="92"/>
      <c r="F311" s="89"/>
      <c r="G311" s="89"/>
      <c r="H311" s="89"/>
      <c r="I311" s="89"/>
      <c r="J311" s="89"/>
      <c r="K311" s="89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</row>
    <row r="312" spans="2:23" s="14" customFormat="1" ht="17.100000000000001" customHeight="1">
      <c r="B312" s="89"/>
      <c r="C312" s="90"/>
      <c r="D312" s="91"/>
      <c r="E312" s="92"/>
      <c r="F312" s="89"/>
      <c r="G312" s="89"/>
      <c r="H312" s="89"/>
      <c r="I312" s="89"/>
      <c r="J312" s="89"/>
      <c r="K312" s="89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</row>
    <row r="313" spans="2:23" s="14" customFormat="1" ht="17.100000000000001" customHeight="1">
      <c r="B313" s="89"/>
      <c r="C313" s="90"/>
      <c r="D313" s="91"/>
      <c r="E313" s="92"/>
      <c r="F313" s="89"/>
      <c r="G313" s="89"/>
      <c r="H313" s="89"/>
      <c r="I313" s="89"/>
      <c r="J313" s="89"/>
      <c r="K313" s="89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</row>
    <row r="314" spans="2:23" s="14" customFormat="1" ht="17.100000000000001" customHeight="1">
      <c r="B314" s="89"/>
      <c r="C314" s="90"/>
      <c r="D314" s="91"/>
      <c r="E314" s="92"/>
      <c r="F314" s="89"/>
      <c r="G314" s="89"/>
      <c r="H314" s="89"/>
      <c r="I314" s="89"/>
      <c r="J314" s="89"/>
      <c r="K314" s="89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</row>
    <row r="315" spans="2:23" s="14" customFormat="1" ht="17.100000000000001" customHeight="1">
      <c r="B315" s="89"/>
      <c r="C315" s="90"/>
      <c r="D315" s="91"/>
      <c r="E315" s="92"/>
      <c r="F315" s="89"/>
      <c r="G315" s="89"/>
      <c r="H315" s="89"/>
      <c r="I315" s="89"/>
      <c r="J315" s="89"/>
      <c r="K315" s="89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</row>
    <row r="316" spans="2:23" s="14" customFormat="1" ht="17.100000000000001" customHeight="1">
      <c r="B316" s="89"/>
      <c r="C316" s="90"/>
      <c r="D316" s="91"/>
      <c r="E316" s="92"/>
      <c r="F316" s="89"/>
      <c r="G316" s="89"/>
      <c r="H316" s="89"/>
      <c r="I316" s="89"/>
      <c r="J316" s="89"/>
      <c r="K316" s="89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</row>
    <row r="317" spans="2:23" s="14" customFormat="1" ht="17.100000000000001" customHeight="1">
      <c r="B317" s="89"/>
      <c r="C317" s="90"/>
      <c r="D317" s="91"/>
      <c r="E317" s="92"/>
      <c r="F317" s="89"/>
      <c r="G317" s="89"/>
      <c r="H317" s="89"/>
      <c r="I317" s="89"/>
      <c r="J317" s="89"/>
      <c r="K317" s="89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</row>
    <row r="318" spans="2:23" s="14" customFormat="1" ht="17.100000000000001" customHeight="1">
      <c r="B318" s="89"/>
      <c r="C318" s="90"/>
      <c r="D318" s="91"/>
      <c r="E318" s="92"/>
      <c r="F318" s="89"/>
      <c r="G318" s="89"/>
      <c r="H318" s="89"/>
      <c r="I318" s="89"/>
      <c r="J318" s="89"/>
      <c r="K318" s="89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</row>
    <row r="319" spans="2:23" s="14" customFormat="1" ht="17.100000000000001" customHeight="1">
      <c r="B319" s="89"/>
      <c r="C319" s="90"/>
      <c r="D319" s="91"/>
      <c r="E319" s="92"/>
      <c r="F319" s="89"/>
      <c r="G319" s="89"/>
      <c r="H319" s="89"/>
      <c r="I319" s="89"/>
      <c r="J319" s="89"/>
      <c r="K319" s="89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</row>
    <row r="320" spans="2:23" s="14" customFormat="1" ht="17.100000000000001" customHeight="1">
      <c r="B320" s="89"/>
      <c r="C320" s="90"/>
      <c r="D320" s="91"/>
      <c r="E320" s="92"/>
      <c r="F320" s="89"/>
      <c r="G320" s="89"/>
      <c r="H320" s="89"/>
      <c r="I320" s="89"/>
      <c r="J320" s="89"/>
      <c r="K320" s="89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</row>
    <row r="321" spans="2:23" s="14" customFormat="1" ht="17.100000000000001" customHeight="1">
      <c r="B321" s="89"/>
      <c r="C321" s="90"/>
      <c r="D321" s="91"/>
      <c r="E321" s="92"/>
      <c r="F321" s="89"/>
      <c r="G321" s="89"/>
      <c r="H321" s="89"/>
      <c r="I321" s="89"/>
      <c r="J321" s="89"/>
      <c r="K321" s="89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</row>
    <row r="322" spans="2:23" s="14" customFormat="1" ht="17.100000000000001" customHeight="1">
      <c r="B322" s="89"/>
      <c r="C322" s="90"/>
      <c r="D322" s="91"/>
      <c r="E322" s="92"/>
      <c r="F322" s="89"/>
      <c r="G322" s="89"/>
      <c r="H322" s="89"/>
      <c r="I322" s="89"/>
      <c r="J322" s="89"/>
      <c r="K322" s="89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</row>
    <row r="323" spans="2:23" s="14" customFormat="1" ht="17.100000000000001" customHeight="1">
      <c r="B323" s="89"/>
      <c r="C323" s="90"/>
      <c r="D323" s="91"/>
      <c r="E323" s="92"/>
      <c r="F323" s="89"/>
      <c r="G323" s="89"/>
      <c r="H323" s="89"/>
      <c r="I323" s="89"/>
      <c r="J323" s="89"/>
      <c r="K323" s="89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</row>
    <row r="324" spans="2:23" s="14" customFormat="1" ht="17.100000000000001" customHeight="1">
      <c r="B324" s="89"/>
      <c r="C324" s="90"/>
      <c r="D324" s="91"/>
      <c r="E324" s="92"/>
      <c r="F324" s="89"/>
      <c r="G324" s="89"/>
      <c r="H324" s="89"/>
      <c r="I324" s="89"/>
      <c r="J324" s="89"/>
      <c r="K324" s="89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</row>
    <row r="325" spans="2:23" s="14" customFormat="1" ht="17.100000000000001" customHeight="1">
      <c r="B325" s="89"/>
      <c r="C325" s="90"/>
      <c r="D325" s="91"/>
      <c r="E325" s="92"/>
      <c r="F325" s="89"/>
      <c r="G325" s="89"/>
      <c r="H325" s="89"/>
      <c r="I325" s="89"/>
      <c r="J325" s="89"/>
      <c r="K325" s="89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</row>
    <row r="326" spans="2:23" s="14" customFormat="1" ht="17.100000000000001" customHeight="1">
      <c r="B326" s="89"/>
      <c r="C326" s="90"/>
      <c r="D326" s="91"/>
      <c r="E326" s="92"/>
      <c r="F326" s="89"/>
      <c r="G326" s="89"/>
      <c r="H326" s="89"/>
      <c r="I326" s="89"/>
      <c r="J326" s="89"/>
      <c r="K326" s="89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</row>
    <row r="327" spans="2:23" s="14" customFormat="1" ht="17.100000000000001" customHeight="1">
      <c r="B327" s="89"/>
      <c r="C327" s="90"/>
      <c r="D327" s="91"/>
      <c r="E327" s="92"/>
      <c r="F327" s="89"/>
      <c r="G327" s="89"/>
      <c r="H327" s="89"/>
      <c r="I327" s="89"/>
      <c r="J327" s="89"/>
      <c r="K327" s="89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</row>
    <row r="328" spans="2:23" s="14" customFormat="1" ht="17.100000000000001" customHeight="1">
      <c r="B328" s="89"/>
      <c r="C328" s="90"/>
      <c r="D328" s="91"/>
      <c r="E328" s="92"/>
      <c r="F328" s="89"/>
      <c r="G328" s="89"/>
      <c r="H328" s="89"/>
      <c r="I328" s="89"/>
      <c r="J328" s="89"/>
      <c r="K328" s="89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</row>
    <row r="329" spans="2:23" s="14" customFormat="1" ht="17.100000000000001" customHeight="1">
      <c r="B329" s="89"/>
      <c r="C329" s="90"/>
      <c r="D329" s="91"/>
      <c r="E329" s="92"/>
      <c r="F329" s="89"/>
      <c r="G329" s="89"/>
      <c r="H329" s="89"/>
      <c r="I329" s="89"/>
      <c r="J329" s="89"/>
      <c r="K329" s="89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</row>
    <row r="330" spans="2:23" s="14" customFormat="1" ht="17.100000000000001" customHeight="1">
      <c r="B330" s="89"/>
      <c r="C330" s="90"/>
      <c r="D330" s="91"/>
      <c r="E330" s="92"/>
      <c r="F330" s="89"/>
      <c r="G330" s="89"/>
      <c r="H330" s="89"/>
      <c r="I330" s="89"/>
      <c r="J330" s="89"/>
      <c r="K330" s="89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</row>
    <row r="331" spans="2:23" s="14" customFormat="1" ht="17.100000000000001" customHeight="1">
      <c r="B331" s="89"/>
      <c r="C331" s="90"/>
      <c r="D331" s="91"/>
      <c r="E331" s="92"/>
      <c r="F331" s="89"/>
      <c r="G331" s="89"/>
      <c r="H331" s="89"/>
      <c r="I331" s="89"/>
      <c r="J331" s="89"/>
      <c r="K331" s="89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</row>
    <row r="332" spans="2:23" s="14" customFormat="1" ht="17.100000000000001" customHeight="1">
      <c r="B332" s="89"/>
      <c r="C332" s="90"/>
      <c r="D332" s="91"/>
      <c r="E332" s="92"/>
      <c r="F332" s="89"/>
      <c r="G332" s="89"/>
      <c r="H332" s="89"/>
      <c r="I332" s="89"/>
      <c r="J332" s="89"/>
      <c r="K332" s="89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</row>
    <row r="333" spans="2:23" s="14" customFormat="1" ht="17.100000000000001" customHeight="1">
      <c r="B333" s="89"/>
      <c r="C333" s="90"/>
      <c r="D333" s="91"/>
      <c r="E333" s="92"/>
      <c r="F333" s="89"/>
      <c r="G333" s="89"/>
      <c r="H333" s="89"/>
      <c r="I333" s="89"/>
      <c r="J333" s="89"/>
      <c r="K333" s="89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</row>
    <row r="334" spans="2:23" s="14" customFormat="1" ht="17.100000000000001" customHeight="1">
      <c r="B334" s="89"/>
      <c r="C334" s="90"/>
      <c r="D334" s="91"/>
      <c r="E334" s="92"/>
      <c r="F334" s="89"/>
      <c r="G334" s="89"/>
      <c r="H334" s="89"/>
      <c r="I334" s="89"/>
      <c r="J334" s="89"/>
      <c r="K334" s="89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</row>
    <row r="335" spans="2:23" s="14" customFormat="1" ht="17.100000000000001" customHeight="1">
      <c r="B335" s="89"/>
      <c r="C335" s="90"/>
      <c r="D335" s="91"/>
      <c r="E335" s="92"/>
      <c r="F335" s="89"/>
      <c r="G335" s="89"/>
      <c r="H335" s="89"/>
      <c r="I335" s="89"/>
      <c r="J335" s="89"/>
      <c r="K335" s="89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</row>
    <row r="336" spans="2:23" s="14" customFormat="1" ht="17.100000000000001" customHeight="1">
      <c r="B336" s="89"/>
      <c r="C336" s="90"/>
      <c r="D336" s="91"/>
      <c r="E336" s="92"/>
      <c r="F336" s="89"/>
      <c r="G336" s="89"/>
      <c r="H336" s="89"/>
      <c r="I336" s="89"/>
      <c r="J336" s="89"/>
      <c r="K336" s="89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</row>
    <row r="337" spans="2:23" s="14" customFormat="1" ht="17.100000000000001" customHeight="1">
      <c r="B337" s="89"/>
      <c r="C337" s="90"/>
      <c r="D337" s="91"/>
      <c r="E337" s="92"/>
      <c r="F337" s="89"/>
      <c r="G337" s="89"/>
      <c r="H337" s="89"/>
      <c r="I337" s="89"/>
      <c r="J337" s="89"/>
      <c r="K337" s="89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</row>
    <row r="338" spans="2:23" s="14" customFormat="1" ht="17.100000000000001" customHeight="1">
      <c r="B338" s="89"/>
      <c r="C338" s="90"/>
      <c r="D338" s="91"/>
      <c r="E338" s="92"/>
      <c r="F338" s="89"/>
      <c r="G338" s="89"/>
      <c r="H338" s="89"/>
      <c r="I338" s="89"/>
      <c r="J338" s="89"/>
      <c r="K338" s="89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</row>
    <row r="339" spans="2:23" s="14" customFormat="1" ht="17.100000000000001" customHeight="1">
      <c r="B339" s="89"/>
      <c r="C339" s="90"/>
      <c r="D339" s="91"/>
      <c r="E339" s="92"/>
      <c r="F339" s="89"/>
      <c r="G339" s="89"/>
      <c r="H339" s="89"/>
      <c r="I339" s="89"/>
      <c r="J339" s="89"/>
      <c r="K339" s="89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</row>
    <row r="340" spans="2:23" s="14" customFormat="1" ht="17.100000000000001" customHeight="1">
      <c r="B340" s="89"/>
      <c r="C340" s="90"/>
      <c r="D340" s="91"/>
      <c r="E340" s="92"/>
      <c r="F340" s="89"/>
      <c r="G340" s="89"/>
      <c r="H340" s="89"/>
      <c r="I340" s="89"/>
      <c r="J340" s="89"/>
      <c r="K340" s="89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</row>
    <row r="341" spans="2:23" s="14" customFormat="1" ht="17.100000000000001" customHeight="1">
      <c r="B341" s="89"/>
      <c r="C341" s="90"/>
      <c r="D341" s="91"/>
      <c r="E341" s="92"/>
      <c r="F341" s="89"/>
      <c r="G341" s="89"/>
      <c r="H341" s="89"/>
      <c r="I341" s="89"/>
      <c r="J341" s="89"/>
      <c r="K341" s="89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</row>
    <row r="342" spans="2:23" s="14" customFormat="1" ht="17.100000000000001" customHeight="1">
      <c r="B342" s="89"/>
      <c r="C342" s="90"/>
      <c r="D342" s="91"/>
      <c r="E342" s="92"/>
      <c r="F342" s="89"/>
      <c r="G342" s="89"/>
      <c r="H342" s="89"/>
      <c r="I342" s="89"/>
      <c r="J342" s="89"/>
      <c r="K342" s="89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</row>
    <row r="343" spans="2:23" s="14" customFormat="1" ht="17.100000000000001" customHeight="1">
      <c r="B343" s="89"/>
      <c r="C343" s="90"/>
      <c r="D343" s="91"/>
      <c r="E343" s="92"/>
      <c r="F343" s="89"/>
      <c r="G343" s="89"/>
      <c r="H343" s="89"/>
      <c r="I343" s="89"/>
      <c r="J343" s="89"/>
      <c r="K343" s="89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</row>
    <row r="344" spans="2:23" s="14" customFormat="1" ht="17.100000000000001" customHeight="1">
      <c r="B344" s="89"/>
      <c r="C344" s="90"/>
      <c r="D344" s="91"/>
      <c r="E344" s="92"/>
      <c r="F344" s="89"/>
      <c r="G344" s="89"/>
      <c r="H344" s="89"/>
      <c r="I344" s="89"/>
      <c r="J344" s="89"/>
      <c r="K344" s="89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</row>
    <row r="345" spans="2:23" s="14" customFormat="1" ht="17.100000000000001" customHeight="1">
      <c r="B345" s="89"/>
      <c r="C345" s="90"/>
      <c r="D345" s="91"/>
      <c r="E345" s="92"/>
      <c r="F345" s="89"/>
      <c r="G345" s="89"/>
      <c r="H345" s="89"/>
      <c r="I345" s="89"/>
      <c r="J345" s="89"/>
      <c r="K345" s="89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</row>
    <row r="346" spans="2:23" s="14" customFormat="1" ht="17.100000000000001" customHeight="1">
      <c r="B346" s="89"/>
      <c r="C346" s="90"/>
      <c r="D346" s="91"/>
      <c r="E346" s="92"/>
      <c r="F346" s="89"/>
      <c r="G346" s="89"/>
      <c r="H346" s="89"/>
      <c r="I346" s="89"/>
      <c r="J346" s="89"/>
      <c r="K346" s="89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</row>
    <row r="347" spans="2:23" s="14" customFormat="1" ht="17.100000000000001" customHeight="1">
      <c r="B347" s="89"/>
      <c r="C347" s="90"/>
      <c r="D347" s="91"/>
      <c r="E347" s="92"/>
      <c r="F347" s="89"/>
      <c r="G347" s="89"/>
      <c r="H347" s="89"/>
      <c r="I347" s="89"/>
      <c r="J347" s="89"/>
      <c r="K347" s="89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</row>
    <row r="348" spans="2:23" s="14" customFormat="1" ht="17.100000000000001" customHeight="1">
      <c r="B348" s="89"/>
      <c r="C348" s="90"/>
      <c r="D348" s="91"/>
      <c r="E348" s="92"/>
      <c r="F348" s="89"/>
      <c r="G348" s="89"/>
      <c r="H348" s="89"/>
      <c r="I348" s="89"/>
      <c r="J348" s="89"/>
      <c r="K348" s="89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</row>
    <row r="349" spans="2:23" s="14" customFormat="1" ht="17.100000000000001" customHeight="1">
      <c r="B349" s="89"/>
      <c r="C349" s="90"/>
      <c r="D349" s="91"/>
      <c r="E349" s="92"/>
      <c r="F349" s="89"/>
      <c r="G349" s="89"/>
      <c r="H349" s="89"/>
      <c r="I349" s="89"/>
      <c r="J349" s="89"/>
      <c r="K349" s="89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</row>
    <row r="350" spans="2:23" s="14" customFormat="1" ht="17.100000000000001" customHeight="1">
      <c r="B350" s="89"/>
      <c r="C350" s="90"/>
      <c r="D350" s="91"/>
      <c r="E350" s="92"/>
      <c r="F350" s="89"/>
      <c r="G350" s="89"/>
      <c r="H350" s="89"/>
      <c r="I350" s="89"/>
      <c r="J350" s="89"/>
      <c r="K350" s="89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</row>
    <row r="351" spans="2:23" s="14" customFormat="1" ht="17.100000000000001" customHeight="1">
      <c r="B351" s="89"/>
      <c r="C351" s="90"/>
      <c r="D351" s="91"/>
      <c r="E351" s="92"/>
      <c r="F351" s="89"/>
      <c r="G351" s="89"/>
      <c r="H351" s="89"/>
      <c r="I351" s="89"/>
      <c r="J351" s="89"/>
      <c r="K351" s="89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</row>
    <row r="352" spans="2:23" s="14" customFormat="1" ht="17.100000000000001" customHeight="1">
      <c r="B352" s="89"/>
      <c r="C352" s="90"/>
      <c r="D352" s="91"/>
      <c r="E352" s="92"/>
      <c r="F352" s="89"/>
      <c r="G352" s="89"/>
      <c r="H352" s="89"/>
      <c r="I352" s="89"/>
      <c r="J352" s="89"/>
      <c r="K352" s="89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</row>
    <row r="353" spans="2:23" s="14" customFormat="1" ht="17.100000000000001" customHeight="1">
      <c r="B353" s="89"/>
      <c r="C353" s="90"/>
      <c r="D353" s="91"/>
      <c r="E353" s="92"/>
      <c r="F353" s="89"/>
      <c r="G353" s="89"/>
      <c r="H353" s="89"/>
      <c r="I353" s="89"/>
      <c r="J353" s="89"/>
      <c r="K353" s="89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</row>
    <row r="354" spans="2:23" s="14" customFormat="1" ht="17.100000000000001" customHeight="1">
      <c r="B354" s="89"/>
      <c r="C354" s="90"/>
      <c r="D354" s="91"/>
      <c r="E354" s="92"/>
      <c r="F354" s="89"/>
      <c r="G354" s="89"/>
      <c r="H354" s="89"/>
      <c r="I354" s="89"/>
      <c r="J354" s="89"/>
      <c r="K354" s="89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</row>
    <row r="355" spans="2:23" s="14" customFormat="1" ht="17.100000000000001" customHeight="1">
      <c r="B355" s="89"/>
      <c r="C355" s="90"/>
      <c r="D355" s="91"/>
      <c r="E355" s="92"/>
      <c r="F355" s="89"/>
      <c r="G355" s="89"/>
      <c r="H355" s="89"/>
      <c r="I355" s="89"/>
      <c r="J355" s="89"/>
      <c r="K355" s="89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</row>
    <row r="356" spans="2:23" s="14" customFormat="1" ht="17.100000000000001" customHeight="1">
      <c r="B356" s="89"/>
      <c r="C356" s="90"/>
      <c r="D356" s="91"/>
      <c r="E356" s="92"/>
      <c r="F356" s="89"/>
      <c r="G356" s="89"/>
      <c r="H356" s="89"/>
      <c r="I356" s="89"/>
      <c r="J356" s="89"/>
      <c r="K356" s="89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</row>
    <row r="357" spans="2:23" s="14" customFormat="1" ht="17.100000000000001" customHeight="1">
      <c r="B357" s="89"/>
      <c r="C357" s="90"/>
      <c r="D357" s="91"/>
      <c r="E357" s="92"/>
      <c r="F357" s="89"/>
      <c r="G357" s="89"/>
      <c r="H357" s="89"/>
      <c r="I357" s="89"/>
      <c r="J357" s="89"/>
      <c r="K357" s="89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</row>
    <row r="358" spans="2:23" s="14" customFormat="1" ht="17.100000000000001" customHeight="1">
      <c r="B358" s="89"/>
      <c r="C358" s="90"/>
      <c r="D358" s="91"/>
      <c r="E358" s="92"/>
      <c r="F358" s="89"/>
      <c r="G358" s="89"/>
      <c r="H358" s="89"/>
      <c r="I358" s="89"/>
      <c r="J358" s="89"/>
      <c r="K358" s="89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</row>
    <row r="359" spans="2:23" s="14" customFormat="1" ht="17.100000000000001" customHeight="1">
      <c r="B359" s="89"/>
      <c r="C359" s="90"/>
      <c r="D359" s="91"/>
      <c r="E359" s="92"/>
      <c r="F359" s="89"/>
      <c r="G359" s="89"/>
      <c r="H359" s="89"/>
      <c r="I359" s="89"/>
      <c r="J359" s="89"/>
      <c r="K359" s="89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</row>
    <row r="360" spans="2:23" s="14" customFormat="1" ht="17.100000000000001" customHeight="1">
      <c r="B360" s="89"/>
      <c r="C360" s="90"/>
      <c r="D360" s="91"/>
      <c r="E360" s="92"/>
      <c r="F360" s="89"/>
      <c r="G360" s="89"/>
      <c r="H360" s="89"/>
      <c r="I360" s="89"/>
      <c r="J360" s="89"/>
      <c r="K360" s="89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</row>
    <row r="361" spans="2:23" s="14" customFormat="1" ht="17.100000000000001" customHeight="1">
      <c r="B361" s="89"/>
      <c r="C361" s="90"/>
      <c r="D361" s="91"/>
      <c r="E361" s="92"/>
      <c r="F361" s="89"/>
      <c r="G361" s="89"/>
      <c r="H361" s="89"/>
      <c r="I361" s="89"/>
      <c r="J361" s="89"/>
      <c r="K361" s="89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</row>
    <row r="362" spans="2:23" s="14" customFormat="1" ht="17.100000000000001" customHeight="1">
      <c r="B362" s="89"/>
      <c r="C362" s="90"/>
      <c r="D362" s="91"/>
      <c r="E362" s="92"/>
      <c r="F362" s="89"/>
      <c r="G362" s="89"/>
      <c r="H362" s="89"/>
      <c r="I362" s="89"/>
      <c r="J362" s="89"/>
      <c r="K362" s="89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</row>
    <row r="363" spans="2:23" s="14" customFormat="1" ht="17.100000000000001" customHeight="1">
      <c r="B363" s="89"/>
      <c r="C363" s="90"/>
      <c r="D363" s="91"/>
      <c r="E363" s="92"/>
      <c r="F363" s="89"/>
      <c r="G363" s="89"/>
      <c r="H363" s="89"/>
      <c r="I363" s="89"/>
      <c r="J363" s="89"/>
      <c r="K363" s="89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</row>
    <row r="364" spans="2:23" s="14" customFormat="1" ht="17.100000000000001" customHeight="1">
      <c r="B364" s="89"/>
      <c r="C364" s="90"/>
      <c r="D364" s="91"/>
      <c r="E364" s="92"/>
      <c r="F364" s="89"/>
      <c r="G364" s="89"/>
      <c r="H364" s="89"/>
      <c r="I364" s="89"/>
      <c r="J364" s="89"/>
      <c r="K364" s="89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</row>
    <row r="365" spans="2:23" s="14" customFormat="1" ht="17.100000000000001" customHeight="1">
      <c r="B365" s="89"/>
      <c r="C365" s="90"/>
      <c r="D365" s="91"/>
      <c r="E365" s="92"/>
      <c r="F365" s="89"/>
      <c r="G365" s="89"/>
      <c r="H365" s="89"/>
      <c r="I365" s="89"/>
      <c r="J365" s="89"/>
      <c r="K365" s="89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</row>
    <row r="366" spans="2:23" s="14" customFormat="1" ht="17.100000000000001" customHeight="1">
      <c r="B366" s="89"/>
      <c r="C366" s="90"/>
      <c r="D366" s="91"/>
      <c r="E366" s="92"/>
      <c r="F366" s="89"/>
      <c r="G366" s="89"/>
      <c r="H366" s="89"/>
      <c r="I366" s="89"/>
      <c r="J366" s="89"/>
      <c r="K366" s="89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</row>
    <row r="367" spans="2:23" s="14" customFormat="1" ht="17.100000000000001" customHeight="1">
      <c r="B367" s="89"/>
      <c r="C367" s="90"/>
      <c r="D367" s="91"/>
      <c r="E367" s="92"/>
      <c r="F367" s="89"/>
      <c r="G367" s="89"/>
      <c r="H367" s="89"/>
      <c r="I367" s="89"/>
      <c r="J367" s="89"/>
      <c r="K367" s="89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</row>
    <row r="368" spans="2:23" s="14" customFormat="1" ht="17.100000000000001" customHeight="1">
      <c r="B368" s="89"/>
      <c r="C368" s="90"/>
      <c r="D368" s="91"/>
      <c r="E368" s="92"/>
      <c r="F368" s="89"/>
      <c r="G368" s="89"/>
      <c r="H368" s="89"/>
      <c r="I368" s="89"/>
      <c r="J368" s="89"/>
      <c r="K368" s="89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</row>
    <row r="369" spans="2:23" s="14" customFormat="1" ht="17.100000000000001" customHeight="1">
      <c r="B369" s="89"/>
      <c r="C369" s="90"/>
      <c r="D369" s="91"/>
      <c r="E369" s="92"/>
      <c r="F369" s="89"/>
      <c r="G369" s="89"/>
      <c r="H369" s="89"/>
      <c r="I369" s="89"/>
      <c r="J369" s="89"/>
      <c r="K369" s="89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</row>
    <row r="370" spans="2:23" s="14" customFormat="1" ht="17.100000000000001" customHeight="1">
      <c r="B370" s="89"/>
      <c r="C370" s="90"/>
      <c r="D370" s="91"/>
      <c r="E370" s="92"/>
      <c r="F370" s="89"/>
      <c r="G370" s="89"/>
      <c r="H370" s="89"/>
      <c r="I370" s="89"/>
      <c r="J370" s="89"/>
      <c r="K370" s="89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</row>
    <row r="371" spans="2:23" s="14" customFormat="1" ht="17.100000000000001" customHeight="1">
      <c r="B371" s="89"/>
      <c r="C371" s="90"/>
      <c r="D371" s="91"/>
      <c r="E371" s="92"/>
      <c r="F371" s="89"/>
      <c r="G371" s="89"/>
      <c r="H371" s="89"/>
      <c r="I371" s="89"/>
      <c r="J371" s="89"/>
      <c r="K371" s="89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</row>
    <row r="372" spans="2:23" s="14" customFormat="1" ht="17.100000000000001" customHeight="1">
      <c r="B372" s="89"/>
      <c r="C372" s="90"/>
      <c r="D372" s="91"/>
      <c r="E372" s="92"/>
      <c r="F372" s="89"/>
      <c r="G372" s="89"/>
      <c r="H372" s="89"/>
      <c r="I372" s="89"/>
      <c r="J372" s="89"/>
      <c r="K372" s="89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</row>
    <row r="373" spans="2:23" s="14" customFormat="1" ht="17.100000000000001" customHeight="1">
      <c r="B373" s="89"/>
      <c r="C373" s="90"/>
      <c r="D373" s="91"/>
      <c r="E373" s="92"/>
      <c r="F373" s="89"/>
      <c r="G373" s="89"/>
      <c r="H373" s="89"/>
      <c r="I373" s="89"/>
      <c r="J373" s="89"/>
      <c r="K373" s="89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</row>
    <row r="374" spans="2:23" s="14" customFormat="1" ht="17.100000000000001" customHeight="1">
      <c r="B374" s="89"/>
      <c r="C374" s="90"/>
      <c r="D374" s="91"/>
      <c r="E374" s="92"/>
      <c r="F374" s="89"/>
      <c r="G374" s="89"/>
      <c r="H374" s="89"/>
      <c r="I374" s="89"/>
      <c r="J374" s="89"/>
      <c r="K374" s="89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</row>
    <row r="375" spans="2:23" s="14" customFormat="1" ht="17.100000000000001" customHeight="1">
      <c r="B375" s="89"/>
      <c r="C375" s="90"/>
      <c r="D375" s="91"/>
      <c r="E375" s="92"/>
      <c r="F375" s="89"/>
      <c r="G375" s="89"/>
      <c r="H375" s="89"/>
      <c r="I375" s="89"/>
      <c r="J375" s="89"/>
      <c r="K375" s="89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</row>
    <row r="376" spans="2:23" s="14" customFormat="1" ht="17.100000000000001" customHeight="1">
      <c r="B376" s="89"/>
      <c r="C376" s="90"/>
      <c r="D376" s="91"/>
      <c r="E376" s="92"/>
      <c r="F376" s="89"/>
      <c r="G376" s="89"/>
      <c r="H376" s="89"/>
      <c r="I376" s="89"/>
      <c r="J376" s="89"/>
      <c r="K376" s="89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</row>
    <row r="377" spans="2:23" s="14" customFormat="1" ht="17.100000000000001" customHeight="1">
      <c r="B377" s="89"/>
      <c r="C377" s="90"/>
      <c r="D377" s="91"/>
      <c r="E377" s="92"/>
      <c r="F377" s="89"/>
      <c r="G377" s="89"/>
      <c r="H377" s="89"/>
      <c r="I377" s="89"/>
      <c r="J377" s="89"/>
      <c r="K377" s="89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</row>
    <row r="378" spans="2:23" s="14" customFormat="1" ht="17.100000000000001" customHeight="1">
      <c r="B378" s="89"/>
      <c r="C378" s="90"/>
      <c r="D378" s="91"/>
      <c r="E378" s="92"/>
      <c r="F378" s="89"/>
      <c r="G378" s="89"/>
      <c r="H378" s="89"/>
      <c r="I378" s="89"/>
      <c r="J378" s="89"/>
      <c r="K378" s="89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</row>
    <row r="379" spans="2:23" s="14" customFormat="1" ht="17.100000000000001" customHeight="1">
      <c r="B379" s="89"/>
      <c r="C379" s="90"/>
      <c r="D379" s="91"/>
      <c r="E379" s="92"/>
      <c r="F379" s="89"/>
      <c r="G379" s="89"/>
      <c r="H379" s="89"/>
      <c r="I379" s="89"/>
      <c r="J379" s="89"/>
      <c r="K379" s="89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</row>
    <row r="380" spans="2:23" s="14" customFormat="1" ht="17.100000000000001" customHeight="1">
      <c r="B380" s="89"/>
      <c r="C380" s="90"/>
      <c r="D380" s="91"/>
      <c r="E380" s="92"/>
      <c r="F380" s="89"/>
      <c r="G380" s="89"/>
      <c r="H380" s="89"/>
      <c r="I380" s="89"/>
      <c r="J380" s="89"/>
      <c r="K380" s="89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</row>
    <row r="381" spans="2:23" s="14" customFormat="1" ht="17.100000000000001" customHeight="1">
      <c r="B381" s="89"/>
      <c r="C381" s="90"/>
      <c r="D381" s="91"/>
      <c r="E381" s="92"/>
      <c r="F381" s="89"/>
      <c r="G381" s="89"/>
      <c r="H381" s="89"/>
      <c r="I381" s="89"/>
      <c r="J381" s="89"/>
      <c r="K381" s="89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</row>
    <row r="382" spans="2:23" s="14" customFormat="1" ht="17.100000000000001" customHeight="1">
      <c r="B382" s="89"/>
      <c r="C382" s="90"/>
      <c r="D382" s="91"/>
      <c r="E382" s="92"/>
      <c r="F382" s="89"/>
      <c r="G382" s="89"/>
      <c r="H382" s="89"/>
      <c r="I382" s="89"/>
      <c r="J382" s="89"/>
      <c r="K382" s="89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</row>
    <row r="383" spans="2:23" s="14" customFormat="1" ht="17.100000000000001" customHeight="1">
      <c r="B383" s="89"/>
      <c r="C383" s="90"/>
      <c r="D383" s="91"/>
      <c r="E383" s="92"/>
      <c r="F383" s="89"/>
      <c r="G383" s="89"/>
      <c r="H383" s="89"/>
      <c r="I383" s="89"/>
      <c r="J383" s="89"/>
      <c r="K383" s="89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</row>
    <row r="384" spans="2:23" s="14" customFormat="1" ht="17.100000000000001" customHeight="1">
      <c r="B384" s="89"/>
      <c r="C384" s="90"/>
      <c r="D384" s="91"/>
      <c r="E384" s="92"/>
      <c r="F384" s="89"/>
      <c r="G384" s="89"/>
      <c r="H384" s="89"/>
      <c r="I384" s="89"/>
      <c r="J384" s="89"/>
      <c r="K384" s="89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</row>
    <row r="385" spans="2:23" s="14" customFormat="1" ht="17.100000000000001" customHeight="1">
      <c r="B385" s="89"/>
      <c r="C385" s="90"/>
      <c r="D385" s="91"/>
      <c r="E385" s="92"/>
      <c r="F385" s="89"/>
      <c r="G385" s="89"/>
      <c r="H385" s="89"/>
      <c r="I385" s="89"/>
      <c r="J385" s="89"/>
      <c r="K385" s="89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</row>
    <row r="386" spans="2:23" s="14" customFormat="1" ht="17.100000000000001" customHeight="1">
      <c r="B386" s="89"/>
      <c r="C386" s="90"/>
      <c r="D386" s="91"/>
      <c r="E386" s="92"/>
      <c r="F386" s="89"/>
      <c r="G386" s="89"/>
      <c r="H386" s="89"/>
      <c r="I386" s="89"/>
      <c r="J386" s="89"/>
      <c r="K386" s="89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</row>
    <row r="387" spans="2:23" s="14" customFormat="1" ht="17.100000000000001" customHeight="1">
      <c r="B387" s="89"/>
      <c r="C387" s="90"/>
      <c r="D387" s="91"/>
      <c r="E387" s="92"/>
      <c r="F387" s="89"/>
      <c r="G387" s="89"/>
      <c r="H387" s="89"/>
      <c r="I387" s="89"/>
      <c r="J387" s="89"/>
      <c r="K387" s="89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</row>
    <row r="388" spans="2:23" s="14" customFormat="1" ht="17.100000000000001" customHeight="1">
      <c r="B388" s="89"/>
      <c r="C388" s="90"/>
      <c r="D388" s="91"/>
      <c r="E388" s="92"/>
      <c r="F388" s="89"/>
      <c r="G388" s="89"/>
      <c r="H388" s="89"/>
      <c r="I388" s="89"/>
      <c r="J388" s="89"/>
      <c r="K388" s="89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</row>
    <row r="389" spans="2:23" s="14" customFormat="1" ht="17.100000000000001" customHeight="1">
      <c r="B389" s="89"/>
      <c r="C389" s="90"/>
      <c r="D389" s="91"/>
      <c r="E389" s="92"/>
      <c r="F389" s="89"/>
      <c r="G389" s="89"/>
      <c r="H389" s="89"/>
      <c r="I389" s="89"/>
      <c r="J389" s="89"/>
      <c r="K389" s="89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</row>
    <row r="390" spans="2:23" s="14" customFormat="1" ht="17.100000000000001" customHeight="1">
      <c r="B390" s="89"/>
      <c r="C390" s="90"/>
      <c r="D390" s="91"/>
      <c r="E390" s="92"/>
      <c r="F390" s="89"/>
      <c r="G390" s="89"/>
      <c r="H390" s="89"/>
      <c r="I390" s="89"/>
      <c r="J390" s="89"/>
      <c r="K390" s="89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</row>
    <row r="391" spans="2:23" s="14" customFormat="1" ht="17.100000000000001" customHeight="1">
      <c r="B391" s="89"/>
      <c r="C391" s="90"/>
      <c r="D391" s="91"/>
      <c r="E391" s="92"/>
      <c r="F391" s="89"/>
      <c r="G391" s="89"/>
      <c r="H391" s="89"/>
      <c r="I391" s="89"/>
      <c r="J391" s="89"/>
      <c r="K391" s="89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</row>
    <row r="392" spans="2:23" s="14" customFormat="1" ht="17.100000000000001" customHeight="1">
      <c r="B392" s="89"/>
      <c r="C392" s="90"/>
      <c r="D392" s="91"/>
      <c r="E392" s="92"/>
      <c r="F392" s="89"/>
      <c r="G392" s="89"/>
      <c r="H392" s="89"/>
      <c r="I392" s="89"/>
      <c r="J392" s="89"/>
      <c r="K392" s="89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</row>
    <row r="393" spans="2:23" s="14" customFormat="1" ht="17.100000000000001" customHeight="1">
      <c r="B393" s="89"/>
      <c r="C393" s="90"/>
      <c r="D393" s="91"/>
      <c r="E393" s="92"/>
      <c r="F393" s="89"/>
      <c r="G393" s="89"/>
      <c r="H393" s="89"/>
      <c r="I393" s="89"/>
      <c r="J393" s="89"/>
      <c r="K393" s="89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</row>
    <row r="394" spans="2:23" s="14" customFormat="1" ht="17.100000000000001" customHeight="1">
      <c r="B394" s="89"/>
      <c r="C394" s="90"/>
      <c r="D394" s="91"/>
      <c r="E394" s="92"/>
      <c r="F394" s="89"/>
      <c r="G394" s="89"/>
      <c r="H394" s="89"/>
      <c r="I394" s="89"/>
      <c r="J394" s="89"/>
      <c r="K394" s="89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</row>
    <row r="395" spans="2:23" s="14" customFormat="1" ht="17.100000000000001" customHeight="1">
      <c r="B395" s="89"/>
      <c r="C395" s="90"/>
      <c r="D395" s="91"/>
      <c r="E395" s="92"/>
      <c r="F395" s="89"/>
      <c r="G395" s="89"/>
      <c r="H395" s="89"/>
      <c r="I395" s="89"/>
      <c r="J395" s="89"/>
      <c r="K395" s="89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</row>
    <row r="396" spans="2:23" s="14" customFormat="1" ht="17.100000000000001" customHeight="1">
      <c r="B396" s="89"/>
      <c r="C396" s="90"/>
      <c r="D396" s="91"/>
      <c r="E396" s="92"/>
      <c r="F396" s="89"/>
      <c r="G396" s="89"/>
      <c r="H396" s="89"/>
      <c r="I396" s="89"/>
      <c r="J396" s="89"/>
      <c r="K396" s="89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</row>
    <row r="397" spans="2:23" s="14" customFormat="1" ht="17.100000000000001" customHeight="1">
      <c r="B397" s="89"/>
      <c r="C397" s="90"/>
      <c r="D397" s="91"/>
      <c r="E397" s="92"/>
      <c r="F397" s="89"/>
      <c r="G397" s="89"/>
      <c r="H397" s="89"/>
      <c r="I397" s="89"/>
      <c r="J397" s="89"/>
      <c r="K397" s="89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</row>
    <row r="398" spans="2:23" s="14" customFormat="1" ht="17.100000000000001" customHeight="1">
      <c r="B398" s="89"/>
      <c r="C398" s="90"/>
      <c r="D398" s="91"/>
      <c r="E398" s="92"/>
      <c r="F398" s="89"/>
      <c r="G398" s="89"/>
      <c r="H398" s="89"/>
      <c r="I398" s="89"/>
      <c r="J398" s="89"/>
      <c r="K398" s="89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</row>
    <row r="399" spans="2:23" s="14" customFormat="1" ht="17.100000000000001" customHeight="1">
      <c r="B399" s="89"/>
      <c r="C399" s="90"/>
      <c r="D399" s="91"/>
      <c r="E399" s="92"/>
      <c r="F399" s="89"/>
      <c r="G399" s="89"/>
      <c r="H399" s="89"/>
      <c r="I399" s="89"/>
      <c r="J399" s="89"/>
      <c r="K399" s="89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</row>
    <row r="400" spans="2:23" s="14" customFormat="1" ht="17.100000000000001" customHeight="1">
      <c r="B400" s="89"/>
      <c r="C400" s="90"/>
      <c r="D400" s="91"/>
      <c r="E400" s="92"/>
      <c r="F400" s="89"/>
      <c r="G400" s="89"/>
      <c r="H400" s="89"/>
      <c r="I400" s="89"/>
      <c r="J400" s="89"/>
      <c r="K400" s="89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</row>
    <row r="401" spans="2:23" s="14" customFormat="1" ht="17.100000000000001" customHeight="1">
      <c r="B401" s="89"/>
      <c r="C401" s="90"/>
      <c r="D401" s="91"/>
      <c r="E401" s="92"/>
      <c r="F401" s="89"/>
      <c r="G401" s="89"/>
      <c r="H401" s="89"/>
      <c r="I401" s="89"/>
      <c r="J401" s="89"/>
      <c r="K401" s="89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</row>
    <row r="402" spans="2:23" s="14" customFormat="1" ht="17.100000000000001" customHeight="1">
      <c r="B402" s="89"/>
      <c r="C402" s="90"/>
      <c r="D402" s="91"/>
      <c r="E402" s="92"/>
      <c r="F402" s="89"/>
      <c r="G402" s="89"/>
      <c r="H402" s="89"/>
      <c r="I402" s="89"/>
      <c r="J402" s="89"/>
      <c r="K402" s="89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</row>
    <row r="403" spans="2:23" s="14" customFormat="1" ht="17.100000000000001" customHeight="1">
      <c r="B403" s="89"/>
      <c r="C403" s="90"/>
      <c r="D403" s="91"/>
      <c r="E403" s="92"/>
      <c r="F403" s="89"/>
      <c r="G403" s="89"/>
      <c r="H403" s="89"/>
      <c r="I403" s="89"/>
      <c r="J403" s="89"/>
      <c r="K403" s="89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</row>
    <row r="404" spans="2:23" s="14" customFormat="1" ht="17.100000000000001" customHeight="1">
      <c r="B404" s="89"/>
      <c r="C404" s="90"/>
      <c r="D404" s="91"/>
      <c r="E404" s="92"/>
      <c r="F404" s="89"/>
      <c r="G404" s="89"/>
      <c r="H404" s="89"/>
      <c r="I404" s="89"/>
      <c r="J404" s="89"/>
      <c r="K404" s="89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</row>
    <row r="405" spans="2:23" s="14" customFormat="1" ht="17.100000000000001" customHeight="1">
      <c r="B405" s="89"/>
      <c r="C405" s="90"/>
      <c r="D405" s="91"/>
      <c r="E405" s="92"/>
      <c r="F405" s="89"/>
      <c r="G405" s="89"/>
      <c r="H405" s="89"/>
      <c r="I405" s="89"/>
      <c r="J405" s="89"/>
      <c r="K405" s="89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</row>
    <row r="406" spans="2:23" s="14" customFormat="1" ht="17.100000000000001" customHeight="1">
      <c r="B406" s="89"/>
      <c r="C406" s="90"/>
      <c r="D406" s="91"/>
      <c r="E406" s="92"/>
      <c r="F406" s="89"/>
      <c r="G406" s="89"/>
      <c r="H406" s="89"/>
      <c r="I406" s="89"/>
      <c r="J406" s="89"/>
      <c r="K406" s="89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</row>
    <row r="407" spans="2:23" s="14" customFormat="1" ht="17.100000000000001" customHeight="1">
      <c r="B407" s="89"/>
      <c r="C407" s="90"/>
      <c r="D407" s="91"/>
      <c r="E407" s="92"/>
      <c r="F407" s="89"/>
      <c r="G407" s="89"/>
      <c r="H407" s="89"/>
      <c r="I407" s="89"/>
      <c r="J407" s="89"/>
      <c r="K407" s="89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</row>
    <row r="408" spans="2:23" s="14" customFormat="1" ht="17.100000000000001" customHeight="1">
      <c r="B408" s="89"/>
      <c r="C408" s="90"/>
      <c r="D408" s="91"/>
      <c r="E408" s="92"/>
      <c r="F408" s="89"/>
      <c r="G408" s="89"/>
      <c r="H408" s="89"/>
      <c r="I408" s="89"/>
      <c r="J408" s="89"/>
      <c r="K408" s="89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</row>
    <row r="409" spans="2:23" s="14" customFormat="1" ht="17.100000000000001" customHeight="1">
      <c r="B409" s="89"/>
      <c r="C409" s="90"/>
      <c r="D409" s="91"/>
      <c r="E409" s="92"/>
      <c r="F409" s="89"/>
      <c r="G409" s="89"/>
      <c r="H409" s="89"/>
      <c r="I409" s="89"/>
      <c r="J409" s="89"/>
      <c r="K409" s="89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</row>
    <row r="410" spans="2:23" s="14" customFormat="1" ht="17.100000000000001" customHeight="1">
      <c r="B410" s="89"/>
      <c r="C410" s="90"/>
      <c r="D410" s="91"/>
      <c r="E410" s="92"/>
      <c r="F410" s="89"/>
      <c r="G410" s="89"/>
      <c r="H410" s="89"/>
      <c r="I410" s="89"/>
      <c r="J410" s="89"/>
      <c r="K410" s="89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</row>
    <row r="411" spans="2:23" s="14" customFormat="1" ht="17.100000000000001" customHeight="1">
      <c r="B411" s="89"/>
      <c r="C411" s="90"/>
      <c r="D411" s="91"/>
      <c r="E411" s="92"/>
      <c r="F411" s="89"/>
      <c r="G411" s="89"/>
      <c r="H411" s="89"/>
      <c r="I411" s="89"/>
      <c r="J411" s="89"/>
      <c r="K411" s="89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</row>
    <row r="412" spans="2:23" s="14" customFormat="1" ht="17.100000000000001" customHeight="1">
      <c r="B412" s="89"/>
      <c r="C412" s="90"/>
      <c r="D412" s="91"/>
      <c r="E412" s="92"/>
      <c r="F412" s="89"/>
      <c r="G412" s="89"/>
      <c r="H412" s="89"/>
      <c r="I412" s="89"/>
      <c r="J412" s="89"/>
      <c r="K412" s="89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</row>
    <row r="413" spans="2:23" s="14" customFormat="1" ht="17.100000000000001" customHeight="1">
      <c r="B413" s="89"/>
      <c r="C413" s="90"/>
      <c r="D413" s="91"/>
      <c r="E413" s="92"/>
      <c r="F413" s="89"/>
      <c r="G413" s="89"/>
      <c r="H413" s="89"/>
      <c r="I413" s="89"/>
      <c r="J413" s="89"/>
      <c r="K413" s="89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</row>
    <row r="414" spans="2:23" s="14" customFormat="1" ht="17.100000000000001" customHeight="1">
      <c r="B414" s="89"/>
      <c r="C414" s="90"/>
      <c r="D414" s="91"/>
      <c r="E414" s="92"/>
      <c r="F414" s="89"/>
      <c r="G414" s="89"/>
      <c r="H414" s="89"/>
      <c r="I414" s="89"/>
      <c r="J414" s="89"/>
      <c r="K414" s="89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</row>
    <row r="415" spans="2:23" s="14" customFormat="1" ht="17.100000000000001" customHeight="1">
      <c r="B415" s="89"/>
      <c r="C415" s="90"/>
      <c r="D415" s="91"/>
      <c r="E415" s="92"/>
      <c r="F415" s="89"/>
      <c r="G415" s="89"/>
      <c r="H415" s="89"/>
      <c r="I415" s="89"/>
      <c r="J415" s="89"/>
      <c r="K415" s="89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</row>
    <row r="416" spans="2:23" s="14" customFormat="1" ht="17.100000000000001" customHeight="1">
      <c r="B416" s="89"/>
      <c r="C416" s="90"/>
      <c r="D416" s="91"/>
      <c r="E416" s="92"/>
      <c r="F416" s="89"/>
      <c r="G416" s="89"/>
      <c r="H416" s="89"/>
      <c r="I416" s="89"/>
      <c r="J416" s="89"/>
      <c r="K416" s="89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</row>
    <row r="417" spans="2:23" s="14" customFormat="1" ht="17.100000000000001" customHeight="1">
      <c r="B417" s="89"/>
      <c r="C417" s="90"/>
      <c r="D417" s="91"/>
      <c r="E417" s="92"/>
      <c r="F417" s="89"/>
      <c r="G417" s="89"/>
      <c r="H417" s="89"/>
      <c r="I417" s="89"/>
      <c r="J417" s="89"/>
      <c r="K417" s="89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</row>
    <row r="418" spans="2:23" s="14" customFormat="1" ht="17.100000000000001" customHeight="1">
      <c r="B418" s="89"/>
      <c r="C418" s="90"/>
      <c r="D418" s="91"/>
      <c r="E418" s="92"/>
      <c r="F418" s="89"/>
      <c r="G418" s="89"/>
      <c r="H418" s="89"/>
      <c r="I418" s="89"/>
      <c r="J418" s="89"/>
      <c r="K418" s="89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</row>
    <row r="419" spans="2:23" s="14" customFormat="1" ht="17.100000000000001" customHeight="1">
      <c r="B419" s="89"/>
      <c r="C419" s="90"/>
      <c r="D419" s="91"/>
      <c r="E419" s="92"/>
      <c r="F419" s="89"/>
      <c r="G419" s="89"/>
      <c r="H419" s="89"/>
      <c r="I419" s="89"/>
      <c r="J419" s="89"/>
      <c r="K419" s="89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</row>
    <row r="420" spans="2:23" s="14" customFormat="1" ht="17.100000000000001" customHeight="1">
      <c r="B420" s="89"/>
      <c r="C420" s="90"/>
      <c r="D420" s="91"/>
      <c r="E420" s="92"/>
      <c r="F420" s="89"/>
      <c r="G420" s="89"/>
      <c r="H420" s="89"/>
      <c r="I420" s="89"/>
      <c r="J420" s="89"/>
      <c r="K420" s="89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</row>
    <row r="421" spans="2:23" s="14" customFormat="1" ht="17.100000000000001" customHeight="1">
      <c r="B421" s="89"/>
      <c r="C421" s="90"/>
      <c r="D421" s="91"/>
      <c r="E421" s="92"/>
      <c r="F421" s="89"/>
      <c r="G421" s="89"/>
      <c r="H421" s="89"/>
      <c r="I421" s="89"/>
      <c r="J421" s="89"/>
      <c r="K421" s="89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</row>
    <row r="422" spans="2:23" s="14" customFormat="1" ht="17.100000000000001" customHeight="1">
      <c r="B422" s="89"/>
      <c r="C422" s="90"/>
      <c r="D422" s="91"/>
      <c r="E422" s="92"/>
      <c r="F422" s="89"/>
      <c r="G422" s="89"/>
      <c r="H422" s="89"/>
      <c r="I422" s="89"/>
      <c r="J422" s="89"/>
      <c r="K422" s="89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</row>
    <row r="423" spans="2:23" s="14" customFormat="1" ht="17.100000000000001" customHeight="1">
      <c r="B423" s="89"/>
      <c r="C423" s="90"/>
      <c r="D423" s="91"/>
      <c r="E423" s="92"/>
      <c r="F423" s="89"/>
      <c r="G423" s="89"/>
      <c r="H423" s="89"/>
      <c r="I423" s="89"/>
      <c r="J423" s="89"/>
      <c r="K423" s="89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</row>
    <row r="424" spans="2:23" s="14" customFormat="1" ht="17.100000000000001" customHeight="1">
      <c r="B424" s="89"/>
      <c r="C424" s="90"/>
      <c r="D424" s="91"/>
      <c r="E424" s="92"/>
      <c r="F424" s="89"/>
      <c r="G424" s="89"/>
      <c r="H424" s="89"/>
      <c r="I424" s="89"/>
      <c r="J424" s="89"/>
      <c r="K424" s="89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</row>
    <row r="425" spans="2:23" s="14" customFormat="1" ht="17.100000000000001" customHeight="1">
      <c r="B425" s="89"/>
      <c r="C425" s="90"/>
      <c r="D425" s="91"/>
      <c r="E425" s="92"/>
      <c r="F425" s="89"/>
      <c r="G425" s="89"/>
      <c r="H425" s="89"/>
      <c r="I425" s="89"/>
      <c r="J425" s="89"/>
      <c r="K425" s="89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</row>
    <row r="426" spans="2:23" s="14" customFormat="1" ht="17.100000000000001" customHeight="1">
      <c r="B426" s="89"/>
      <c r="C426" s="90"/>
      <c r="D426" s="91"/>
      <c r="E426" s="92"/>
      <c r="F426" s="89"/>
      <c r="G426" s="89"/>
      <c r="H426" s="89"/>
      <c r="I426" s="89"/>
      <c r="J426" s="89"/>
      <c r="K426" s="89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</row>
    <row r="427" spans="2:23" s="14" customFormat="1" ht="17.100000000000001" customHeight="1">
      <c r="B427" s="89"/>
      <c r="C427" s="90"/>
      <c r="D427" s="91"/>
      <c r="E427" s="92"/>
      <c r="F427" s="89"/>
      <c r="G427" s="89"/>
      <c r="H427" s="89"/>
      <c r="I427" s="89"/>
      <c r="J427" s="89"/>
      <c r="K427" s="89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</row>
    <row r="428" spans="2:23" s="14" customFormat="1" ht="17.100000000000001" customHeight="1">
      <c r="B428" s="89"/>
      <c r="C428" s="90"/>
      <c r="D428" s="91"/>
      <c r="E428" s="92"/>
      <c r="F428" s="89"/>
      <c r="G428" s="89"/>
      <c r="H428" s="89"/>
      <c r="I428" s="89"/>
      <c r="J428" s="89"/>
      <c r="K428" s="89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</row>
    <row r="429" spans="2:23" s="14" customFormat="1" ht="17.100000000000001" customHeight="1">
      <c r="B429" s="89"/>
      <c r="C429" s="90"/>
      <c r="D429" s="91"/>
      <c r="E429" s="92"/>
      <c r="F429" s="89"/>
      <c r="G429" s="89"/>
      <c r="H429" s="89"/>
      <c r="I429" s="89"/>
      <c r="J429" s="89"/>
      <c r="K429" s="89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</row>
    <row r="430" spans="2:23" s="14" customFormat="1" ht="17.100000000000001" customHeight="1">
      <c r="B430" s="89"/>
      <c r="C430" s="90"/>
      <c r="D430" s="91"/>
      <c r="E430" s="92"/>
      <c r="F430" s="89"/>
      <c r="G430" s="89"/>
      <c r="H430" s="89"/>
      <c r="I430" s="89"/>
      <c r="J430" s="89"/>
      <c r="K430" s="89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</row>
    <row r="431" spans="2:23" s="14" customFormat="1" ht="17.100000000000001" customHeight="1">
      <c r="B431" s="89"/>
      <c r="C431" s="90"/>
      <c r="D431" s="91"/>
      <c r="E431" s="92"/>
      <c r="F431" s="89"/>
      <c r="G431" s="89"/>
      <c r="H431" s="89"/>
      <c r="I431" s="89"/>
      <c r="J431" s="89"/>
      <c r="K431" s="89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</row>
    <row r="432" spans="2:23" s="14" customFormat="1" ht="17.100000000000001" customHeight="1">
      <c r="B432" s="89"/>
      <c r="C432" s="90"/>
      <c r="D432" s="91"/>
      <c r="E432" s="92"/>
      <c r="F432" s="89"/>
      <c r="G432" s="89"/>
      <c r="H432" s="89"/>
      <c r="I432" s="89"/>
      <c r="J432" s="89"/>
      <c r="K432" s="89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</row>
    <row r="433" spans="2:23" s="14" customFormat="1" ht="17.100000000000001" customHeight="1">
      <c r="B433" s="89"/>
      <c r="C433" s="90"/>
      <c r="D433" s="91"/>
      <c r="E433" s="92"/>
      <c r="F433" s="89"/>
      <c r="G433" s="89"/>
      <c r="H433" s="89"/>
      <c r="I433" s="89"/>
      <c r="J433" s="89"/>
      <c r="K433" s="89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</row>
    <row r="434" spans="2:23" s="14" customFormat="1" ht="17.100000000000001" customHeight="1">
      <c r="B434" s="89"/>
      <c r="C434" s="90"/>
      <c r="D434" s="91"/>
      <c r="E434" s="92"/>
      <c r="F434" s="89"/>
      <c r="G434" s="89"/>
      <c r="H434" s="89"/>
      <c r="I434" s="89"/>
      <c r="J434" s="89"/>
      <c r="K434" s="89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</row>
    <row r="435" spans="2:23" s="14" customFormat="1" ht="17.100000000000001" customHeight="1">
      <c r="B435" s="89"/>
      <c r="C435" s="90"/>
      <c r="D435" s="91"/>
      <c r="E435" s="92"/>
      <c r="F435" s="89"/>
      <c r="G435" s="89"/>
      <c r="H435" s="89"/>
      <c r="I435" s="89"/>
      <c r="J435" s="89"/>
      <c r="K435" s="89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</row>
    <row r="436" spans="2:23" s="14" customFormat="1" ht="17.100000000000001" customHeight="1">
      <c r="B436" s="89"/>
      <c r="C436" s="90"/>
      <c r="D436" s="91"/>
      <c r="E436" s="92"/>
      <c r="F436" s="89"/>
      <c r="G436" s="89"/>
      <c r="H436" s="89"/>
      <c r="I436" s="89"/>
      <c r="J436" s="89"/>
      <c r="K436" s="89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</row>
    <row r="437" spans="2:23" s="14" customFormat="1" ht="17.100000000000001" customHeight="1">
      <c r="B437" s="89"/>
      <c r="C437" s="90"/>
      <c r="D437" s="91"/>
      <c r="E437" s="92"/>
      <c r="F437" s="89"/>
      <c r="G437" s="89"/>
      <c r="H437" s="89"/>
      <c r="I437" s="89"/>
      <c r="J437" s="89"/>
      <c r="K437" s="89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</row>
    <row r="438" spans="2:23" s="14" customFormat="1" ht="17.100000000000001" customHeight="1">
      <c r="B438" s="89"/>
      <c r="C438" s="90"/>
      <c r="D438" s="91"/>
      <c r="E438" s="92"/>
      <c r="F438" s="89"/>
      <c r="G438" s="89"/>
      <c r="H438" s="89"/>
      <c r="I438" s="89"/>
      <c r="J438" s="89"/>
      <c r="K438" s="89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</row>
    <row r="439" spans="2:23" s="14" customFormat="1" ht="17.100000000000001" customHeight="1">
      <c r="B439" s="89"/>
      <c r="C439" s="90"/>
      <c r="D439" s="91"/>
      <c r="E439" s="92"/>
      <c r="F439" s="89"/>
      <c r="G439" s="89"/>
      <c r="H439" s="89"/>
      <c r="I439" s="89"/>
      <c r="J439" s="89"/>
      <c r="K439" s="89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</row>
    <row r="440" spans="2:23" s="14" customFormat="1" ht="17.100000000000001" customHeight="1">
      <c r="B440" s="89"/>
      <c r="C440" s="90"/>
      <c r="D440" s="91"/>
      <c r="E440" s="92"/>
      <c r="F440" s="89"/>
      <c r="G440" s="89"/>
      <c r="H440" s="89"/>
      <c r="I440" s="89"/>
      <c r="J440" s="89"/>
      <c r="K440" s="89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</row>
    <row r="441" spans="2:23" s="14" customFormat="1" ht="17.100000000000001" customHeight="1">
      <c r="B441" s="89"/>
      <c r="C441" s="90"/>
      <c r="D441" s="91"/>
      <c r="E441" s="92"/>
      <c r="F441" s="89"/>
      <c r="G441" s="89"/>
      <c r="H441" s="89"/>
      <c r="I441" s="89"/>
      <c r="J441" s="89"/>
      <c r="K441" s="89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</row>
    <row r="442" spans="2:23" s="14" customFormat="1" ht="17.100000000000001" customHeight="1">
      <c r="B442" s="89"/>
      <c r="C442" s="90"/>
      <c r="D442" s="91"/>
      <c r="E442" s="92"/>
      <c r="F442" s="89"/>
      <c r="G442" s="89"/>
      <c r="H442" s="89"/>
      <c r="I442" s="89"/>
      <c r="J442" s="89"/>
      <c r="K442" s="89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</row>
    <row r="443" spans="2:23" s="14" customFormat="1" ht="17.100000000000001" customHeight="1">
      <c r="B443" s="89"/>
      <c r="C443" s="90"/>
      <c r="D443" s="91"/>
      <c r="E443" s="92"/>
      <c r="F443" s="89"/>
      <c r="G443" s="89"/>
      <c r="H443" s="89"/>
      <c r="I443" s="89"/>
      <c r="J443" s="89"/>
      <c r="K443" s="89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</row>
    <row r="444" spans="2:23" s="14" customFormat="1" ht="17.100000000000001" customHeight="1">
      <c r="B444" s="89"/>
      <c r="C444" s="90"/>
      <c r="D444" s="91"/>
      <c r="E444" s="92"/>
      <c r="F444" s="89"/>
      <c r="G444" s="89"/>
      <c r="H444" s="89"/>
      <c r="I444" s="89"/>
      <c r="J444" s="89"/>
      <c r="K444" s="89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</row>
    <row r="445" spans="2:23" s="14" customFormat="1" ht="17.100000000000001" customHeight="1">
      <c r="B445" s="89"/>
      <c r="C445" s="90"/>
      <c r="D445" s="91"/>
      <c r="E445" s="92"/>
      <c r="F445" s="89"/>
      <c r="G445" s="89"/>
      <c r="H445" s="89"/>
      <c r="I445" s="89"/>
      <c r="J445" s="89"/>
      <c r="K445" s="89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</row>
    <row r="446" spans="2:23" s="14" customFormat="1" ht="17.100000000000001" customHeight="1">
      <c r="B446" s="89"/>
      <c r="C446" s="90"/>
      <c r="D446" s="91"/>
      <c r="E446" s="92"/>
      <c r="F446" s="89"/>
      <c r="G446" s="89"/>
      <c r="H446" s="89"/>
      <c r="I446" s="89"/>
      <c r="J446" s="89"/>
      <c r="K446" s="89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</row>
    <row r="447" spans="2:23" s="14" customFormat="1" ht="17.100000000000001" customHeight="1">
      <c r="B447" s="89"/>
      <c r="C447" s="90"/>
      <c r="D447" s="91"/>
      <c r="E447" s="92"/>
      <c r="F447" s="89"/>
      <c r="G447" s="89"/>
      <c r="H447" s="89"/>
      <c r="I447" s="89"/>
      <c r="J447" s="89"/>
      <c r="K447" s="89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</row>
    <row r="448" spans="2:23" s="14" customFormat="1" ht="17.100000000000001" customHeight="1">
      <c r="B448" s="89"/>
      <c r="C448" s="90"/>
      <c r="D448" s="91"/>
      <c r="E448" s="92"/>
      <c r="F448" s="89"/>
      <c r="G448" s="89"/>
      <c r="H448" s="89"/>
      <c r="I448" s="89"/>
      <c r="J448" s="89"/>
      <c r="K448" s="89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</row>
    <row r="449" spans="2:23" s="14" customFormat="1" ht="17.100000000000001" customHeight="1">
      <c r="B449" s="89"/>
      <c r="C449" s="90"/>
      <c r="D449" s="91"/>
      <c r="E449" s="92"/>
      <c r="F449" s="89"/>
      <c r="G449" s="89"/>
      <c r="H449" s="89"/>
      <c r="I449" s="89"/>
      <c r="J449" s="89"/>
      <c r="K449" s="89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</row>
    <row r="450" spans="2:23" s="14" customFormat="1" ht="17.100000000000001" customHeight="1">
      <c r="B450" s="89"/>
      <c r="C450" s="90"/>
      <c r="D450" s="91"/>
      <c r="E450" s="92"/>
      <c r="F450" s="89"/>
      <c r="G450" s="89"/>
      <c r="H450" s="89"/>
      <c r="I450" s="89"/>
      <c r="J450" s="89"/>
      <c r="K450" s="89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</row>
    <row r="451" spans="2:23" s="14" customFormat="1" ht="17.100000000000001" customHeight="1">
      <c r="B451" s="89"/>
      <c r="C451" s="90"/>
      <c r="D451" s="91"/>
      <c r="E451" s="92"/>
      <c r="F451" s="89"/>
      <c r="G451" s="89"/>
      <c r="H451" s="89"/>
      <c r="I451" s="89"/>
      <c r="J451" s="89"/>
      <c r="K451" s="89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</row>
    <row r="452" spans="2:23" s="14" customFormat="1" ht="17.100000000000001" customHeight="1">
      <c r="B452" s="89"/>
      <c r="C452" s="90"/>
      <c r="D452" s="91"/>
      <c r="E452" s="92"/>
      <c r="F452" s="89"/>
      <c r="G452" s="89"/>
      <c r="H452" s="89"/>
      <c r="I452" s="89"/>
      <c r="J452" s="89"/>
      <c r="K452" s="89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</row>
    <row r="453" spans="2:23" s="14" customFormat="1" ht="17.100000000000001" customHeight="1">
      <c r="B453" s="89"/>
      <c r="C453" s="90"/>
      <c r="D453" s="91"/>
      <c r="E453" s="92"/>
      <c r="F453" s="89"/>
      <c r="G453" s="89"/>
      <c r="H453" s="89"/>
      <c r="I453" s="89"/>
      <c r="J453" s="89"/>
      <c r="K453" s="89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</row>
    <row r="454" spans="2:23" s="14" customFormat="1" ht="17.100000000000001" customHeight="1">
      <c r="B454" s="89"/>
      <c r="C454" s="90"/>
      <c r="D454" s="91"/>
      <c r="E454" s="92"/>
      <c r="F454" s="89"/>
      <c r="G454" s="89"/>
      <c r="H454" s="89"/>
      <c r="I454" s="89"/>
      <c r="J454" s="89"/>
      <c r="K454" s="89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</row>
    <row r="455" spans="2:23" s="14" customFormat="1" ht="17.100000000000001" customHeight="1">
      <c r="B455" s="89"/>
      <c r="C455" s="90"/>
      <c r="D455" s="91"/>
      <c r="E455" s="92"/>
      <c r="F455" s="89"/>
      <c r="G455" s="89"/>
      <c r="H455" s="89"/>
      <c r="I455" s="89"/>
      <c r="J455" s="89"/>
      <c r="K455" s="89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</row>
    <row r="456" spans="2:23" s="14" customFormat="1" ht="17.100000000000001" customHeight="1">
      <c r="B456" s="89"/>
      <c r="C456" s="90"/>
      <c r="D456" s="91"/>
      <c r="E456" s="92"/>
      <c r="F456" s="89"/>
      <c r="G456" s="89"/>
      <c r="H456" s="89"/>
      <c r="I456" s="89"/>
      <c r="J456" s="89"/>
      <c r="K456" s="89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</row>
    <row r="457" spans="2:23" s="14" customFormat="1" ht="17.100000000000001" customHeight="1">
      <c r="B457" s="89"/>
      <c r="C457" s="90"/>
      <c r="D457" s="91"/>
      <c r="E457" s="92"/>
      <c r="F457" s="89"/>
      <c r="G457" s="89"/>
      <c r="H457" s="89"/>
      <c r="I457" s="89"/>
      <c r="J457" s="89"/>
      <c r="K457" s="89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</row>
    <row r="458" spans="2:23" s="14" customFormat="1" ht="17.100000000000001" customHeight="1">
      <c r="B458" s="89"/>
      <c r="C458" s="90"/>
      <c r="D458" s="91"/>
      <c r="E458" s="92"/>
      <c r="F458" s="89"/>
      <c r="G458" s="89"/>
      <c r="H458" s="89"/>
      <c r="I458" s="89"/>
      <c r="J458" s="89"/>
      <c r="K458" s="89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</row>
    <row r="459" spans="2:23" s="14" customFormat="1" ht="17.100000000000001" customHeight="1">
      <c r="B459" s="89"/>
      <c r="C459" s="90"/>
      <c r="D459" s="91"/>
      <c r="E459" s="92"/>
      <c r="F459" s="89"/>
      <c r="G459" s="89"/>
      <c r="H459" s="89"/>
      <c r="I459" s="89"/>
      <c r="J459" s="89"/>
      <c r="K459" s="89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</row>
    <row r="460" spans="2:23" s="14" customFormat="1" ht="17.100000000000001" customHeight="1">
      <c r="B460" s="89"/>
      <c r="C460" s="90"/>
      <c r="D460" s="91"/>
      <c r="E460" s="92"/>
      <c r="F460" s="89"/>
      <c r="G460" s="89"/>
      <c r="H460" s="89"/>
      <c r="I460" s="89"/>
      <c r="J460" s="89"/>
      <c r="K460" s="89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</row>
    <row r="461" spans="2:23" s="14" customFormat="1" ht="17.100000000000001" customHeight="1">
      <c r="B461" s="89"/>
      <c r="C461" s="90"/>
      <c r="D461" s="91"/>
      <c r="E461" s="92"/>
      <c r="F461" s="89"/>
      <c r="G461" s="89"/>
      <c r="H461" s="89"/>
      <c r="I461" s="89"/>
      <c r="J461" s="89"/>
      <c r="K461" s="89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</row>
    <row r="462" spans="2:23" s="14" customFormat="1" ht="17.100000000000001" customHeight="1">
      <c r="B462" s="89"/>
      <c r="C462" s="90"/>
      <c r="D462" s="91"/>
      <c r="E462" s="92"/>
      <c r="F462" s="89"/>
      <c r="G462" s="89"/>
      <c r="H462" s="89"/>
      <c r="I462" s="89"/>
      <c r="J462" s="89"/>
      <c r="K462" s="89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</row>
    <row r="463" spans="2:23" s="14" customFormat="1" ht="17.100000000000001" customHeight="1">
      <c r="B463" s="89"/>
      <c r="C463" s="90"/>
      <c r="D463" s="91"/>
      <c r="E463" s="92"/>
      <c r="F463" s="89"/>
      <c r="G463" s="89"/>
      <c r="H463" s="89"/>
      <c r="I463" s="89"/>
      <c r="J463" s="89"/>
      <c r="K463" s="89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</row>
    <row r="464" spans="2:23" s="14" customFormat="1" ht="17.100000000000001" customHeight="1">
      <c r="B464" s="89"/>
      <c r="C464" s="90"/>
      <c r="D464" s="91"/>
      <c r="E464" s="92"/>
      <c r="F464" s="89"/>
      <c r="G464" s="89"/>
      <c r="H464" s="89"/>
      <c r="I464" s="89"/>
      <c r="J464" s="89"/>
      <c r="K464" s="89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</row>
    <row r="465" spans="2:23" s="14" customFormat="1" ht="17.100000000000001" customHeight="1">
      <c r="B465" s="89"/>
      <c r="C465" s="90"/>
      <c r="D465" s="91"/>
      <c r="E465" s="92"/>
      <c r="F465" s="89"/>
      <c r="G465" s="89"/>
      <c r="H465" s="89"/>
      <c r="I465" s="89"/>
      <c r="J465" s="89"/>
      <c r="K465" s="89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</row>
    <row r="466" spans="2:23" s="14" customFormat="1" ht="17.100000000000001" customHeight="1">
      <c r="B466" s="89"/>
      <c r="C466" s="90"/>
      <c r="D466" s="91"/>
      <c r="E466" s="92"/>
      <c r="F466" s="89"/>
      <c r="G466" s="89"/>
      <c r="H466" s="89"/>
      <c r="I466" s="89"/>
      <c r="J466" s="89"/>
      <c r="K466" s="89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</row>
    <row r="467" spans="2:23" s="14" customFormat="1" ht="17.100000000000001" customHeight="1">
      <c r="B467" s="89"/>
      <c r="C467" s="90"/>
      <c r="D467" s="91"/>
      <c r="E467" s="92"/>
      <c r="F467" s="89"/>
      <c r="G467" s="89"/>
      <c r="H467" s="89"/>
      <c r="I467" s="89"/>
      <c r="J467" s="89"/>
      <c r="K467" s="89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</row>
    <row r="468" spans="2:23" s="14" customFormat="1" ht="17.100000000000001" customHeight="1">
      <c r="B468" s="89"/>
      <c r="C468" s="90"/>
      <c r="D468" s="91"/>
      <c r="E468" s="92"/>
      <c r="F468" s="89"/>
      <c r="G468" s="89"/>
      <c r="H468" s="89"/>
      <c r="I468" s="89"/>
      <c r="J468" s="89"/>
      <c r="K468" s="89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</row>
    <row r="469" spans="2:23" s="14" customFormat="1" ht="17.100000000000001" customHeight="1">
      <c r="B469" s="89"/>
      <c r="C469" s="90"/>
      <c r="D469" s="91"/>
      <c r="E469" s="92"/>
      <c r="F469" s="89"/>
      <c r="G469" s="89"/>
      <c r="H469" s="89"/>
      <c r="I469" s="89"/>
      <c r="J469" s="89"/>
      <c r="K469" s="89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</row>
    <row r="470" spans="2:23" s="14" customFormat="1" ht="17.100000000000001" customHeight="1">
      <c r="B470" s="89"/>
      <c r="C470" s="90"/>
      <c r="D470" s="91"/>
      <c r="E470" s="92"/>
      <c r="F470" s="89"/>
      <c r="G470" s="89"/>
      <c r="H470" s="89"/>
      <c r="I470" s="89"/>
      <c r="J470" s="89"/>
      <c r="K470" s="89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</row>
    <row r="471" spans="2:23" s="14" customFormat="1" ht="17.100000000000001" customHeight="1">
      <c r="B471" s="89"/>
      <c r="C471" s="90"/>
      <c r="D471" s="91"/>
      <c r="E471" s="92"/>
      <c r="F471" s="89"/>
      <c r="G471" s="89"/>
      <c r="H471" s="89"/>
      <c r="I471" s="89"/>
      <c r="J471" s="89"/>
      <c r="K471" s="89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</row>
    <row r="472" spans="2:23" s="14" customFormat="1" ht="17.100000000000001" customHeight="1">
      <c r="B472" s="89"/>
      <c r="C472" s="90"/>
      <c r="D472" s="91"/>
      <c r="E472" s="92"/>
      <c r="F472" s="89"/>
      <c r="G472" s="89"/>
      <c r="H472" s="89"/>
      <c r="I472" s="89"/>
      <c r="J472" s="89"/>
      <c r="K472" s="89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</row>
    <row r="473" spans="2:23" s="14" customFormat="1" ht="17.100000000000001" customHeight="1">
      <c r="B473" s="89"/>
      <c r="C473" s="90"/>
      <c r="D473" s="91"/>
      <c r="E473" s="92"/>
      <c r="F473" s="89"/>
      <c r="G473" s="89"/>
      <c r="H473" s="89"/>
      <c r="I473" s="89"/>
      <c r="J473" s="89"/>
      <c r="K473" s="89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</row>
    <row r="474" spans="2:23" s="14" customFormat="1" ht="17.100000000000001" customHeight="1">
      <c r="B474" s="89"/>
      <c r="C474" s="90"/>
      <c r="D474" s="91"/>
      <c r="E474" s="92"/>
      <c r="F474" s="89"/>
      <c r="G474" s="89"/>
      <c r="H474" s="89"/>
      <c r="I474" s="89"/>
      <c r="J474" s="89"/>
      <c r="K474" s="89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</row>
    <row r="475" spans="2:23" s="14" customFormat="1" ht="17.100000000000001" customHeight="1">
      <c r="B475" s="89"/>
      <c r="C475" s="90"/>
      <c r="D475" s="91"/>
      <c r="E475" s="92"/>
      <c r="F475" s="89"/>
      <c r="G475" s="89"/>
      <c r="H475" s="89"/>
      <c r="I475" s="89"/>
      <c r="J475" s="89"/>
      <c r="K475" s="89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</row>
    <row r="476" spans="2:23" s="14" customFormat="1" ht="17.100000000000001" customHeight="1">
      <c r="B476" s="89"/>
      <c r="C476" s="90"/>
      <c r="D476" s="91"/>
      <c r="E476" s="92"/>
      <c r="F476" s="89"/>
      <c r="G476" s="89"/>
      <c r="H476" s="89"/>
      <c r="I476" s="89"/>
      <c r="J476" s="89"/>
      <c r="K476" s="89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</row>
    <row r="477" spans="2:23" s="14" customFormat="1" ht="17.100000000000001" customHeight="1">
      <c r="B477" s="89"/>
      <c r="C477" s="90"/>
      <c r="D477" s="91"/>
      <c r="E477" s="92"/>
      <c r="F477" s="89"/>
      <c r="G477" s="89"/>
      <c r="H477" s="89"/>
      <c r="I477" s="89"/>
      <c r="J477" s="89"/>
      <c r="K477" s="89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</row>
    <row r="478" spans="2:23" s="14" customFormat="1" ht="17.100000000000001" customHeight="1">
      <c r="B478" s="89"/>
      <c r="C478" s="90"/>
      <c r="D478" s="91"/>
      <c r="E478" s="92"/>
      <c r="F478" s="89"/>
      <c r="G478" s="89"/>
      <c r="H478" s="89"/>
      <c r="I478" s="89"/>
      <c r="J478" s="89"/>
      <c r="K478" s="89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</row>
    <row r="479" spans="2:23" s="14" customFormat="1" ht="17.100000000000001" customHeight="1">
      <c r="B479" s="89"/>
      <c r="C479" s="90"/>
      <c r="D479" s="91"/>
      <c r="E479" s="92"/>
      <c r="F479" s="89"/>
      <c r="G479" s="89"/>
      <c r="H479" s="89"/>
      <c r="I479" s="89"/>
      <c r="J479" s="89"/>
      <c r="K479" s="89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</row>
    <row r="480" spans="2:23" s="14" customFormat="1" ht="17.100000000000001" customHeight="1">
      <c r="B480" s="89"/>
      <c r="C480" s="90"/>
      <c r="D480" s="91"/>
      <c r="E480" s="92"/>
      <c r="F480" s="89"/>
      <c r="G480" s="89"/>
      <c r="H480" s="89"/>
      <c r="I480" s="89"/>
      <c r="J480" s="89"/>
      <c r="K480" s="89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</row>
    <row r="481" spans="2:23" s="14" customFormat="1" ht="17.100000000000001" customHeight="1">
      <c r="B481" s="89"/>
      <c r="C481" s="90"/>
      <c r="D481" s="91"/>
      <c r="E481" s="92"/>
      <c r="F481" s="89"/>
      <c r="G481" s="89"/>
      <c r="H481" s="89"/>
      <c r="I481" s="89"/>
      <c r="J481" s="89"/>
      <c r="K481" s="89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</row>
    <row r="482" spans="2:23" s="14" customFormat="1" ht="17.100000000000001" customHeight="1">
      <c r="B482" s="89"/>
      <c r="C482" s="90"/>
      <c r="D482" s="91"/>
      <c r="E482" s="92"/>
      <c r="F482" s="89"/>
      <c r="G482" s="89"/>
      <c r="H482" s="89"/>
      <c r="I482" s="89"/>
      <c r="J482" s="89"/>
      <c r="K482" s="89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</row>
    <row r="483" spans="2:23" s="14" customFormat="1" ht="17.100000000000001" customHeight="1">
      <c r="B483" s="89"/>
      <c r="C483" s="90"/>
      <c r="D483" s="91"/>
      <c r="E483" s="92"/>
      <c r="F483" s="89"/>
      <c r="G483" s="89"/>
      <c r="H483" s="89"/>
      <c r="I483" s="89"/>
      <c r="J483" s="89"/>
      <c r="K483" s="89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</row>
    <row r="484" spans="2:23" s="14" customFormat="1" ht="17.100000000000001" customHeight="1">
      <c r="B484" s="89"/>
      <c r="C484" s="90"/>
      <c r="D484" s="91"/>
      <c r="E484" s="92"/>
      <c r="F484" s="89"/>
      <c r="G484" s="89"/>
      <c r="H484" s="89"/>
      <c r="I484" s="89"/>
      <c r="J484" s="89"/>
      <c r="K484" s="89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</row>
    <row r="485" spans="2:23" s="14" customFormat="1" ht="17.100000000000001" customHeight="1">
      <c r="B485" s="89"/>
      <c r="C485" s="90"/>
      <c r="D485" s="91"/>
      <c r="E485" s="92"/>
      <c r="F485" s="89"/>
      <c r="G485" s="89"/>
      <c r="H485" s="89"/>
      <c r="I485" s="89"/>
      <c r="J485" s="89"/>
      <c r="K485" s="89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</row>
    <row r="486" spans="2:23" s="14" customFormat="1" ht="17.100000000000001" customHeight="1">
      <c r="B486" s="89"/>
      <c r="C486" s="90"/>
      <c r="D486" s="91"/>
      <c r="E486" s="92"/>
      <c r="F486" s="89"/>
      <c r="G486" s="89"/>
      <c r="H486" s="89"/>
      <c r="I486" s="89"/>
      <c r="J486" s="89"/>
      <c r="K486" s="89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</row>
    <row r="487" spans="2:23" s="14" customFormat="1" ht="17.100000000000001" customHeight="1">
      <c r="B487" s="89"/>
      <c r="C487" s="90"/>
      <c r="D487" s="91"/>
      <c r="E487" s="92"/>
      <c r="F487" s="89"/>
      <c r="G487" s="89"/>
      <c r="H487" s="89"/>
      <c r="I487" s="89"/>
      <c r="J487" s="89"/>
      <c r="K487" s="89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</row>
    <row r="488" spans="2:23" s="14" customFormat="1" ht="17.100000000000001" customHeight="1">
      <c r="B488" s="89"/>
      <c r="C488" s="90"/>
      <c r="D488" s="91"/>
      <c r="E488" s="92"/>
      <c r="F488" s="89"/>
      <c r="G488" s="89"/>
      <c r="H488" s="89"/>
      <c r="I488" s="89"/>
      <c r="J488" s="89"/>
      <c r="K488" s="89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</row>
    <row r="489" spans="2:23" s="14" customFormat="1" ht="17.100000000000001" customHeight="1">
      <c r="B489" s="89"/>
      <c r="C489" s="90"/>
      <c r="D489" s="91"/>
      <c r="E489" s="92"/>
      <c r="F489" s="89"/>
      <c r="G489" s="89"/>
      <c r="H489" s="89"/>
      <c r="I489" s="89"/>
      <c r="J489" s="89"/>
      <c r="K489" s="89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</row>
    <row r="490" spans="2:23" s="14" customFormat="1" ht="17.100000000000001" customHeight="1">
      <c r="B490" s="89"/>
      <c r="C490" s="90"/>
      <c r="D490" s="91"/>
      <c r="E490" s="92"/>
      <c r="F490" s="89"/>
      <c r="G490" s="89"/>
      <c r="H490" s="89"/>
      <c r="I490" s="89"/>
      <c r="J490" s="89"/>
      <c r="K490" s="89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</row>
    <row r="491" spans="2:23" s="14" customFormat="1" ht="17.100000000000001" customHeight="1">
      <c r="B491" s="89"/>
      <c r="C491" s="90"/>
      <c r="D491" s="91"/>
      <c r="E491" s="92"/>
      <c r="F491" s="89"/>
      <c r="G491" s="89"/>
      <c r="H491" s="89"/>
      <c r="I491" s="89"/>
      <c r="J491" s="89"/>
      <c r="K491" s="89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</row>
    <row r="492" spans="2:23" s="14" customFormat="1" ht="17.100000000000001" customHeight="1">
      <c r="B492" s="89"/>
      <c r="C492" s="90"/>
      <c r="D492" s="91"/>
      <c r="E492" s="92"/>
      <c r="F492" s="89"/>
      <c r="G492" s="89"/>
      <c r="H492" s="89"/>
      <c r="I492" s="89"/>
      <c r="J492" s="89"/>
      <c r="K492" s="89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</row>
    <row r="493" spans="2:23" s="14" customFormat="1" ht="17.100000000000001" customHeight="1">
      <c r="B493" s="89"/>
      <c r="C493" s="90"/>
      <c r="D493" s="91"/>
      <c r="E493" s="92"/>
      <c r="F493" s="89"/>
      <c r="G493" s="89"/>
      <c r="H493" s="89"/>
      <c r="I493" s="89"/>
      <c r="J493" s="89"/>
      <c r="K493" s="89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</row>
    <row r="494" spans="2:23" s="14" customFormat="1" ht="17.100000000000001" customHeight="1">
      <c r="B494" s="89"/>
      <c r="C494" s="90"/>
      <c r="D494" s="91"/>
      <c r="E494" s="92"/>
      <c r="F494" s="89"/>
      <c r="G494" s="89"/>
      <c r="H494" s="89"/>
      <c r="I494" s="89"/>
      <c r="J494" s="89"/>
      <c r="K494" s="89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</row>
    <row r="495" spans="2:23" s="14" customFormat="1" ht="17.100000000000001" customHeight="1">
      <c r="B495" s="89"/>
      <c r="C495" s="90"/>
      <c r="D495" s="91"/>
      <c r="E495" s="92"/>
      <c r="F495" s="89"/>
      <c r="G495" s="89"/>
      <c r="H495" s="89"/>
      <c r="I495" s="89"/>
      <c r="J495" s="89"/>
      <c r="K495" s="89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</row>
    <row r="496" spans="2:23" s="14" customFormat="1" ht="17.100000000000001" customHeight="1">
      <c r="B496" s="89"/>
      <c r="C496" s="90"/>
      <c r="D496" s="91"/>
      <c r="E496" s="92"/>
      <c r="F496" s="89"/>
      <c r="G496" s="89"/>
      <c r="H496" s="89"/>
      <c r="I496" s="89"/>
      <c r="J496" s="89"/>
      <c r="K496" s="89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</row>
    <row r="497" spans="2:23" s="14" customFormat="1" ht="17.100000000000001" customHeight="1">
      <c r="B497" s="89"/>
      <c r="C497" s="90"/>
      <c r="D497" s="91"/>
      <c r="E497" s="92"/>
      <c r="F497" s="89"/>
      <c r="G497" s="89"/>
      <c r="H497" s="89"/>
      <c r="I497" s="89"/>
      <c r="J497" s="89"/>
      <c r="K497" s="89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</row>
    <row r="498" spans="2:23" s="14" customFormat="1" ht="17.100000000000001" customHeight="1">
      <c r="B498" s="89"/>
      <c r="C498" s="90"/>
      <c r="D498" s="91"/>
      <c r="E498" s="92"/>
      <c r="F498" s="89"/>
      <c r="G498" s="89"/>
      <c r="H498" s="89"/>
      <c r="I498" s="89"/>
      <c r="J498" s="89"/>
      <c r="K498" s="89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</row>
    <row r="499" spans="2:23" s="14" customFormat="1" ht="17.100000000000001" customHeight="1">
      <c r="B499" s="89"/>
      <c r="C499" s="90"/>
      <c r="D499" s="91"/>
      <c r="E499" s="92"/>
      <c r="F499" s="89"/>
      <c r="G499" s="89"/>
      <c r="H499" s="89"/>
      <c r="I499" s="89"/>
      <c r="J499" s="89"/>
      <c r="K499" s="89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</row>
    <row r="500" spans="2:23" s="14" customFormat="1" ht="17.100000000000001" customHeight="1">
      <c r="B500" s="89"/>
      <c r="C500" s="90"/>
      <c r="D500" s="91"/>
      <c r="E500" s="92"/>
      <c r="F500" s="89"/>
      <c r="G500" s="89"/>
      <c r="H500" s="89"/>
      <c r="I500" s="89"/>
      <c r="J500" s="89"/>
      <c r="K500" s="89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</row>
    <row r="501" spans="2:23" s="14" customFormat="1" ht="17.100000000000001" customHeight="1">
      <c r="B501" s="89"/>
      <c r="C501" s="90"/>
      <c r="D501" s="91"/>
      <c r="E501" s="92"/>
      <c r="F501" s="89"/>
      <c r="G501" s="89"/>
      <c r="H501" s="89"/>
      <c r="I501" s="89"/>
      <c r="J501" s="89"/>
      <c r="K501" s="89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</row>
    <row r="502" spans="2:23" s="14" customFormat="1" ht="17.100000000000001" customHeight="1">
      <c r="B502" s="89"/>
      <c r="C502" s="90"/>
      <c r="D502" s="91"/>
      <c r="E502" s="92"/>
      <c r="F502" s="89"/>
      <c r="G502" s="89"/>
      <c r="H502" s="89"/>
      <c r="I502" s="89"/>
      <c r="J502" s="89"/>
      <c r="K502" s="89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</row>
    <row r="503" spans="2:23" s="14" customFormat="1" ht="17.100000000000001" customHeight="1">
      <c r="B503" s="89"/>
      <c r="C503" s="90"/>
      <c r="D503" s="91"/>
      <c r="E503" s="92"/>
      <c r="F503" s="89"/>
      <c r="G503" s="89"/>
      <c r="H503" s="89"/>
      <c r="I503" s="89"/>
      <c r="J503" s="89"/>
      <c r="K503" s="89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</row>
    <row r="504" spans="2:23" s="14" customFormat="1" ht="17.100000000000001" customHeight="1">
      <c r="B504" s="89"/>
      <c r="C504" s="90"/>
      <c r="D504" s="91"/>
      <c r="E504" s="92"/>
      <c r="F504" s="89"/>
      <c r="G504" s="89"/>
      <c r="H504" s="89"/>
      <c r="I504" s="89"/>
      <c r="J504" s="89"/>
      <c r="K504" s="89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</row>
    <row r="505" spans="2:23" s="14" customFormat="1" ht="17.100000000000001" customHeight="1">
      <c r="B505" s="89"/>
      <c r="C505" s="90"/>
      <c r="D505" s="91"/>
      <c r="E505" s="92"/>
      <c r="F505" s="89"/>
      <c r="G505" s="89"/>
      <c r="H505" s="89"/>
      <c r="I505" s="89"/>
      <c r="J505" s="89"/>
      <c r="K505" s="89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</row>
    <row r="506" spans="2:23" s="14" customFormat="1" ht="17.100000000000001" customHeight="1">
      <c r="B506" s="89"/>
      <c r="C506" s="90"/>
      <c r="D506" s="91"/>
      <c r="E506" s="92"/>
      <c r="F506" s="89"/>
      <c r="G506" s="89"/>
      <c r="H506" s="89"/>
      <c r="I506" s="89"/>
      <c r="J506" s="89"/>
      <c r="K506" s="89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</row>
    <row r="507" spans="2:23" s="14" customFormat="1" ht="17.100000000000001" customHeight="1">
      <c r="B507" s="89"/>
      <c r="C507" s="90"/>
      <c r="D507" s="91"/>
      <c r="E507" s="92"/>
      <c r="F507" s="89"/>
      <c r="G507" s="89"/>
      <c r="H507" s="89"/>
      <c r="I507" s="89"/>
      <c r="J507" s="89"/>
      <c r="K507" s="89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</row>
    <row r="508" spans="2:23" s="14" customFormat="1" ht="17.100000000000001" customHeight="1">
      <c r="B508" s="89"/>
      <c r="C508" s="90"/>
      <c r="D508" s="91"/>
      <c r="E508" s="92"/>
      <c r="F508" s="89"/>
      <c r="G508" s="89"/>
      <c r="H508" s="89"/>
      <c r="I508" s="89"/>
      <c r="J508" s="89"/>
      <c r="K508" s="89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</row>
    <row r="509" spans="2:23" s="14" customFormat="1" ht="17.100000000000001" customHeight="1">
      <c r="B509" s="89"/>
      <c r="C509" s="90"/>
      <c r="D509" s="91"/>
      <c r="E509" s="92"/>
      <c r="F509" s="89"/>
      <c r="G509" s="89"/>
      <c r="H509" s="89"/>
      <c r="I509" s="89"/>
      <c r="J509" s="89"/>
      <c r="K509" s="89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</row>
    <row r="510" spans="2:23" s="14" customFormat="1" ht="17.100000000000001" customHeight="1">
      <c r="B510" s="89"/>
      <c r="C510" s="90"/>
      <c r="D510" s="91"/>
      <c r="E510" s="92"/>
      <c r="F510" s="89"/>
      <c r="G510" s="89"/>
      <c r="H510" s="89"/>
      <c r="I510" s="89"/>
      <c r="J510" s="89"/>
      <c r="K510" s="89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</row>
    <row r="511" spans="2:23" s="14" customFormat="1" ht="17.100000000000001" customHeight="1">
      <c r="B511" s="89"/>
      <c r="C511" s="90"/>
      <c r="D511" s="91"/>
      <c r="E511" s="92"/>
      <c r="F511" s="89"/>
      <c r="G511" s="89"/>
      <c r="H511" s="89"/>
      <c r="I511" s="89"/>
      <c r="J511" s="89"/>
      <c r="K511" s="89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</row>
    <row r="512" spans="2:23" s="14" customFormat="1" ht="17.100000000000001" customHeight="1">
      <c r="B512" s="89"/>
      <c r="C512" s="90"/>
      <c r="D512" s="91"/>
      <c r="E512" s="92"/>
      <c r="F512" s="89"/>
      <c r="G512" s="89"/>
      <c r="H512" s="89"/>
      <c r="I512" s="89"/>
      <c r="J512" s="89"/>
      <c r="K512" s="89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</row>
    <row r="513" spans="2:23" s="14" customFormat="1" ht="17.100000000000001" customHeight="1">
      <c r="B513" s="89"/>
      <c r="C513" s="90"/>
      <c r="D513" s="91"/>
      <c r="E513" s="92"/>
      <c r="F513" s="89"/>
      <c r="G513" s="89"/>
      <c r="H513" s="89"/>
      <c r="I513" s="89"/>
      <c r="J513" s="89"/>
      <c r="K513" s="89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</row>
    <row r="514" spans="2:23" s="14" customFormat="1" ht="17.100000000000001" customHeight="1">
      <c r="B514" s="89"/>
      <c r="C514" s="90"/>
      <c r="D514" s="91"/>
      <c r="E514" s="92"/>
      <c r="F514" s="89"/>
      <c r="G514" s="89"/>
      <c r="H514" s="89"/>
      <c r="I514" s="89"/>
      <c r="J514" s="89"/>
      <c r="K514" s="89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</row>
    <row r="515" spans="2:23" s="14" customFormat="1" ht="17.100000000000001" customHeight="1">
      <c r="B515" s="89"/>
      <c r="C515" s="90"/>
      <c r="D515" s="91"/>
      <c r="E515" s="92"/>
      <c r="F515" s="89"/>
      <c r="G515" s="89"/>
      <c r="H515" s="89"/>
      <c r="I515" s="89"/>
      <c r="J515" s="89"/>
      <c r="K515" s="89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</row>
    <row r="516" spans="2:23" s="14" customFormat="1" ht="17.100000000000001" customHeight="1">
      <c r="B516" s="89"/>
      <c r="C516" s="90"/>
      <c r="D516" s="91"/>
      <c r="E516" s="92"/>
      <c r="F516" s="89"/>
      <c r="G516" s="89"/>
      <c r="H516" s="89"/>
      <c r="I516" s="89"/>
      <c r="J516" s="89"/>
      <c r="K516" s="89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</row>
    <row r="517" spans="2:23" s="14" customFormat="1" ht="17.100000000000001" customHeight="1">
      <c r="B517" s="89"/>
      <c r="C517" s="90"/>
      <c r="D517" s="91"/>
      <c r="E517" s="92"/>
      <c r="F517" s="89"/>
      <c r="G517" s="89"/>
      <c r="H517" s="89"/>
      <c r="I517" s="89"/>
      <c r="J517" s="89"/>
      <c r="K517" s="89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</row>
    <row r="518" spans="2:23" s="14" customFormat="1" ht="17.100000000000001" customHeight="1">
      <c r="B518" s="89"/>
      <c r="C518" s="90"/>
      <c r="D518" s="91"/>
      <c r="E518" s="92"/>
      <c r="F518" s="89"/>
      <c r="G518" s="89"/>
      <c r="H518" s="89"/>
      <c r="I518" s="89"/>
      <c r="J518" s="89"/>
      <c r="K518" s="89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</row>
    <row r="519" spans="2:23" s="14" customFormat="1" ht="17.100000000000001" customHeight="1">
      <c r="B519" s="89"/>
      <c r="C519" s="90"/>
      <c r="D519" s="91"/>
      <c r="E519" s="92"/>
      <c r="F519" s="89"/>
      <c r="G519" s="89"/>
      <c r="H519" s="89"/>
      <c r="I519" s="89"/>
      <c r="J519" s="89"/>
      <c r="K519" s="89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</row>
    <row r="520" spans="2:23" s="14" customFormat="1" ht="17.100000000000001" customHeight="1">
      <c r="B520" s="89"/>
      <c r="C520" s="90"/>
      <c r="D520" s="91"/>
      <c r="E520" s="92"/>
      <c r="F520" s="89"/>
      <c r="G520" s="89"/>
      <c r="H520" s="89"/>
      <c r="I520" s="89"/>
      <c r="J520" s="89"/>
      <c r="K520" s="89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</row>
    <row r="521" spans="2:23" s="14" customFormat="1" ht="17.100000000000001" customHeight="1">
      <c r="B521" s="89"/>
      <c r="C521" s="90"/>
      <c r="D521" s="91"/>
      <c r="E521" s="92"/>
      <c r="F521" s="89"/>
      <c r="G521" s="89"/>
      <c r="H521" s="89"/>
      <c r="I521" s="89"/>
      <c r="J521" s="89"/>
      <c r="K521" s="89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</row>
    <row r="522" spans="2:23" s="14" customFormat="1" ht="17.100000000000001" customHeight="1">
      <c r="B522" s="89"/>
      <c r="C522" s="90"/>
      <c r="D522" s="91"/>
      <c r="E522" s="92"/>
      <c r="F522" s="89"/>
      <c r="G522" s="89"/>
      <c r="H522" s="89"/>
      <c r="I522" s="89"/>
      <c r="J522" s="89"/>
      <c r="K522" s="89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</row>
    <row r="523" spans="2:23" s="14" customFormat="1" ht="17.100000000000001" customHeight="1">
      <c r="B523" s="89"/>
      <c r="C523" s="90"/>
      <c r="D523" s="91"/>
      <c r="E523" s="92"/>
      <c r="F523" s="89"/>
      <c r="G523" s="89"/>
      <c r="H523" s="89"/>
      <c r="I523" s="89"/>
      <c r="J523" s="89"/>
      <c r="K523" s="89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</row>
    <row r="524" spans="2:23" s="14" customFormat="1" ht="17.100000000000001" customHeight="1">
      <c r="B524" s="89"/>
      <c r="C524" s="90"/>
      <c r="D524" s="91"/>
      <c r="E524" s="92"/>
      <c r="F524" s="89"/>
      <c r="G524" s="89"/>
      <c r="H524" s="89"/>
      <c r="I524" s="89"/>
      <c r="J524" s="89"/>
      <c r="K524" s="89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</row>
    <row r="525" spans="2:23" s="14" customFormat="1" ht="17.100000000000001" customHeight="1">
      <c r="B525" s="89"/>
      <c r="C525" s="90"/>
      <c r="D525" s="91"/>
      <c r="E525" s="92"/>
      <c r="F525" s="89"/>
      <c r="G525" s="89"/>
      <c r="H525" s="89"/>
      <c r="I525" s="89"/>
      <c r="J525" s="89"/>
      <c r="K525" s="89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</row>
    <row r="526" spans="2:23" s="14" customFormat="1" ht="17.100000000000001" customHeight="1">
      <c r="B526" s="89"/>
      <c r="C526" s="90"/>
      <c r="D526" s="91"/>
      <c r="E526" s="92"/>
      <c r="F526" s="89"/>
      <c r="G526" s="89"/>
      <c r="H526" s="89"/>
      <c r="I526" s="89"/>
      <c r="J526" s="89"/>
      <c r="K526" s="89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</row>
    <row r="527" spans="2:23" s="14" customFormat="1" ht="17.100000000000001" customHeight="1">
      <c r="B527" s="89"/>
      <c r="C527" s="90"/>
      <c r="D527" s="91"/>
      <c r="E527" s="92"/>
      <c r="F527" s="89"/>
      <c r="G527" s="89"/>
      <c r="H527" s="89"/>
      <c r="I527" s="89"/>
      <c r="J527" s="89"/>
      <c r="K527" s="89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</row>
    <row r="528" spans="2:23" s="14" customFormat="1" ht="17.100000000000001" customHeight="1">
      <c r="B528" s="89"/>
      <c r="C528" s="90"/>
      <c r="D528" s="91"/>
      <c r="E528" s="92"/>
      <c r="F528" s="89"/>
      <c r="G528" s="89"/>
      <c r="H528" s="89"/>
      <c r="I528" s="89"/>
      <c r="J528" s="89"/>
      <c r="K528" s="89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</row>
    <row r="529" spans="2:23" s="14" customFormat="1" ht="17.100000000000001" customHeight="1">
      <c r="B529" s="89"/>
      <c r="C529" s="90"/>
      <c r="D529" s="91"/>
      <c r="E529" s="92"/>
      <c r="F529" s="89"/>
      <c r="G529" s="89"/>
      <c r="H529" s="89"/>
      <c r="I529" s="89"/>
      <c r="J529" s="89"/>
      <c r="K529" s="89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</row>
    <row r="530" spans="2:23" s="14" customFormat="1" ht="17.100000000000001" customHeight="1">
      <c r="B530" s="89"/>
      <c r="C530" s="90"/>
      <c r="D530" s="91"/>
      <c r="E530" s="92"/>
      <c r="F530" s="89"/>
      <c r="G530" s="89"/>
      <c r="H530" s="89"/>
      <c r="I530" s="89"/>
      <c r="J530" s="89"/>
      <c r="K530" s="89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</row>
    <row r="531" spans="2:23" s="14" customFormat="1" ht="17.100000000000001" customHeight="1">
      <c r="B531" s="89"/>
      <c r="C531" s="90"/>
      <c r="D531" s="91"/>
      <c r="E531" s="92"/>
      <c r="F531" s="89"/>
      <c r="G531" s="89"/>
      <c r="H531" s="89"/>
      <c r="I531" s="89"/>
      <c r="J531" s="89"/>
      <c r="K531" s="89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</row>
    <row r="532" spans="2:23" s="14" customFormat="1" ht="17.100000000000001" customHeight="1">
      <c r="B532" s="89"/>
      <c r="C532" s="90"/>
      <c r="D532" s="91"/>
      <c r="E532" s="92"/>
      <c r="F532" s="89"/>
      <c r="G532" s="89"/>
      <c r="H532" s="89"/>
      <c r="I532" s="89"/>
      <c r="J532" s="89"/>
      <c r="K532" s="89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</row>
    <row r="533" spans="2:23" s="14" customFormat="1" ht="17.100000000000001" customHeight="1">
      <c r="B533" s="89"/>
      <c r="C533" s="90"/>
      <c r="D533" s="91"/>
      <c r="E533" s="92"/>
      <c r="F533" s="89"/>
      <c r="G533" s="89"/>
      <c r="H533" s="89"/>
      <c r="I533" s="89"/>
      <c r="J533" s="89"/>
      <c r="K533" s="89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</row>
    <row r="534" spans="2:23" s="14" customFormat="1" ht="17.100000000000001" customHeight="1">
      <c r="B534" s="89"/>
      <c r="C534" s="90"/>
      <c r="D534" s="91"/>
      <c r="E534" s="92"/>
      <c r="F534" s="89"/>
      <c r="G534" s="89"/>
      <c r="H534" s="89"/>
      <c r="I534" s="89"/>
      <c r="J534" s="89"/>
      <c r="K534" s="89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</row>
    <row r="535" spans="2:23" s="14" customFormat="1" ht="17.100000000000001" customHeight="1">
      <c r="B535" s="89"/>
      <c r="C535" s="90"/>
      <c r="D535" s="91"/>
      <c r="E535" s="92"/>
      <c r="F535" s="89"/>
      <c r="G535" s="89"/>
      <c r="H535" s="89"/>
      <c r="I535" s="89"/>
      <c r="J535" s="89"/>
      <c r="K535" s="89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</row>
    <row r="536" spans="2:23" s="14" customFormat="1" ht="17.100000000000001" customHeight="1">
      <c r="B536" s="89"/>
      <c r="C536" s="90"/>
      <c r="D536" s="91"/>
      <c r="E536" s="92"/>
      <c r="F536" s="89"/>
      <c r="G536" s="89"/>
      <c r="H536" s="89"/>
      <c r="I536" s="89"/>
      <c r="J536" s="89"/>
      <c r="K536" s="89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</row>
    <row r="537" spans="2:23" s="14" customFormat="1" ht="17.100000000000001" customHeight="1">
      <c r="B537" s="89"/>
      <c r="C537" s="90"/>
      <c r="D537" s="91"/>
      <c r="E537" s="92"/>
      <c r="F537" s="89"/>
      <c r="G537" s="89"/>
      <c r="H537" s="89"/>
      <c r="I537" s="89"/>
      <c r="J537" s="89"/>
      <c r="K537" s="89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</row>
    <row r="538" spans="2:23" s="14" customFormat="1" ht="17.100000000000001" customHeight="1">
      <c r="B538" s="89"/>
      <c r="C538" s="90"/>
      <c r="D538" s="91"/>
      <c r="E538" s="92"/>
      <c r="F538" s="89"/>
      <c r="G538" s="89"/>
      <c r="H538" s="89"/>
      <c r="I538" s="89"/>
      <c r="J538" s="89"/>
      <c r="K538" s="89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</row>
    <row r="539" spans="2:23" s="14" customFormat="1" ht="17.100000000000001" customHeight="1">
      <c r="B539" s="89"/>
      <c r="C539" s="90"/>
      <c r="D539" s="91"/>
      <c r="E539" s="92"/>
      <c r="F539" s="89"/>
      <c r="G539" s="89"/>
      <c r="H539" s="89"/>
      <c r="I539" s="89"/>
      <c r="J539" s="89"/>
      <c r="K539" s="89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</row>
    <row r="540" spans="2:23" s="14" customFormat="1" ht="17.100000000000001" customHeight="1">
      <c r="B540" s="89"/>
      <c r="C540" s="90"/>
      <c r="D540" s="91"/>
      <c r="E540" s="92"/>
      <c r="F540" s="89"/>
      <c r="G540" s="89"/>
      <c r="H540" s="89"/>
      <c r="I540" s="89"/>
      <c r="J540" s="89"/>
      <c r="K540" s="89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</row>
    <row r="541" spans="2:23" s="14" customFormat="1" ht="17.100000000000001" customHeight="1">
      <c r="B541" s="89"/>
      <c r="C541" s="90"/>
      <c r="D541" s="91"/>
      <c r="E541" s="92"/>
      <c r="F541" s="89"/>
      <c r="G541" s="89"/>
      <c r="H541" s="89"/>
      <c r="I541" s="89"/>
      <c r="J541" s="89"/>
      <c r="K541" s="89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</row>
    <row r="542" spans="2:23" s="14" customFormat="1" ht="17.100000000000001" customHeight="1">
      <c r="B542" s="89"/>
      <c r="C542" s="90"/>
      <c r="D542" s="91"/>
      <c r="E542" s="92"/>
      <c r="F542" s="89"/>
      <c r="G542" s="89"/>
      <c r="H542" s="89"/>
      <c r="I542" s="89"/>
      <c r="J542" s="89"/>
      <c r="K542" s="89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</row>
    <row r="543" spans="2:23" s="14" customFormat="1" ht="17.100000000000001" customHeight="1">
      <c r="B543" s="89"/>
      <c r="C543" s="90"/>
      <c r="D543" s="91"/>
      <c r="E543" s="92"/>
      <c r="F543" s="89"/>
      <c r="G543" s="89"/>
      <c r="H543" s="89"/>
      <c r="I543" s="89"/>
      <c r="J543" s="89"/>
      <c r="K543" s="89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</row>
    <row r="544" spans="2:23" s="14" customFormat="1" ht="17.100000000000001" customHeight="1">
      <c r="B544" s="89"/>
      <c r="C544" s="90"/>
      <c r="D544" s="91"/>
      <c r="E544" s="92"/>
      <c r="F544" s="89"/>
      <c r="G544" s="89"/>
      <c r="H544" s="89"/>
      <c r="I544" s="89"/>
      <c r="J544" s="89"/>
      <c r="K544" s="89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</row>
    <row r="545" spans="2:23" s="14" customFormat="1" ht="17.100000000000001" customHeight="1">
      <c r="B545" s="89"/>
      <c r="C545" s="90"/>
      <c r="D545" s="91"/>
      <c r="E545" s="92"/>
      <c r="F545" s="89"/>
      <c r="G545" s="89"/>
      <c r="H545" s="89"/>
      <c r="I545" s="89"/>
      <c r="J545" s="89"/>
      <c r="K545" s="89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</row>
    <row r="546" spans="2:23" s="14" customFormat="1" ht="17.100000000000001" customHeight="1">
      <c r="B546" s="89"/>
      <c r="C546" s="90"/>
      <c r="D546" s="91"/>
      <c r="E546" s="92"/>
      <c r="F546" s="89"/>
      <c r="G546" s="89"/>
      <c r="H546" s="89"/>
      <c r="I546" s="89"/>
      <c r="J546" s="89"/>
      <c r="K546" s="89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</row>
    <row r="547" spans="2:23" s="14" customFormat="1" ht="17.100000000000001" customHeight="1">
      <c r="B547" s="89"/>
      <c r="C547" s="90"/>
      <c r="D547" s="91"/>
      <c r="E547" s="92"/>
      <c r="F547" s="89"/>
      <c r="G547" s="89"/>
      <c r="H547" s="89"/>
      <c r="I547" s="89"/>
      <c r="J547" s="89"/>
      <c r="K547" s="89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</row>
    <row r="548" spans="2:23" s="14" customFormat="1" ht="17.100000000000001" customHeight="1">
      <c r="B548" s="89"/>
      <c r="C548" s="90"/>
      <c r="D548" s="91"/>
      <c r="E548" s="92"/>
      <c r="F548" s="89"/>
      <c r="G548" s="89"/>
      <c r="H548" s="89"/>
      <c r="I548" s="89"/>
      <c r="J548" s="89"/>
      <c r="K548" s="89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</row>
    <row r="549" spans="2:23" s="14" customFormat="1" ht="17.100000000000001" customHeight="1">
      <c r="B549" s="89"/>
      <c r="C549" s="90"/>
      <c r="D549" s="91"/>
      <c r="E549" s="92"/>
      <c r="F549" s="89"/>
      <c r="G549" s="89"/>
      <c r="H549" s="89"/>
      <c r="I549" s="89"/>
      <c r="J549" s="89"/>
      <c r="K549" s="89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</row>
    <row r="550" spans="2:23" s="14" customFormat="1" ht="17.100000000000001" customHeight="1">
      <c r="B550" s="89"/>
      <c r="C550" s="90"/>
      <c r="D550" s="91"/>
      <c r="E550" s="92"/>
      <c r="F550" s="89"/>
      <c r="G550" s="89"/>
      <c r="H550" s="89"/>
      <c r="I550" s="89"/>
      <c r="J550" s="89"/>
      <c r="K550" s="89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</row>
    <row r="551" spans="2:23" s="14" customFormat="1" ht="17.100000000000001" customHeight="1">
      <c r="B551" s="89"/>
      <c r="C551" s="90"/>
      <c r="D551" s="91"/>
      <c r="E551" s="92"/>
      <c r="F551" s="89"/>
      <c r="G551" s="89"/>
      <c r="H551" s="89"/>
      <c r="I551" s="89"/>
      <c r="J551" s="89"/>
      <c r="K551" s="89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</row>
    <row r="552" spans="2:23" s="14" customFormat="1" ht="17.100000000000001" customHeight="1">
      <c r="B552" s="89"/>
      <c r="C552" s="90"/>
      <c r="D552" s="91"/>
      <c r="E552" s="92"/>
      <c r="F552" s="89"/>
      <c r="G552" s="89"/>
      <c r="H552" s="89"/>
      <c r="I552" s="89"/>
      <c r="J552" s="89"/>
      <c r="K552" s="89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</row>
    <row r="553" spans="2:23" s="14" customFormat="1" ht="17.100000000000001" customHeight="1">
      <c r="B553" s="89"/>
      <c r="C553" s="90"/>
      <c r="D553" s="91"/>
      <c r="E553" s="92"/>
      <c r="F553" s="89"/>
      <c r="G553" s="89"/>
      <c r="H553" s="89"/>
      <c r="I553" s="89"/>
      <c r="J553" s="89"/>
      <c r="K553" s="89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</row>
    <row r="554" spans="2:23" s="14" customFormat="1" ht="17.100000000000001" customHeight="1">
      <c r="B554" s="89"/>
      <c r="C554" s="90"/>
      <c r="D554" s="91"/>
      <c r="E554" s="92"/>
      <c r="F554" s="89"/>
      <c r="G554" s="89"/>
      <c r="H554" s="89"/>
      <c r="I554" s="89"/>
      <c r="J554" s="89"/>
      <c r="K554" s="89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</row>
    <row r="555" spans="2:23" s="14" customFormat="1" ht="17.100000000000001" customHeight="1">
      <c r="B555" s="89"/>
      <c r="C555" s="90"/>
      <c r="D555" s="91"/>
      <c r="E555" s="92"/>
      <c r="F555" s="89"/>
      <c r="G555" s="89"/>
      <c r="H555" s="89"/>
      <c r="I555" s="89"/>
      <c r="J555" s="89"/>
      <c r="K555" s="89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</row>
    <row r="556" spans="2:23" s="14" customFormat="1" ht="17.100000000000001" customHeight="1">
      <c r="B556" s="89"/>
      <c r="C556" s="90"/>
      <c r="D556" s="91"/>
      <c r="E556" s="92"/>
      <c r="F556" s="89"/>
      <c r="G556" s="89"/>
      <c r="H556" s="89"/>
      <c r="I556" s="89"/>
      <c r="J556" s="89"/>
      <c r="K556" s="89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</row>
    <row r="557" spans="2:23" s="14" customFormat="1" ht="17.100000000000001" customHeight="1">
      <c r="B557" s="89"/>
      <c r="C557" s="90"/>
      <c r="D557" s="91"/>
      <c r="E557" s="92"/>
      <c r="F557" s="89"/>
      <c r="G557" s="89"/>
      <c r="H557" s="89"/>
      <c r="I557" s="89"/>
      <c r="J557" s="89"/>
      <c r="K557" s="89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</row>
    <row r="558" spans="2:23" s="14" customFormat="1" ht="17.100000000000001" customHeight="1">
      <c r="B558" s="89"/>
      <c r="C558" s="90"/>
      <c r="D558" s="91"/>
      <c r="E558" s="92"/>
      <c r="F558" s="89"/>
      <c r="G558" s="89"/>
      <c r="H558" s="89"/>
      <c r="I558" s="89"/>
      <c r="J558" s="89"/>
      <c r="K558" s="89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</row>
    <row r="559" spans="2:23" s="14" customFormat="1" ht="17.100000000000001" customHeight="1">
      <c r="B559" s="89"/>
      <c r="C559" s="90"/>
      <c r="D559" s="91"/>
      <c r="E559" s="92"/>
      <c r="F559" s="89"/>
      <c r="G559" s="89"/>
      <c r="H559" s="89"/>
      <c r="I559" s="89"/>
      <c r="J559" s="89"/>
      <c r="K559" s="89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</row>
    <row r="560" spans="2:23" s="14" customFormat="1" ht="17.100000000000001" customHeight="1">
      <c r="B560" s="89"/>
      <c r="C560" s="90"/>
      <c r="D560" s="91"/>
      <c r="E560" s="92"/>
      <c r="F560" s="89"/>
      <c r="G560" s="89"/>
      <c r="H560" s="89"/>
      <c r="I560" s="89"/>
      <c r="J560" s="89"/>
      <c r="K560" s="89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</row>
    <row r="561" spans="2:23" s="14" customFormat="1" ht="17.100000000000001" customHeight="1">
      <c r="B561" s="89"/>
      <c r="C561" s="90"/>
      <c r="D561" s="91"/>
      <c r="E561" s="92"/>
      <c r="F561" s="89"/>
      <c r="G561" s="89"/>
      <c r="H561" s="89"/>
      <c r="I561" s="89"/>
      <c r="J561" s="89"/>
      <c r="K561" s="89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</row>
    <row r="562" spans="2:23" s="14" customFormat="1" ht="17.100000000000001" customHeight="1">
      <c r="B562" s="89"/>
      <c r="C562" s="90"/>
      <c r="D562" s="91"/>
      <c r="E562" s="92"/>
      <c r="F562" s="89"/>
      <c r="G562" s="89"/>
      <c r="H562" s="89"/>
      <c r="I562" s="89"/>
      <c r="J562" s="89"/>
      <c r="K562" s="89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</row>
    <row r="563" spans="2:23" s="14" customFormat="1" ht="17.100000000000001" customHeight="1">
      <c r="B563" s="89"/>
      <c r="C563" s="90"/>
      <c r="D563" s="91"/>
      <c r="E563" s="92"/>
      <c r="F563" s="89"/>
      <c r="G563" s="89"/>
      <c r="H563" s="89"/>
      <c r="I563" s="89"/>
      <c r="J563" s="89"/>
      <c r="K563" s="89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</row>
    <row r="564" spans="2:23" s="14" customFormat="1" ht="17.100000000000001" customHeight="1">
      <c r="B564" s="89"/>
      <c r="C564" s="90"/>
      <c r="D564" s="91"/>
      <c r="E564" s="92"/>
      <c r="F564" s="89"/>
      <c r="G564" s="89"/>
      <c r="H564" s="89"/>
      <c r="I564" s="89"/>
      <c r="J564" s="89"/>
      <c r="K564" s="89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</row>
    <row r="565" spans="2:23" s="14" customFormat="1" ht="17.100000000000001" customHeight="1">
      <c r="B565" s="89"/>
      <c r="C565" s="90"/>
      <c r="D565" s="91"/>
      <c r="E565" s="92"/>
      <c r="F565" s="89"/>
      <c r="G565" s="89"/>
      <c r="H565" s="89"/>
      <c r="I565" s="89"/>
      <c r="J565" s="89"/>
      <c r="K565" s="89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</row>
    <row r="566" spans="2:23" s="14" customFormat="1" ht="17.100000000000001" customHeight="1">
      <c r="B566" s="89"/>
      <c r="C566" s="90"/>
      <c r="D566" s="91"/>
      <c r="E566" s="92"/>
      <c r="F566" s="89"/>
      <c r="G566" s="89"/>
      <c r="H566" s="89"/>
      <c r="I566" s="89"/>
      <c r="J566" s="89"/>
      <c r="K566" s="89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</row>
    <row r="567" spans="2:23" s="14" customFormat="1" ht="17.100000000000001" customHeight="1">
      <c r="B567" s="89"/>
      <c r="C567" s="90"/>
      <c r="D567" s="91"/>
      <c r="E567" s="92"/>
      <c r="F567" s="89"/>
      <c r="G567" s="89"/>
      <c r="H567" s="89"/>
      <c r="I567" s="89"/>
      <c r="J567" s="89"/>
      <c r="K567" s="89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</row>
    <row r="568" spans="2:23" s="14" customFormat="1" ht="17.100000000000001" customHeight="1">
      <c r="B568" s="89"/>
      <c r="C568" s="90"/>
      <c r="D568" s="91"/>
      <c r="E568" s="92"/>
      <c r="F568" s="89"/>
      <c r="G568" s="89"/>
      <c r="H568" s="89"/>
      <c r="I568" s="89"/>
      <c r="J568" s="89"/>
      <c r="K568" s="89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</row>
    <row r="569" spans="2:23" s="14" customFormat="1" ht="17.100000000000001" customHeight="1">
      <c r="B569" s="89"/>
      <c r="C569" s="90"/>
      <c r="D569" s="91"/>
      <c r="E569" s="92"/>
      <c r="F569" s="89"/>
      <c r="G569" s="89"/>
      <c r="H569" s="89"/>
      <c r="I569" s="89"/>
      <c r="J569" s="89"/>
      <c r="K569" s="89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</row>
    <row r="570" spans="2:23" s="14" customFormat="1" ht="17.100000000000001" customHeight="1">
      <c r="B570" s="89"/>
      <c r="C570" s="90"/>
      <c r="D570" s="91"/>
      <c r="E570" s="92"/>
      <c r="F570" s="89"/>
      <c r="G570" s="89"/>
      <c r="H570" s="89"/>
      <c r="I570" s="89"/>
      <c r="J570" s="89"/>
      <c r="K570" s="89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</row>
    <row r="571" spans="2:23" s="14" customFormat="1" ht="17.100000000000001" customHeight="1">
      <c r="B571" s="89"/>
      <c r="C571" s="90"/>
      <c r="D571" s="91"/>
      <c r="E571" s="92"/>
      <c r="F571" s="89"/>
      <c r="G571" s="89"/>
      <c r="H571" s="89"/>
      <c r="I571" s="89"/>
      <c r="J571" s="89"/>
      <c r="K571" s="89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</row>
    <row r="572" spans="2:23" s="14" customFormat="1" ht="17.100000000000001" customHeight="1">
      <c r="B572" s="89"/>
      <c r="C572" s="90"/>
      <c r="D572" s="91"/>
      <c r="E572" s="92"/>
      <c r="F572" s="89"/>
      <c r="G572" s="89"/>
      <c r="H572" s="89"/>
      <c r="I572" s="89"/>
      <c r="J572" s="89"/>
      <c r="K572" s="89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</row>
    <row r="573" spans="2:23" s="14" customFormat="1" ht="17.100000000000001" customHeight="1">
      <c r="B573" s="89"/>
      <c r="C573" s="90"/>
      <c r="D573" s="91"/>
      <c r="E573" s="92"/>
      <c r="F573" s="89"/>
      <c r="G573" s="89"/>
      <c r="H573" s="89"/>
      <c r="I573" s="89"/>
      <c r="J573" s="89"/>
      <c r="K573" s="89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</row>
    <row r="574" spans="2:23" s="14" customFormat="1" ht="17.100000000000001" customHeight="1">
      <c r="B574" s="89"/>
      <c r="C574" s="90"/>
      <c r="D574" s="91"/>
      <c r="E574" s="92"/>
      <c r="F574" s="89"/>
      <c r="G574" s="89"/>
      <c r="H574" s="89"/>
      <c r="I574" s="89"/>
      <c r="J574" s="89"/>
      <c r="K574" s="89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</row>
    <row r="575" spans="2:23" s="14" customFormat="1" ht="17.100000000000001" customHeight="1">
      <c r="B575" s="89"/>
      <c r="C575" s="90"/>
      <c r="D575" s="91"/>
      <c r="E575" s="92"/>
      <c r="F575" s="89"/>
      <c r="G575" s="89"/>
      <c r="H575" s="89"/>
      <c r="I575" s="89"/>
      <c r="J575" s="89"/>
      <c r="K575" s="89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</row>
    <row r="576" spans="2:23" s="14" customFormat="1" ht="17.100000000000001" customHeight="1">
      <c r="B576" s="89"/>
      <c r="C576" s="90"/>
      <c r="D576" s="91"/>
      <c r="E576" s="92"/>
      <c r="F576" s="89"/>
      <c r="G576" s="89"/>
      <c r="H576" s="89"/>
      <c r="I576" s="89"/>
      <c r="J576" s="89"/>
      <c r="K576" s="89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</row>
    <row r="577" spans="2:23" s="14" customFormat="1" ht="17.100000000000001" customHeight="1">
      <c r="B577" s="89"/>
      <c r="C577" s="90"/>
      <c r="D577" s="91"/>
      <c r="E577" s="92"/>
      <c r="F577" s="89"/>
      <c r="G577" s="89"/>
      <c r="H577" s="89"/>
      <c r="I577" s="89"/>
      <c r="J577" s="89"/>
      <c r="K577" s="89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</row>
    <row r="578" spans="2:23" s="14" customFormat="1" ht="17.100000000000001" customHeight="1">
      <c r="B578" s="89"/>
      <c r="C578" s="90"/>
      <c r="D578" s="91"/>
      <c r="E578" s="92"/>
      <c r="F578" s="89"/>
      <c r="G578" s="89"/>
      <c r="H578" s="89"/>
      <c r="I578" s="89"/>
      <c r="J578" s="89"/>
      <c r="K578" s="89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</row>
    <row r="579" spans="2:23" s="14" customFormat="1" ht="17.100000000000001" customHeight="1">
      <c r="B579" s="89"/>
      <c r="C579" s="90"/>
      <c r="D579" s="91"/>
      <c r="E579" s="92"/>
      <c r="F579" s="89"/>
      <c r="G579" s="89"/>
      <c r="H579" s="89"/>
      <c r="I579" s="89"/>
      <c r="J579" s="89"/>
      <c r="K579" s="89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</row>
    <row r="580" spans="2:23" s="14" customFormat="1" ht="17.100000000000001" customHeight="1">
      <c r="B580" s="89"/>
      <c r="C580" s="90"/>
      <c r="D580" s="91"/>
      <c r="E580" s="92"/>
      <c r="F580" s="89"/>
      <c r="G580" s="89"/>
      <c r="H580" s="89"/>
      <c r="I580" s="89"/>
      <c r="J580" s="89"/>
      <c r="K580" s="89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</row>
    <row r="581" spans="2:23" s="14" customFormat="1" ht="17.100000000000001" customHeight="1">
      <c r="B581" s="89"/>
      <c r="C581" s="90"/>
      <c r="D581" s="91"/>
      <c r="E581" s="92"/>
      <c r="F581" s="89"/>
      <c r="G581" s="89"/>
      <c r="H581" s="89"/>
      <c r="I581" s="89"/>
      <c r="J581" s="89"/>
      <c r="K581" s="89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</row>
    <row r="582" spans="2:23" s="14" customFormat="1" ht="17.100000000000001" customHeight="1">
      <c r="B582" s="89"/>
      <c r="C582" s="90"/>
      <c r="D582" s="91"/>
      <c r="E582" s="92"/>
      <c r="F582" s="89"/>
      <c r="G582" s="89"/>
      <c r="H582" s="89"/>
      <c r="I582" s="89"/>
      <c r="J582" s="89"/>
      <c r="K582" s="89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</row>
    <row r="583" spans="2:23" s="14" customFormat="1" ht="17.100000000000001" customHeight="1">
      <c r="B583" s="89"/>
      <c r="C583" s="90"/>
      <c r="D583" s="91"/>
      <c r="E583" s="92"/>
      <c r="F583" s="89"/>
      <c r="G583" s="89"/>
      <c r="H583" s="89"/>
      <c r="I583" s="89"/>
      <c r="J583" s="89"/>
      <c r="K583" s="89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</row>
    <row r="584" spans="2:23" s="14" customFormat="1" ht="17.100000000000001" customHeight="1">
      <c r="B584" s="89"/>
      <c r="C584" s="90"/>
      <c r="D584" s="91"/>
      <c r="E584" s="92"/>
      <c r="F584" s="89"/>
      <c r="G584" s="89"/>
      <c r="H584" s="89"/>
      <c r="I584" s="89"/>
      <c r="J584" s="89"/>
      <c r="K584" s="89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</row>
    <row r="585" spans="2:23" s="14" customFormat="1" ht="17.100000000000001" customHeight="1">
      <c r="B585" s="89"/>
      <c r="C585" s="90"/>
      <c r="D585" s="91"/>
      <c r="E585" s="92"/>
      <c r="F585" s="89"/>
      <c r="G585" s="89"/>
      <c r="H585" s="89"/>
      <c r="I585" s="89"/>
      <c r="J585" s="89"/>
      <c r="K585" s="89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</row>
    <row r="586" spans="2:23" s="14" customFormat="1" ht="17.100000000000001" customHeight="1">
      <c r="B586" s="89"/>
      <c r="C586" s="90"/>
      <c r="D586" s="91"/>
      <c r="E586" s="92"/>
      <c r="F586" s="89"/>
      <c r="G586" s="89"/>
      <c r="H586" s="89"/>
      <c r="I586" s="89"/>
      <c r="J586" s="89"/>
      <c r="K586" s="89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</row>
    <row r="587" spans="2:23" s="14" customFormat="1" ht="17.100000000000001" customHeight="1">
      <c r="B587" s="89"/>
      <c r="C587" s="90"/>
      <c r="D587" s="91"/>
      <c r="E587" s="92"/>
      <c r="F587" s="89"/>
      <c r="G587" s="89"/>
      <c r="H587" s="89"/>
      <c r="I587" s="89"/>
      <c r="J587" s="89"/>
      <c r="K587" s="89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</row>
    <row r="588" spans="2:23" s="14" customFormat="1" ht="17.100000000000001" customHeight="1">
      <c r="B588" s="89"/>
      <c r="C588" s="90"/>
      <c r="D588" s="91"/>
      <c r="E588" s="92"/>
      <c r="F588" s="89"/>
      <c r="G588" s="89"/>
      <c r="H588" s="89"/>
      <c r="I588" s="89"/>
      <c r="J588" s="89"/>
      <c r="K588" s="89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</row>
    <row r="589" spans="2:23" s="14" customFormat="1" ht="17.100000000000001" customHeight="1">
      <c r="B589" s="89"/>
      <c r="C589" s="90"/>
      <c r="D589" s="91"/>
      <c r="E589" s="92"/>
      <c r="F589" s="89"/>
      <c r="G589" s="89"/>
      <c r="H589" s="89"/>
      <c r="I589" s="89"/>
      <c r="J589" s="89"/>
      <c r="K589" s="89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</row>
    <row r="590" spans="2:23" s="14" customFormat="1" ht="17.100000000000001" customHeight="1">
      <c r="B590" s="89"/>
      <c r="C590" s="90"/>
      <c r="D590" s="91"/>
      <c r="E590" s="92"/>
      <c r="F590" s="89"/>
      <c r="G590" s="89"/>
      <c r="H590" s="89"/>
      <c r="I590" s="89"/>
      <c r="J590" s="89"/>
      <c r="K590" s="89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</row>
    <row r="591" spans="2:23" s="14" customFormat="1" ht="17.100000000000001" customHeight="1">
      <c r="B591" s="89"/>
      <c r="C591" s="90"/>
      <c r="D591" s="91"/>
      <c r="E591" s="92"/>
      <c r="F591" s="89"/>
      <c r="G591" s="89"/>
      <c r="H591" s="89"/>
      <c r="I591" s="89"/>
      <c r="J591" s="89"/>
      <c r="K591" s="89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</row>
    <row r="592" spans="2:23" s="14" customFormat="1" ht="17.100000000000001" customHeight="1">
      <c r="B592" s="89"/>
      <c r="C592" s="90"/>
      <c r="D592" s="91"/>
      <c r="E592" s="92"/>
      <c r="F592" s="89"/>
      <c r="G592" s="89"/>
      <c r="H592" s="89"/>
      <c r="I592" s="89"/>
      <c r="J592" s="89"/>
      <c r="K592" s="89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</row>
    <row r="593" spans="2:23" s="14" customFormat="1" ht="17.100000000000001" customHeight="1">
      <c r="B593" s="89"/>
      <c r="C593" s="90"/>
      <c r="D593" s="91"/>
      <c r="E593" s="92"/>
      <c r="F593" s="89"/>
      <c r="G593" s="89"/>
      <c r="H593" s="89"/>
      <c r="I593" s="89"/>
      <c r="J593" s="89"/>
      <c r="K593" s="89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</row>
    <row r="594" spans="2:23" s="14" customFormat="1" ht="17.100000000000001" customHeight="1">
      <c r="B594" s="89"/>
      <c r="C594" s="90"/>
      <c r="D594" s="91"/>
      <c r="E594" s="92"/>
      <c r="F594" s="89"/>
      <c r="G594" s="89"/>
      <c r="H594" s="89"/>
      <c r="I594" s="89"/>
      <c r="J594" s="89"/>
      <c r="K594" s="89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</row>
    <row r="595" spans="2:23" s="14" customFormat="1" ht="17.100000000000001" customHeight="1">
      <c r="B595" s="89"/>
      <c r="C595" s="90"/>
      <c r="D595" s="91"/>
      <c r="E595" s="92"/>
      <c r="F595" s="89"/>
      <c r="G595" s="89"/>
      <c r="H595" s="89"/>
      <c r="I595" s="89"/>
      <c r="J595" s="89"/>
      <c r="K595" s="89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</row>
    <row r="596" spans="2:23" s="14" customFormat="1" ht="17.100000000000001" customHeight="1">
      <c r="B596" s="89"/>
      <c r="C596" s="90"/>
      <c r="D596" s="91"/>
      <c r="E596" s="92"/>
      <c r="F596" s="89"/>
      <c r="G596" s="89"/>
      <c r="H596" s="89"/>
      <c r="I596" s="89"/>
      <c r="J596" s="89"/>
      <c r="K596" s="89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</row>
    <row r="597" spans="2:23" s="14" customFormat="1" ht="17.100000000000001" customHeight="1">
      <c r="B597" s="89"/>
      <c r="C597" s="90"/>
      <c r="D597" s="91"/>
      <c r="E597" s="92"/>
      <c r="F597" s="89"/>
      <c r="G597" s="89"/>
      <c r="H597" s="89"/>
      <c r="I597" s="89"/>
      <c r="J597" s="89"/>
      <c r="K597" s="89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</row>
    <row r="598" spans="2:23" s="14" customFormat="1" ht="17.100000000000001" customHeight="1">
      <c r="B598" s="89"/>
      <c r="C598" s="90"/>
      <c r="D598" s="91"/>
      <c r="E598" s="92"/>
      <c r="F598" s="89"/>
      <c r="G598" s="89"/>
      <c r="H598" s="89"/>
      <c r="I598" s="89"/>
      <c r="J598" s="89"/>
      <c r="K598" s="89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</row>
    <row r="599" spans="2:23" s="14" customFormat="1" ht="17.100000000000001" customHeight="1">
      <c r="B599" s="89"/>
      <c r="C599" s="90"/>
      <c r="D599" s="91"/>
      <c r="E599" s="92"/>
      <c r="F599" s="89"/>
      <c r="G599" s="89"/>
      <c r="H599" s="89"/>
      <c r="I599" s="89"/>
      <c r="J599" s="89"/>
      <c r="K599" s="89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</row>
    <row r="600" spans="2:23" s="14" customFormat="1" ht="17.100000000000001" customHeight="1">
      <c r="B600" s="89"/>
      <c r="C600" s="90"/>
      <c r="D600" s="91"/>
      <c r="E600" s="92"/>
      <c r="F600" s="89"/>
      <c r="G600" s="89"/>
      <c r="H600" s="89"/>
      <c r="I600" s="89"/>
      <c r="J600" s="89"/>
      <c r="K600" s="89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</row>
    <row r="601" spans="2:23" s="14" customFormat="1" ht="17.100000000000001" customHeight="1">
      <c r="B601" s="89"/>
      <c r="C601" s="90"/>
      <c r="D601" s="91"/>
      <c r="E601" s="92"/>
      <c r="F601" s="89"/>
      <c r="G601" s="89"/>
      <c r="H601" s="89"/>
      <c r="I601" s="89"/>
      <c r="J601" s="89"/>
      <c r="K601" s="89"/>
      <c r="L601" s="93"/>
      <c r="M601" s="93"/>
      <c r="N601" s="93"/>
      <c r="O601" s="93"/>
      <c r="P601" s="93"/>
      <c r="Q601" s="93"/>
      <c r="R601" s="93"/>
      <c r="S601" s="93"/>
      <c r="T601" s="93"/>
      <c r="U601" s="93"/>
      <c r="V601" s="93"/>
      <c r="W601" s="93"/>
    </row>
    <row r="602" spans="2:23" s="14" customFormat="1" ht="17.100000000000001" customHeight="1">
      <c r="B602" s="89"/>
      <c r="C602" s="90"/>
      <c r="D602" s="91"/>
      <c r="E602" s="92"/>
      <c r="F602" s="89"/>
      <c r="G602" s="89"/>
      <c r="H602" s="89"/>
      <c r="I602" s="89"/>
      <c r="J602" s="89"/>
      <c r="K602" s="89"/>
      <c r="L602" s="93"/>
      <c r="M602" s="93"/>
      <c r="N602" s="93"/>
      <c r="O602" s="93"/>
      <c r="P602" s="93"/>
      <c r="Q602" s="93"/>
      <c r="R602" s="93"/>
      <c r="S602" s="93"/>
      <c r="T602" s="93"/>
      <c r="U602" s="93"/>
      <c r="V602" s="93"/>
      <c r="W602" s="93"/>
    </row>
    <row r="603" spans="2:23" s="14" customFormat="1" ht="17.100000000000001" customHeight="1">
      <c r="B603" s="89"/>
      <c r="C603" s="90"/>
      <c r="D603" s="91"/>
      <c r="E603" s="92"/>
      <c r="F603" s="89"/>
      <c r="G603" s="89"/>
      <c r="H603" s="89"/>
      <c r="I603" s="89"/>
      <c r="J603" s="89"/>
      <c r="K603" s="89"/>
      <c r="L603" s="93"/>
      <c r="M603" s="93"/>
      <c r="N603" s="93"/>
      <c r="O603" s="93"/>
      <c r="P603" s="93"/>
      <c r="Q603" s="93"/>
      <c r="R603" s="93"/>
      <c r="S603" s="93"/>
      <c r="T603" s="93"/>
      <c r="U603" s="93"/>
      <c r="V603" s="93"/>
      <c r="W603" s="93"/>
    </row>
    <row r="604" spans="2:23" s="14" customFormat="1" ht="17.100000000000001" customHeight="1">
      <c r="B604" s="89"/>
      <c r="C604" s="90"/>
      <c r="D604" s="91"/>
      <c r="E604" s="92"/>
      <c r="F604" s="89"/>
      <c r="G604" s="89"/>
      <c r="H604" s="89"/>
      <c r="I604" s="89"/>
      <c r="J604" s="89"/>
      <c r="K604" s="89"/>
      <c r="L604" s="93"/>
      <c r="M604" s="93"/>
      <c r="N604" s="93"/>
      <c r="O604" s="93"/>
      <c r="P604" s="93"/>
      <c r="Q604" s="93"/>
      <c r="R604" s="93"/>
      <c r="S604" s="93"/>
      <c r="T604" s="93"/>
      <c r="U604" s="93"/>
      <c r="V604" s="93"/>
      <c r="W604" s="93"/>
    </row>
    <row r="605" spans="2:23" s="14" customFormat="1" ht="17.100000000000001" customHeight="1">
      <c r="B605" s="89"/>
      <c r="C605" s="90"/>
      <c r="D605" s="91"/>
      <c r="E605" s="92"/>
      <c r="F605" s="89"/>
      <c r="G605" s="89"/>
      <c r="H605" s="89"/>
      <c r="I605" s="89"/>
      <c r="J605" s="89"/>
      <c r="K605" s="89"/>
      <c r="L605" s="93"/>
      <c r="M605" s="93"/>
      <c r="N605" s="93"/>
      <c r="O605" s="93"/>
      <c r="P605" s="93"/>
      <c r="Q605" s="93"/>
      <c r="R605" s="93"/>
      <c r="S605" s="93"/>
      <c r="T605" s="93"/>
      <c r="U605" s="93"/>
      <c r="V605" s="93"/>
      <c r="W605" s="93"/>
    </row>
    <row r="606" spans="2:23" s="14" customFormat="1" ht="17.100000000000001" customHeight="1">
      <c r="B606" s="89"/>
      <c r="C606" s="90"/>
      <c r="D606" s="91"/>
      <c r="E606" s="92"/>
      <c r="F606" s="89"/>
      <c r="G606" s="89"/>
      <c r="H606" s="89"/>
      <c r="I606" s="89"/>
      <c r="J606" s="89"/>
      <c r="K606" s="89"/>
      <c r="L606" s="93"/>
      <c r="M606" s="93"/>
      <c r="N606" s="93"/>
      <c r="O606" s="93"/>
      <c r="P606" s="93"/>
      <c r="Q606" s="93"/>
      <c r="R606" s="93"/>
      <c r="S606" s="93"/>
      <c r="T606" s="93"/>
      <c r="U606" s="93"/>
      <c r="V606" s="93"/>
      <c r="W606" s="93"/>
    </row>
    <row r="607" spans="2:23" s="14" customFormat="1" ht="17.100000000000001" customHeight="1">
      <c r="B607" s="89"/>
      <c r="C607" s="90"/>
      <c r="D607" s="91"/>
      <c r="E607" s="92"/>
      <c r="F607" s="89"/>
      <c r="G607" s="89"/>
      <c r="H607" s="89"/>
      <c r="I607" s="89"/>
      <c r="J607" s="89"/>
      <c r="K607" s="89"/>
      <c r="L607" s="93"/>
      <c r="M607" s="93"/>
      <c r="N607" s="93"/>
      <c r="O607" s="93"/>
      <c r="P607" s="93"/>
      <c r="Q607" s="93"/>
      <c r="R607" s="93"/>
      <c r="S607" s="93"/>
      <c r="T607" s="93"/>
      <c r="U607" s="93"/>
      <c r="V607" s="93"/>
      <c r="W607" s="93"/>
    </row>
    <row r="608" spans="2:23" s="14" customFormat="1" ht="17.100000000000001" customHeight="1">
      <c r="B608" s="89"/>
      <c r="C608" s="90"/>
      <c r="D608" s="91"/>
      <c r="E608" s="92"/>
      <c r="F608" s="89"/>
      <c r="G608" s="89"/>
      <c r="H608" s="89"/>
      <c r="I608" s="89"/>
      <c r="J608" s="89"/>
      <c r="K608" s="89"/>
      <c r="L608" s="93"/>
      <c r="M608" s="93"/>
      <c r="N608" s="93"/>
      <c r="O608" s="93"/>
      <c r="P608" s="93"/>
      <c r="Q608" s="93"/>
      <c r="R608" s="93"/>
      <c r="S608" s="93"/>
      <c r="T608" s="93"/>
      <c r="U608" s="93"/>
      <c r="V608" s="93"/>
      <c r="W608" s="93"/>
    </row>
    <row r="609" spans="2:23" s="14" customFormat="1" ht="17.100000000000001" customHeight="1">
      <c r="B609" s="89"/>
      <c r="C609" s="90"/>
      <c r="D609" s="91"/>
      <c r="E609" s="92"/>
      <c r="F609" s="89"/>
      <c r="G609" s="89"/>
      <c r="H609" s="89"/>
      <c r="I609" s="89"/>
      <c r="J609" s="89"/>
      <c r="K609" s="89"/>
      <c r="L609" s="93"/>
      <c r="M609" s="93"/>
      <c r="N609" s="93"/>
      <c r="O609" s="93"/>
      <c r="P609" s="93"/>
      <c r="Q609" s="93"/>
      <c r="R609" s="93"/>
      <c r="S609" s="93"/>
      <c r="T609" s="93"/>
      <c r="U609" s="93"/>
      <c r="V609" s="93"/>
      <c r="W609" s="93"/>
    </row>
    <row r="610" spans="2:23" s="14" customFormat="1" ht="17.100000000000001" customHeight="1">
      <c r="B610" s="89"/>
      <c r="C610" s="90"/>
      <c r="D610" s="91"/>
      <c r="E610" s="92"/>
      <c r="F610" s="89"/>
      <c r="G610" s="89"/>
      <c r="H610" s="89"/>
      <c r="I610" s="89"/>
      <c r="J610" s="89"/>
      <c r="K610" s="89"/>
      <c r="L610" s="93"/>
      <c r="M610" s="93"/>
      <c r="N610" s="93"/>
      <c r="O610" s="93"/>
      <c r="P610" s="93"/>
      <c r="Q610" s="93"/>
      <c r="R610" s="93"/>
      <c r="S610" s="93"/>
      <c r="T610" s="93"/>
      <c r="U610" s="93"/>
      <c r="V610" s="93"/>
      <c r="W610" s="93"/>
    </row>
    <row r="611" spans="2:23" s="14" customFormat="1" ht="17.100000000000001" customHeight="1">
      <c r="B611" s="89"/>
      <c r="C611" s="90"/>
      <c r="D611" s="91"/>
      <c r="E611" s="92"/>
      <c r="F611" s="89"/>
      <c r="G611" s="89"/>
      <c r="H611" s="89"/>
      <c r="I611" s="89"/>
      <c r="J611" s="89"/>
      <c r="K611" s="89"/>
      <c r="L611" s="93"/>
      <c r="M611" s="93"/>
      <c r="N611" s="93"/>
      <c r="O611" s="93"/>
      <c r="P611" s="93"/>
      <c r="Q611" s="93"/>
      <c r="R611" s="93"/>
      <c r="S611" s="93"/>
      <c r="T611" s="93"/>
      <c r="U611" s="93"/>
      <c r="V611" s="93"/>
      <c r="W611" s="93"/>
    </row>
    <row r="612" spans="2:23" s="14" customFormat="1" ht="17.100000000000001" customHeight="1">
      <c r="B612" s="89"/>
      <c r="C612" s="90"/>
      <c r="D612" s="91"/>
      <c r="E612" s="92"/>
      <c r="F612" s="89"/>
      <c r="G612" s="89"/>
      <c r="H612" s="89"/>
      <c r="I612" s="89"/>
      <c r="J612" s="89"/>
      <c r="K612" s="89"/>
      <c r="L612" s="93"/>
      <c r="M612" s="93"/>
      <c r="N612" s="93"/>
      <c r="O612" s="93"/>
      <c r="P612" s="93"/>
      <c r="Q612" s="93"/>
      <c r="R612" s="93"/>
      <c r="S612" s="93"/>
      <c r="T612" s="93"/>
      <c r="U612" s="93"/>
      <c r="V612" s="93"/>
      <c r="W612" s="93"/>
    </row>
    <row r="613" spans="2:23" s="14" customFormat="1" ht="17.100000000000001" customHeight="1">
      <c r="B613" s="89"/>
      <c r="C613" s="90"/>
      <c r="D613" s="91"/>
      <c r="E613" s="92"/>
      <c r="F613" s="89"/>
      <c r="G613" s="89"/>
      <c r="H613" s="89"/>
      <c r="I613" s="89"/>
      <c r="J613" s="89"/>
      <c r="K613" s="89"/>
      <c r="L613" s="93"/>
      <c r="M613" s="93"/>
      <c r="N613" s="93"/>
      <c r="O613" s="93"/>
      <c r="P613" s="93"/>
      <c r="Q613" s="93"/>
      <c r="R613" s="93"/>
      <c r="S613" s="93"/>
      <c r="T613" s="93"/>
      <c r="U613" s="93"/>
      <c r="V613" s="93"/>
      <c r="W613" s="93"/>
    </row>
    <row r="614" spans="2:23" s="14" customFormat="1" ht="17.100000000000001" customHeight="1">
      <c r="B614" s="89"/>
      <c r="C614" s="90"/>
      <c r="D614" s="91"/>
      <c r="E614" s="92"/>
      <c r="F614" s="89"/>
      <c r="G614" s="89"/>
      <c r="H614" s="89"/>
      <c r="I614" s="89"/>
      <c r="J614" s="89"/>
      <c r="K614" s="89"/>
      <c r="L614" s="93"/>
      <c r="M614" s="93"/>
      <c r="N614" s="93"/>
      <c r="O614" s="93"/>
      <c r="P614" s="93"/>
      <c r="Q614" s="93"/>
      <c r="R614" s="93"/>
      <c r="S614" s="93"/>
      <c r="T614" s="93"/>
      <c r="U614" s="93"/>
      <c r="V614" s="93"/>
      <c r="W614" s="93"/>
    </row>
    <row r="615" spans="2:23" s="14" customFormat="1" ht="17.100000000000001" customHeight="1">
      <c r="B615" s="89"/>
      <c r="C615" s="90"/>
      <c r="D615" s="91"/>
      <c r="E615" s="92"/>
      <c r="F615" s="89"/>
      <c r="G615" s="89"/>
      <c r="H615" s="89"/>
      <c r="I615" s="89"/>
      <c r="J615" s="89"/>
      <c r="K615" s="89"/>
      <c r="L615" s="93"/>
      <c r="M615" s="93"/>
      <c r="N615" s="93"/>
      <c r="O615" s="93"/>
      <c r="P615" s="93"/>
      <c r="Q615" s="93"/>
      <c r="R615" s="93"/>
      <c r="S615" s="93"/>
      <c r="T615" s="93"/>
      <c r="U615" s="93"/>
      <c r="V615" s="93"/>
      <c r="W615" s="93"/>
    </row>
    <row r="616" spans="2:23" s="14" customFormat="1" ht="17.100000000000001" customHeight="1">
      <c r="B616" s="89"/>
      <c r="C616" s="90"/>
      <c r="D616" s="91"/>
      <c r="E616" s="92"/>
      <c r="F616" s="89"/>
      <c r="G616" s="89"/>
      <c r="H616" s="89"/>
      <c r="I616" s="89"/>
      <c r="J616" s="89"/>
      <c r="K616" s="89"/>
      <c r="L616" s="93"/>
      <c r="M616" s="93"/>
      <c r="N616" s="93"/>
      <c r="O616" s="93"/>
      <c r="P616" s="93"/>
      <c r="Q616" s="93"/>
      <c r="R616" s="93"/>
      <c r="S616" s="93"/>
      <c r="T616" s="93"/>
      <c r="U616" s="93"/>
      <c r="V616" s="93"/>
      <c r="W616" s="93"/>
    </row>
    <row r="617" spans="2:23" s="14" customFormat="1" ht="17.100000000000001" customHeight="1">
      <c r="B617" s="89"/>
      <c r="C617" s="90"/>
      <c r="D617" s="91"/>
      <c r="E617" s="92"/>
      <c r="F617" s="89"/>
      <c r="G617" s="89"/>
      <c r="H617" s="89"/>
      <c r="I617" s="89"/>
      <c r="J617" s="89"/>
      <c r="K617" s="89"/>
      <c r="L617" s="93"/>
      <c r="M617" s="93"/>
      <c r="N617" s="93"/>
      <c r="O617" s="93"/>
      <c r="P617" s="93"/>
      <c r="Q617" s="93"/>
      <c r="R617" s="93"/>
      <c r="S617" s="93"/>
      <c r="T617" s="93"/>
      <c r="U617" s="93"/>
      <c r="V617" s="93"/>
      <c r="W617" s="93"/>
    </row>
    <row r="618" spans="2:23" s="14" customFormat="1" ht="17.100000000000001" customHeight="1">
      <c r="B618" s="89"/>
      <c r="C618" s="90"/>
      <c r="D618" s="91"/>
      <c r="E618" s="92"/>
      <c r="F618" s="89"/>
      <c r="G618" s="89"/>
      <c r="H618" s="89"/>
      <c r="I618" s="89"/>
      <c r="J618" s="89"/>
      <c r="K618" s="89"/>
      <c r="L618" s="93"/>
      <c r="M618" s="93"/>
      <c r="N618" s="93"/>
      <c r="O618" s="93"/>
      <c r="P618" s="93"/>
      <c r="Q618" s="93"/>
      <c r="R618" s="93"/>
      <c r="S618" s="93"/>
      <c r="T618" s="93"/>
      <c r="U618" s="93"/>
      <c r="V618" s="93"/>
      <c r="W618" s="93"/>
    </row>
    <row r="619" spans="2:23" s="14" customFormat="1" ht="17.100000000000001" customHeight="1">
      <c r="B619" s="89"/>
      <c r="C619" s="90"/>
      <c r="D619" s="91"/>
      <c r="E619" s="92"/>
      <c r="F619" s="89"/>
      <c r="G619" s="89"/>
      <c r="H619" s="89"/>
      <c r="I619" s="89"/>
      <c r="J619" s="89"/>
      <c r="K619" s="89"/>
      <c r="L619" s="93"/>
      <c r="M619" s="93"/>
      <c r="N619" s="93"/>
      <c r="O619" s="93"/>
      <c r="P619" s="93"/>
      <c r="Q619" s="93"/>
      <c r="R619" s="93"/>
      <c r="S619" s="93"/>
      <c r="T619" s="93"/>
      <c r="U619" s="93"/>
      <c r="V619" s="93"/>
      <c r="W619" s="93"/>
    </row>
    <row r="620" spans="2:23" s="14" customFormat="1" ht="17.100000000000001" customHeight="1">
      <c r="B620" s="89"/>
      <c r="C620" s="90"/>
      <c r="D620" s="91"/>
      <c r="E620" s="92"/>
      <c r="F620" s="89"/>
      <c r="G620" s="89"/>
      <c r="H620" s="89"/>
      <c r="I620" s="89"/>
      <c r="J620" s="89"/>
      <c r="K620" s="89"/>
      <c r="L620" s="93"/>
      <c r="M620" s="93"/>
      <c r="N620" s="93"/>
      <c r="O620" s="93"/>
      <c r="P620" s="93"/>
      <c r="Q620" s="93"/>
      <c r="R620" s="93"/>
      <c r="S620" s="93"/>
      <c r="T620" s="93"/>
      <c r="U620" s="93"/>
      <c r="V620" s="93"/>
      <c r="W620" s="93"/>
    </row>
    <row r="621" spans="2:23" s="14" customFormat="1" ht="17.100000000000001" customHeight="1">
      <c r="B621" s="89"/>
      <c r="C621" s="90"/>
      <c r="D621" s="91"/>
      <c r="E621" s="92"/>
      <c r="F621" s="89"/>
      <c r="G621" s="89"/>
      <c r="H621" s="89"/>
      <c r="I621" s="89"/>
      <c r="J621" s="89"/>
      <c r="K621" s="89"/>
      <c r="L621" s="93"/>
      <c r="M621" s="93"/>
      <c r="N621" s="93"/>
      <c r="O621" s="93"/>
      <c r="P621" s="93"/>
      <c r="Q621" s="93"/>
      <c r="R621" s="93"/>
      <c r="S621" s="93"/>
      <c r="T621" s="93"/>
      <c r="U621" s="93"/>
      <c r="V621" s="93"/>
      <c r="W621" s="93"/>
    </row>
    <row r="622" spans="2:23" s="14" customFormat="1" ht="17.100000000000001" customHeight="1">
      <c r="B622" s="89"/>
      <c r="C622" s="90"/>
      <c r="D622" s="91"/>
      <c r="E622" s="92"/>
      <c r="F622" s="89"/>
      <c r="G622" s="89"/>
      <c r="H622" s="89"/>
      <c r="I622" s="89"/>
      <c r="J622" s="89"/>
      <c r="K622" s="89"/>
      <c r="L622" s="93"/>
      <c r="M622" s="93"/>
      <c r="N622" s="93"/>
      <c r="O622" s="93"/>
      <c r="P622" s="93"/>
      <c r="Q622" s="93"/>
      <c r="R622" s="93"/>
      <c r="S622" s="93"/>
      <c r="T622" s="93"/>
      <c r="U622" s="93"/>
      <c r="V622" s="93"/>
      <c r="W622" s="93"/>
    </row>
    <row r="623" spans="2:23" s="14" customFormat="1" ht="17.100000000000001" customHeight="1">
      <c r="B623" s="89"/>
      <c r="C623" s="90"/>
      <c r="D623" s="91"/>
      <c r="E623" s="92"/>
      <c r="F623" s="89"/>
      <c r="G623" s="89"/>
      <c r="H623" s="89"/>
      <c r="I623" s="89"/>
      <c r="J623" s="89"/>
      <c r="K623" s="89"/>
      <c r="L623" s="93"/>
      <c r="M623" s="93"/>
      <c r="N623" s="93"/>
      <c r="O623" s="93"/>
      <c r="P623" s="93"/>
      <c r="Q623" s="93"/>
      <c r="R623" s="93"/>
      <c r="S623" s="93"/>
      <c r="T623" s="93"/>
      <c r="U623" s="93"/>
      <c r="V623" s="93"/>
      <c r="W623" s="93"/>
    </row>
    <row r="624" spans="2:23" s="14" customFormat="1" ht="17.100000000000001" customHeight="1">
      <c r="B624" s="89"/>
      <c r="C624" s="90"/>
      <c r="D624" s="91"/>
      <c r="E624" s="92"/>
      <c r="F624" s="89"/>
      <c r="G624" s="89"/>
      <c r="H624" s="89"/>
      <c r="I624" s="89"/>
      <c r="J624" s="89"/>
      <c r="K624" s="89"/>
      <c r="L624" s="93"/>
      <c r="M624" s="93"/>
      <c r="N624" s="93"/>
      <c r="O624" s="93"/>
      <c r="P624" s="93"/>
      <c r="Q624" s="93"/>
      <c r="R624" s="93"/>
      <c r="S624" s="93"/>
      <c r="T624" s="93"/>
      <c r="U624" s="93"/>
      <c r="V624" s="93"/>
      <c r="W624" s="93"/>
    </row>
    <row r="625" spans="2:23" s="14" customFormat="1" ht="17.100000000000001" customHeight="1">
      <c r="B625" s="89"/>
      <c r="C625" s="90"/>
      <c r="D625" s="91"/>
      <c r="E625" s="92"/>
      <c r="F625" s="89"/>
      <c r="G625" s="89"/>
      <c r="H625" s="89"/>
      <c r="I625" s="89"/>
      <c r="J625" s="89"/>
      <c r="K625" s="89"/>
      <c r="L625" s="93"/>
      <c r="M625" s="93"/>
      <c r="N625" s="93"/>
      <c r="O625" s="93"/>
      <c r="P625" s="93"/>
      <c r="Q625" s="93"/>
      <c r="R625" s="93"/>
      <c r="S625" s="93"/>
      <c r="T625" s="93"/>
      <c r="U625" s="93"/>
      <c r="V625" s="93"/>
      <c r="W625" s="93"/>
    </row>
    <row r="626" spans="2:23" s="14" customFormat="1" ht="17.100000000000001" customHeight="1">
      <c r="B626" s="89"/>
      <c r="C626" s="90"/>
      <c r="D626" s="91"/>
      <c r="E626" s="92"/>
      <c r="F626" s="89"/>
      <c r="G626" s="89"/>
      <c r="H626" s="89"/>
      <c r="I626" s="89"/>
      <c r="J626" s="89"/>
      <c r="K626" s="89"/>
      <c r="L626" s="93"/>
      <c r="M626" s="93"/>
      <c r="N626" s="93"/>
      <c r="O626" s="93"/>
      <c r="P626" s="93"/>
      <c r="Q626" s="93"/>
      <c r="R626" s="93"/>
      <c r="S626" s="93"/>
      <c r="T626" s="93"/>
      <c r="U626" s="93"/>
      <c r="V626" s="93"/>
      <c r="W626" s="93"/>
    </row>
    <row r="627" spans="2:23" s="14" customFormat="1" ht="17.100000000000001" customHeight="1">
      <c r="B627" s="89"/>
      <c r="C627" s="90"/>
      <c r="D627" s="91"/>
      <c r="E627" s="92"/>
      <c r="F627" s="89"/>
      <c r="G627" s="89"/>
      <c r="H627" s="89"/>
      <c r="I627" s="89"/>
      <c r="J627" s="89"/>
      <c r="K627" s="89"/>
      <c r="L627" s="93"/>
      <c r="M627" s="93"/>
      <c r="N627" s="93"/>
      <c r="O627" s="93"/>
      <c r="P627" s="93"/>
      <c r="Q627" s="93"/>
      <c r="R627" s="93"/>
      <c r="S627" s="93"/>
      <c r="T627" s="93"/>
      <c r="U627" s="93"/>
      <c r="V627" s="93"/>
      <c r="W627" s="93"/>
    </row>
    <row r="628" spans="2:23" s="14" customFormat="1" ht="17.100000000000001" customHeight="1">
      <c r="B628" s="89"/>
      <c r="C628" s="90"/>
      <c r="D628" s="91"/>
      <c r="E628" s="92"/>
      <c r="F628" s="89"/>
      <c r="G628" s="89"/>
      <c r="H628" s="89"/>
      <c r="I628" s="89"/>
      <c r="J628" s="89"/>
      <c r="K628" s="89"/>
      <c r="L628" s="93"/>
      <c r="M628" s="93"/>
      <c r="N628" s="93"/>
      <c r="O628" s="93"/>
      <c r="P628" s="93"/>
      <c r="Q628" s="93"/>
      <c r="R628" s="93"/>
      <c r="S628" s="93"/>
      <c r="T628" s="93"/>
      <c r="U628" s="93"/>
      <c r="V628" s="93"/>
      <c r="W628" s="93"/>
    </row>
    <row r="629" spans="2:23" s="14" customFormat="1" ht="17.100000000000001" customHeight="1">
      <c r="B629" s="89"/>
      <c r="C629" s="90"/>
      <c r="D629" s="91"/>
      <c r="E629" s="92"/>
      <c r="F629" s="89"/>
      <c r="G629" s="89"/>
      <c r="H629" s="89"/>
      <c r="I629" s="89"/>
      <c r="J629" s="89"/>
      <c r="K629" s="89"/>
      <c r="L629" s="93"/>
      <c r="M629" s="93"/>
      <c r="N629" s="93"/>
      <c r="O629" s="93"/>
      <c r="P629" s="93"/>
      <c r="Q629" s="93"/>
      <c r="R629" s="93"/>
      <c r="S629" s="93"/>
      <c r="T629" s="93"/>
      <c r="U629" s="93"/>
      <c r="V629" s="93"/>
      <c r="W629" s="93"/>
    </row>
    <row r="630" spans="2:23" s="14" customFormat="1" ht="17.100000000000001" customHeight="1">
      <c r="B630" s="89"/>
      <c r="C630" s="90"/>
      <c r="D630" s="91"/>
      <c r="E630" s="92"/>
      <c r="F630" s="89"/>
      <c r="G630" s="89"/>
      <c r="H630" s="89"/>
      <c r="I630" s="89"/>
      <c r="J630" s="89"/>
      <c r="K630" s="89"/>
      <c r="L630" s="93"/>
      <c r="M630" s="93"/>
      <c r="N630" s="93"/>
      <c r="O630" s="93"/>
      <c r="P630" s="93"/>
      <c r="Q630" s="93"/>
      <c r="R630" s="93"/>
      <c r="S630" s="93"/>
      <c r="T630" s="93"/>
      <c r="U630" s="93"/>
      <c r="V630" s="93"/>
      <c r="W630" s="93"/>
    </row>
    <row r="631" spans="2:23" s="14" customFormat="1" ht="17.100000000000001" customHeight="1">
      <c r="B631" s="89"/>
      <c r="C631" s="90"/>
      <c r="D631" s="91"/>
      <c r="E631" s="92"/>
      <c r="F631" s="89"/>
      <c r="G631" s="89"/>
      <c r="H631" s="89"/>
      <c r="I631" s="89"/>
      <c r="J631" s="89"/>
      <c r="K631" s="89"/>
      <c r="L631" s="93"/>
      <c r="M631" s="93"/>
      <c r="N631" s="93"/>
      <c r="O631" s="93"/>
      <c r="P631" s="93"/>
      <c r="Q631" s="93"/>
      <c r="R631" s="93"/>
      <c r="S631" s="93"/>
      <c r="T631" s="93"/>
      <c r="U631" s="93"/>
      <c r="V631" s="93"/>
      <c r="W631" s="93"/>
    </row>
    <row r="632" spans="2:23" s="14" customFormat="1" ht="17.100000000000001" customHeight="1">
      <c r="B632" s="89"/>
      <c r="C632" s="90"/>
      <c r="D632" s="91"/>
      <c r="E632" s="92"/>
      <c r="F632" s="89"/>
      <c r="G632" s="89"/>
      <c r="H632" s="89"/>
      <c r="I632" s="89"/>
      <c r="J632" s="89"/>
      <c r="K632" s="89"/>
      <c r="L632" s="93"/>
      <c r="M632" s="93"/>
      <c r="N632" s="93"/>
      <c r="O632" s="93"/>
      <c r="P632" s="93"/>
      <c r="Q632" s="93"/>
      <c r="R632" s="93"/>
      <c r="S632" s="93"/>
      <c r="T632" s="93"/>
      <c r="U632" s="93"/>
      <c r="V632" s="93"/>
      <c r="W632" s="93"/>
    </row>
    <row r="633" spans="2:23" s="14" customFormat="1" ht="17.100000000000001" customHeight="1">
      <c r="B633" s="89"/>
      <c r="C633" s="90"/>
      <c r="D633" s="91"/>
      <c r="E633" s="92"/>
      <c r="F633" s="89"/>
      <c r="G633" s="89"/>
      <c r="H633" s="89"/>
      <c r="I633" s="89"/>
      <c r="J633" s="89"/>
      <c r="K633" s="89"/>
      <c r="L633" s="93"/>
      <c r="M633" s="93"/>
      <c r="N633" s="93"/>
      <c r="O633" s="93"/>
      <c r="P633" s="93"/>
      <c r="Q633" s="93"/>
      <c r="R633" s="93"/>
      <c r="S633" s="93"/>
      <c r="T633" s="93"/>
      <c r="U633" s="93"/>
      <c r="V633" s="93"/>
      <c r="W633" s="93"/>
    </row>
    <row r="634" spans="2:23" s="14" customFormat="1" ht="17.100000000000001" customHeight="1">
      <c r="B634" s="89"/>
      <c r="C634" s="90"/>
      <c r="D634" s="91"/>
      <c r="E634" s="92"/>
      <c r="F634" s="89"/>
      <c r="G634" s="89"/>
      <c r="H634" s="89"/>
      <c r="I634" s="89"/>
      <c r="J634" s="89"/>
      <c r="K634" s="89"/>
      <c r="L634" s="93"/>
      <c r="M634" s="93"/>
      <c r="N634" s="93"/>
      <c r="O634" s="93"/>
      <c r="P634" s="93"/>
      <c r="Q634" s="93"/>
      <c r="R634" s="93"/>
      <c r="S634" s="93"/>
      <c r="T634" s="93"/>
      <c r="U634" s="93"/>
      <c r="V634" s="93"/>
      <c r="W634" s="93"/>
    </row>
    <row r="635" spans="2:23" s="14" customFormat="1" ht="17.100000000000001" customHeight="1">
      <c r="B635" s="89"/>
      <c r="C635" s="90"/>
      <c r="D635" s="91"/>
      <c r="E635" s="92"/>
      <c r="F635" s="89"/>
      <c r="G635" s="89"/>
      <c r="H635" s="89"/>
      <c r="I635" s="89"/>
      <c r="J635" s="89"/>
      <c r="K635" s="89"/>
      <c r="L635" s="93"/>
      <c r="M635" s="93"/>
      <c r="N635" s="93"/>
      <c r="O635" s="93"/>
      <c r="P635" s="93"/>
      <c r="Q635" s="93"/>
      <c r="R635" s="93"/>
      <c r="S635" s="93"/>
      <c r="T635" s="93"/>
      <c r="U635" s="93"/>
      <c r="V635" s="93"/>
      <c r="W635" s="93"/>
    </row>
    <row r="636" spans="2:23" s="14" customFormat="1" ht="17.100000000000001" customHeight="1">
      <c r="B636" s="89"/>
      <c r="C636" s="90"/>
      <c r="D636" s="91"/>
      <c r="E636" s="92"/>
      <c r="F636" s="89"/>
      <c r="G636" s="89"/>
      <c r="H636" s="89"/>
      <c r="I636" s="89"/>
      <c r="J636" s="89"/>
      <c r="K636" s="89"/>
      <c r="L636" s="93"/>
      <c r="M636" s="93"/>
      <c r="N636" s="93"/>
      <c r="O636" s="93"/>
      <c r="P636" s="93"/>
      <c r="Q636" s="93"/>
      <c r="R636" s="93"/>
      <c r="S636" s="93"/>
      <c r="T636" s="93"/>
      <c r="U636" s="93"/>
      <c r="V636" s="93"/>
      <c r="W636" s="93"/>
    </row>
    <row r="637" spans="2:23" s="14" customFormat="1" ht="17.100000000000001" customHeight="1">
      <c r="B637" s="89"/>
      <c r="C637" s="90"/>
      <c r="D637" s="91"/>
      <c r="E637" s="92"/>
      <c r="F637" s="89"/>
      <c r="G637" s="89"/>
      <c r="H637" s="89"/>
      <c r="I637" s="89"/>
      <c r="J637" s="89"/>
      <c r="K637" s="89"/>
      <c r="L637" s="93"/>
      <c r="M637" s="93"/>
      <c r="N637" s="93"/>
      <c r="O637" s="93"/>
      <c r="P637" s="93"/>
      <c r="Q637" s="93"/>
      <c r="R637" s="93"/>
      <c r="S637" s="93"/>
      <c r="T637" s="93"/>
      <c r="U637" s="93"/>
      <c r="V637" s="93"/>
      <c r="W637" s="93"/>
    </row>
    <row r="638" spans="2:23" s="14" customFormat="1" ht="17.100000000000001" customHeight="1">
      <c r="B638" s="89"/>
      <c r="C638" s="90"/>
      <c r="D638" s="91"/>
      <c r="E638" s="92"/>
      <c r="F638" s="89"/>
      <c r="G638" s="89"/>
      <c r="H638" s="89"/>
      <c r="I638" s="89"/>
      <c r="J638" s="89"/>
      <c r="K638" s="89"/>
      <c r="L638" s="93"/>
      <c r="M638" s="93"/>
      <c r="N638" s="93"/>
      <c r="O638" s="93"/>
      <c r="P638" s="93"/>
      <c r="Q638" s="93"/>
      <c r="R638" s="93"/>
      <c r="S638" s="93"/>
      <c r="T638" s="93"/>
      <c r="U638" s="93"/>
      <c r="V638" s="93"/>
      <c r="W638" s="93"/>
    </row>
    <row r="639" spans="2:23" s="14" customFormat="1" ht="17.100000000000001" customHeight="1">
      <c r="B639" s="89"/>
      <c r="C639" s="90"/>
      <c r="D639" s="91"/>
      <c r="E639" s="92"/>
      <c r="F639" s="89"/>
      <c r="G639" s="89"/>
      <c r="H639" s="89"/>
      <c r="I639" s="89"/>
      <c r="J639" s="89"/>
      <c r="K639" s="89"/>
      <c r="L639" s="93"/>
      <c r="M639" s="93"/>
      <c r="N639" s="93"/>
      <c r="O639" s="93"/>
      <c r="P639" s="93"/>
      <c r="Q639" s="93"/>
      <c r="R639" s="93"/>
      <c r="S639" s="93"/>
      <c r="T639" s="93"/>
      <c r="U639" s="93"/>
      <c r="V639" s="93"/>
      <c r="W639" s="93"/>
    </row>
    <row r="640" spans="2:23" s="14" customFormat="1" ht="17.100000000000001" customHeight="1">
      <c r="B640" s="89"/>
      <c r="C640" s="90"/>
      <c r="D640" s="91"/>
      <c r="E640" s="92"/>
      <c r="F640" s="89"/>
      <c r="G640" s="89"/>
      <c r="H640" s="89"/>
      <c r="I640" s="89"/>
      <c r="J640" s="89"/>
      <c r="K640" s="89"/>
      <c r="L640" s="93"/>
      <c r="M640" s="93"/>
      <c r="N640" s="93"/>
      <c r="O640" s="93"/>
      <c r="P640" s="93"/>
      <c r="Q640" s="93"/>
      <c r="R640" s="93"/>
      <c r="S640" s="93"/>
      <c r="T640" s="93"/>
      <c r="U640" s="93"/>
      <c r="V640" s="93"/>
      <c r="W640" s="93"/>
    </row>
    <row r="641" spans="2:23" s="14" customFormat="1" ht="17.100000000000001" customHeight="1">
      <c r="B641" s="89"/>
      <c r="C641" s="90"/>
      <c r="D641" s="91"/>
      <c r="E641" s="92"/>
      <c r="F641" s="89"/>
      <c r="G641" s="89"/>
      <c r="H641" s="89"/>
      <c r="I641" s="89"/>
      <c r="J641" s="89"/>
      <c r="K641" s="89"/>
      <c r="L641" s="93"/>
      <c r="M641" s="93"/>
      <c r="N641" s="93"/>
      <c r="O641" s="93"/>
      <c r="P641" s="93"/>
      <c r="Q641" s="93"/>
      <c r="R641" s="93"/>
      <c r="S641" s="93"/>
      <c r="T641" s="93"/>
      <c r="U641" s="93"/>
      <c r="V641" s="93"/>
      <c r="W641" s="93"/>
    </row>
    <row r="642" spans="2:23" s="14" customFormat="1" ht="17.100000000000001" customHeight="1">
      <c r="B642" s="89"/>
      <c r="C642" s="90"/>
      <c r="D642" s="91"/>
      <c r="E642" s="92"/>
      <c r="F642" s="89"/>
      <c r="G642" s="89"/>
      <c r="H642" s="89"/>
      <c r="I642" s="89"/>
      <c r="J642" s="89"/>
      <c r="K642" s="89"/>
      <c r="L642" s="93"/>
      <c r="M642" s="93"/>
      <c r="N642" s="93"/>
      <c r="O642" s="93"/>
      <c r="P642" s="93"/>
      <c r="Q642" s="93"/>
      <c r="R642" s="93"/>
      <c r="S642" s="93"/>
      <c r="T642" s="93"/>
      <c r="U642" s="93"/>
      <c r="V642" s="93"/>
      <c r="W642" s="93"/>
    </row>
    <row r="643" spans="2:23" s="14" customFormat="1" ht="17.100000000000001" customHeight="1">
      <c r="B643" s="89"/>
      <c r="C643" s="90"/>
      <c r="D643" s="91"/>
      <c r="E643" s="92"/>
      <c r="F643" s="89"/>
      <c r="G643" s="89"/>
      <c r="H643" s="89"/>
      <c r="I643" s="89"/>
      <c r="J643" s="89"/>
      <c r="K643" s="89"/>
      <c r="L643" s="93"/>
      <c r="M643" s="93"/>
      <c r="N643" s="93"/>
      <c r="O643" s="93"/>
      <c r="P643" s="93"/>
      <c r="Q643" s="93"/>
      <c r="R643" s="93"/>
      <c r="S643" s="93"/>
      <c r="T643" s="93"/>
      <c r="U643" s="93"/>
      <c r="V643" s="93"/>
      <c r="W643" s="93"/>
    </row>
    <row r="644" spans="2:23" s="14" customFormat="1" ht="17.100000000000001" customHeight="1">
      <c r="B644" s="89"/>
      <c r="C644" s="90"/>
      <c r="D644" s="91"/>
      <c r="E644" s="92"/>
      <c r="F644" s="89"/>
      <c r="G644" s="89"/>
      <c r="H644" s="89"/>
      <c r="I644" s="89"/>
      <c r="J644" s="89"/>
      <c r="K644" s="89"/>
      <c r="L644" s="93"/>
      <c r="M644" s="93"/>
      <c r="N644" s="93"/>
      <c r="O644" s="93"/>
      <c r="P644" s="93"/>
      <c r="Q644" s="93"/>
      <c r="R644" s="93"/>
      <c r="S644" s="93"/>
      <c r="T644" s="93"/>
      <c r="U644" s="93"/>
      <c r="V644" s="93"/>
      <c r="W644" s="93"/>
    </row>
    <row r="645" spans="2:23" s="14" customFormat="1" ht="17.100000000000001" customHeight="1">
      <c r="B645" s="89"/>
      <c r="C645" s="90"/>
      <c r="D645" s="91"/>
      <c r="E645" s="92"/>
      <c r="F645" s="89"/>
      <c r="G645" s="89"/>
      <c r="H645" s="89"/>
      <c r="I645" s="89"/>
      <c r="J645" s="89"/>
      <c r="K645" s="89"/>
      <c r="L645" s="93"/>
      <c r="M645" s="93"/>
      <c r="N645" s="93"/>
      <c r="O645" s="93"/>
      <c r="P645" s="93"/>
      <c r="Q645" s="93"/>
      <c r="R645" s="93"/>
      <c r="S645" s="93"/>
      <c r="T645" s="93"/>
      <c r="U645" s="93"/>
      <c r="V645" s="93"/>
      <c r="W645" s="93"/>
    </row>
    <row r="646" spans="2:23" s="14" customFormat="1" ht="17.100000000000001" customHeight="1">
      <c r="B646" s="89"/>
      <c r="C646" s="90"/>
      <c r="D646" s="91"/>
      <c r="E646" s="92"/>
      <c r="F646" s="89"/>
      <c r="G646" s="89"/>
      <c r="H646" s="89"/>
      <c r="I646" s="89"/>
      <c r="J646" s="89"/>
      <c r="K646" s="89"/>
      <c r="L646" s="93"/>
      <c r="M646" s="93"/>
      <c r="N646" s="93"/>
      <c r="O646" s="93"/>
      <c r="P646" s="93"/>
      <c r="Q646" s="93"/>
      <c r="R646" s="93"/>
      <c r="S646" s="93"/>
      <c r="T646" s="93"/>
      <c r="U646" s="93"/>
      <c r="V646" s="93"/>
      <c r="W646" s="93"/>
    </row>
    <row r="647" spans="2:23" s="14" customFormat="1" ht="17.100000000000001" customHeight="1">
      <c r="B647" s="89"/>
      <c r="C647" s="90"/>
      <c r="D647" s="91"/>
      <c r="E647" s="92"/>
      <c r="F647" s="89"/>
      <c r="G647" s="89"/>
      <c r="H647" s="89"/>
      <c r="I647" s="89"/>
      <c r="J647" s="89"/>
      <c r="K647" s="89"/>
      <c r="L647" s="93"/>
      <c r="M647" s="93"/>
      <c r="N647" s="93"/>
      <c r="O647" s="93"/>
      <c r="P647" s="93"/>
      <c r="Q647" s="93"/>
      <c r="R647" s="93"/>
      <c r="S647" s="93"/>
      <c r="T647" s="93"/>
      <c r="U647" s="93"/>
      <c r="V647" s="93"/>
      <c r="W647" s="93"/>
    </row>
    <row r="648" spans="2:23" s="14" customFormat="1" ht="17.100000000000001" customHeight="1">
      <c r="B648" s="89"/>
      <c r="C648" s="90"/>
      <c r="D648" s="91"/>
      <c r="E648" s="92"/>
      <c r="F648" s="89"/>
      <c r="G648" s="89"/>
      <c r="H648" s="89"/>
      <c r="I648" s="89"/>
      <c r="J648" s="89"/>
      <c r="K648" s="89"/>
      <c r="L648" s="93"/>
      <c r="M648" s="93"/>
      <c r="N648" s="93"/>
      <c r="O648" s="93"/>
      <c r="P648" s="93"/>
      <c r="Q648" s="93"/>
      <c r="R648" s="93"/>
      <c r="S648" s="93"/>
      <c r="T648" s="93"/>
      <c r="U648" s="93"/>
      <c r="V648" s="93"/>
      <c r="W648" s="93"/>
    </row>
    <row r="649" spans="2:23" s="14" customFormat="1" ht="17.100000000000001" customHeight="1">
      <c r="B649" s="89"/>
      <c r="C649" s="90"/>
      <c r="D649" s="91"/>
      <c r="E649" s="92"/>
      <c r="F649" s="89"/>
      <c r="G649" s="89"/>
      <c r="H649" s="89"/>
      <c r="I649" s="89"/>
      <c r="J649" s="89"/>
      <c r="K649" s="89"/>
      <c r="L649" s="93"/>
      <c r="M649" s="93"/>
      <c r="N649" s="93"/>
      <c r="O649" s="93"/>
      <c r="P649" s="93"/>
      <c r="Q649" s="93"/>
      <c r="R649" s="93"/>
      <c r="S649" s="93"/>
      <c r="T649" s="93"/>
      <c r="U649" s="93"/>
      <c r="V649" s="93"/>
      <c r="W649" s="93"/>
    </row>
    <row r="650" spans="2:23" s="14" customFormat="1" ht="17.100000000000001" customHeight="1">
      <c r="B650" s="89"/>
      <c r="C650" s="90"/>
      <c r="D650" s="91"/>
      <c r="E650" s="92"/>
      <c r="F650" s="89"/>
      <c r="G650" s="89"/>
      <c r="H650" s="89"/>
      <c r="I650" s="89"/>
      <c r="J650" s="89"/>
      <c r="K650" s="89"/>
      <c r="L650" s="93"/>
      <c r="M650" s="93"/>
      <c r="N650" s="93"/>
      <c r="O650" s="93"/>
      <c r="P650" s="93"/>
      <c r="Q650" s="93"/>
      <c r="R650" s="93"/>
      <c r="S650" s="93"/>
      <c r="T650" s="93"/>
      <c r="U650" s="93"/>
      <c r="V650" s="93"/>
      <c r="W650" s="93"/>
    </row>
    <row r="651" spans="2:23" s="14" customFormat="1" ht="17.100000000000001" customHeight="1">
      <c r="B651" s="89"/>
      <c r="C651" s="90"/>
      <c r="D651" s="91"/>
      <c r="E651" s="92"/>
      <c r="F651" s="89"/>
      <c r="G651" s="89"/>
      <c r="H651" s="89"/>
      <c r="I651" s="89"/>
      <c r="J651" s="89"/>
      <c r="K651" s="89"/>
      <c r="L651" s="93"/>
      <c r="M651" s="93"/>
      <c r="N651" s="93"/>
      <c r="O651" s="93"/>
      <c r="P651" s="93"/>
      <c r="Q651" s="93"/>
      <c r="R651" s="93"/>
      <c r="S651" s="93"/>
      <c r="T651" s="93"/>
      <c r="U651" s="93"/>
      <c r="V651" s="93"/>
      <c r="W651" s="93"/>
    </row>
    <row r="652" spans="2:23" s="14" customFormat="1" ht="17.100000000000001" customHeight="1">
      <c r="B652" s="89"/>
      <c r="C652" s="90"/>
      <c r="D652" s="91"/>
      <c r="E652" s="92"/>
      <c r="F652" s="89"/>
      <c r="G652" s="89"/>
      <c r="H652" s="89"/>
      <c r="I652" s="89"/>
      <c r="J652" s="89"/>
      <c r="K652" s="89"/>
      <c r="L652" s="93"/>
      <c r="M652" s="93"/>
      <c r="N652" s="93"/>
      <c r="O652" s="93"/>
      <c r="P652" s="93"/>
      <c r="Q652" s="93"/>
      <c r="R652" s="93"/>
      <c r="S652" s="93"/>
      <c r="T652" s="93"/>
      <c r="U652" s="93"/>
      <c r="V652" s="93"/>
      <c r="W652" s="93"/>
    </row>
    <row r="653" spans="2:23" s="14" customFormat="1" ht="17.100000000000001" customHeight="1">
      <c r="B653" s="89"/>
      <c r="C653" s="90"/>
      <c r="D653" s="91"/>
      <c r="E653" s="92"/>
      <c r="F653" s="89"/>
      <c r="G653" s="89"/>
      <c r="H653" s="89"/>
      <c r="I653" s="89"/>
      <c r="J653" s="89"/>
      <c r="K653" s="89"/>
      <c r="L653" s="93"/>
      <c r="M653" s="93"/>
      <c r="N653" s="93"/>
      <c r="O653" s="93"/>
      <c r="P653" s="93"/>
      <c r="Q653" s="93"/>
      <c r="R653" s="93"/>
      <c r="S653" s="93"/>
      <c r="T653" s="93"/>
      <c r="U653" s="93"/>
      <c r="V653" s="93"/>
      <c r="W653" s="93"/>
    </row>
    <row r="654" spans="2:23" s="14" customFormat="1" ht="17.100000000000001" customHeight="1">
      <c r="B654" s="89"/>
      <c r="C654" s="90"/>
      <c r="D654" s="91"/>
      <c r="E654" s="92"/>
      <c r="F654" s="89"/>
      <c r="G654" s="89"/>
      <c r="H654" s="89"/>
      <c r="I654" s="89"/>
      <c r="J654" s="89"/>
      <c r="K654" s="89"/>
      <c r="L654" s="93"/>
      <c r="M654" s="93"/>
      <c r="N654" s="93"/>
      <c r="O654" s="93"/>
      <c r="P654" s="93"/>
      <c r="Q654" s="93"/>
      <c r="R654" s="93"/>
      <c r="S654" s="93"/>
      <c r="T654" s="93"/>
      <c r="U654" s="93"/>
      <c r="V654" s="93"/>
      <c r="W654" s="93"/>
    </row>
    <row r="655" spans="2:23" s="14" customFormat="1" ht="17.100000000000001" customHeight="1">
      <c r="B655" s="89"/>
      <c r="C655" s="90"/>
      <c r="D655" s="91"/>
      <c r="E655" s="92"/>
      <c r="F655" s="89"/>
      <c r="G655" s="89"/>
      <c r="H655" s="89"/>
      <c r="I655" s="89"/>
      <c r="J655" s="89"/>
      <c r="K655" s="89"/>
      <c r="L655" s="93"/>
      <c r="M655" s="93"/>
      <c r="N655" s="93"/>
      <c r="O655" s="93"/>
      <c r="P655" s="93"/>
      <c r="Q655" s="93"/>
      <c r="R655" s="93"/>
      <c r="S655" s="93"/>
      <c r="T655" s="93"/>
      <c r="U655" s="93"/>
      <c r="V655" s="93"/>
      <c r="W655" s="93"/>
    </row>
    <row r="656" spans="2:23" s="14" customFormat="1" ht="17.100000000000001" customHeight="1">
      <c r="B656" s="89"/>
      <c r="C656" s="90"/>
      <c r="D656" s="91"/>
      <c r="E656" s="92"/>
      <c r="F656" s="89"/>
      <c r="G656" s="89"/>
      <c r="H656" s="89"/>
      <c r="I656" s="89"/>
      <c r="J656" s="89"/>
      <c r="K656" s="89"/>
      <c r="L656" s="93"/>
      <c r="M656" s="93"/>
      <c r="N656" s="93"/>
      <c r="O656" s="93"/>
      <c r="P656" s="93"/>
      <c r="Q656" s="93"/>
      <c r="R656" s="93"/>
      <c r="S656" s="93"/>
      <c r="T656" s="93"/>
      <c r="U656" s="93"/>
      <c r="V656" s="93"/>
      <c r="W656" s="93"/>
    </row>
    <row r="657" spans="2:23" s="14" customFormat="1" ht="17.100000000000001" customHeight="1">
      <c r="B657" s="89"/>
      <c r="C657" s="90"/>
      <c r="D657" s="91"/>
      <c r="E657" s="92"/>
      <c r="F657" s="89"/>
      <c r="G657" s="89"/>
      <c r="H657" s="89"/>
      <c r="I657" s="89"/>
      <c r="J657" s="89"/>
      <c r="K657" s="89"/>
      <c r="L657" s="93"/>
      <c r="M657" s="93"/>
      <c r="N657" s="93"/>
      <c r="O657" s="93"/>
      <c r="P657" s="93"/>
      <c r="Q657" s="93"/>
      <c r="R657" s="93"/>
      <c r="S657" s="93"/>
      <c r="T657" s="93"/>
      <c r="U657" s="93"/>
      <c r="V657" s="93"/>
      <c r="W657" s="93"/>
    </row>
    <row r="658" spans="2:23" s="14" customFormat="1" ht="17.100000000000001" customHeight="1">
      <c r="B658" s="89"/>
      <c r="C658" s="90"/>
      <c r="D658" s="91"/>
      <c r="E658" s="92"/>
      <c r="F658" s="89"/>
      <c r="G658" s="89"/>
      <c r="H658" s="89"/>
      <c r="I658" s="89"/>
      <c r="J658" s="89"/>
      <c r="K658" s="89"/>
      <c r="L658" s="93"/>
      <c r="M658" s="93"/>
      <c r="N658" s="93"/>
      <c r="O658" s="93"/>
      <c r="P658" s="93"/>
      <c r="Q658" s="93"/>
      <c r="R658" s="93"/>
      <c r="S658" s="93"/>
      <c r="T658" s="93"/>
      <c r="U658" s="93"/>
      <c r="V658" s="93"/>
      <c r="W658" s="93"/>
    </row>
    <row r="659" spans="2:23" s="14" customFormat="1" ht="17.100000000000001" customHeight="1">
      <c r="B659" s="89"/>
      <c r="C659" s="90"/>
      <c r="D659" s="91"/>
      <c r="E659" s="92"/>
      <c r="F659" s="89"/>
      <c r="G659" s="89"/>
      <c r="H659" s="89"/>
      <c r="I659" s="89"/>
      <c r="J659" s="89"/>
      <c r="K659" s="89"/>
      <c r="L659" s="93"/>
      <c r="M659" s="93"/>
      <c r="N659" s="93"/>
      <c r="O659" s="93"/>
      <c r="P659" s="93"/>
      <c r="Q659" s="93"/>
      <c r="R659" s="93"/>
      <c r="S659" s="93"/>
      <c r="T659" s="93"/>
      <c r="U659" s="93"/>
      <c r="V659" s="93"/>
      <c r="W659" s="93"/>
    </row>
    <row r="660" spans="2:23" s="14" customFormat="1" ht="17.100000000000001" customHeight="1">
      <c r="B660" s="89"/>
      <c r="C660" s="90"/>
      <c r="D660" s="91"/>
      <c r="E660" s="92"/>
      <c r="F660" s="89"/>
      <c r="G660" s="89"/>
      <c r="H660" s="89"/>
      <c r="I660" s="89"/>
      <c r="J660" s="89"/>
      <c r="K660" s="89"/>
      <c r="L660" s="93"/>
      <c r="M660" s="93"/>
      <c r="N660" s="93"/>
      <c r="O660" s="93"/>
      <c r="P660" s="93"/>
      <c r="Q660" s="93"/>
      <c r="R660" s="93"/>
      <c r="S660" s="93"/>
      <c r="T660" s="93"/>
      <c r="U660" s="93"/>
      <c r="V660" s="93"/>
      <c r="W660" s="93"/>
    </row>
    <row r="661" spans="2:23" s="14" customFormat="1" ht="17.100000000000001" customHeight="1">
      <c r="B661" s="89"/>
      <c r="C661" s="90"/>
      <c r="D661" s="91"/>
      <c r="E661" s="92"/>
      <c r="F661" s="89"/>
      <c r="G661" s="89"/>
      <c r="H661" s="89"/>
      <c r="I661" s="89"/>
      <c r="J661" s="89"/>
      <c r="K661" s="89"/>
      <c r="L661" s="93"/>
      <c r="M661" s="93"/>
      <c r="N661" s="93"/>
      <c r="O661" s="93"/>
      <c r="P661" s="93"/>
      <c r="Q661" s="93"/>
      <c r="R661" s="93"/>
      <c r="S661" s="93"/>
      <c r="T661" s="93"/>
      <c r="U661" s="93"/>
      <c r="V661" s="93"/>
      <c r="W661" s="93"/>
    </row>
    <row r="662" spans="2:23" s="14" customFormat="1" ht="17.100000000000001" customHeight="1">
      <c r="B662" s="89"/>
      <c r="C662" s="90"/>
      <c r="D662" s="91"/>
      <c r="E662" s="92"/>
      <c r="F662" s="89"/>
      <c r="G662" s="89"/>
      <c r="H662" s="89"/>
      <c r="I662" s="89"/>
      <c r="J662" s="89"/>
      <c r="K662" s="89"/>
      <c r="L662" s="93"/>
      <c r="M662" s="93"/>
      <c r="N662" s="93"/>
      <c r="O662" s="93"/>
      <c r="P662" s="93"/>
      <c r="Q662" s="93"/>
      <c r="R662" s="93"/>
      <c r="S662" s="93"/>
      <c r="T662" s="93"/>
      <c r="U662" s="93"/>
      <c r="V662" s="93"/>
      <c r="W662" s="93"/>
    </row>
    <row r="663" spans="2:23" s="14" customFormat="1" ht="17.100000000000001" customHeight="1">
      <c r="B663" s="89"/>
      <c r="C663" s="90"/>
      <c r="D663" s="91"/>
      <c r="E663" s="92"/>
      <c r="F663" s="89"/>
      <c r="G663" s="89"/>
      <c r="H663" s="89"/>
      <c r="I663" s="89"/>
      <c r="J663" s="89"/>
      <c r="K663" s="89"/>
      <c r="L663" s="93"/>
      <c r="M663" s="93"/>
      <c r="N663" s="93"/>
      <c r="O663" s="93"/>
      <c r="P663" s="93"/>
      <c r="Q663" s="93"/>
      <c r="R663" s="93"/>
      <c r="S663" s="93"/>
      <c r="T663" s="93"/>
      <c r="U663" s="93"/>
      <c r="V663" s="93"/>
      <c r="W663" s="93"/>
    </row>
    <row r="664" spans="2:23" s="14" customFormat="1" ht="17.100000000000001" customHeight="1">
      <c r="B664" s="89"/>
      <c r="C664" s="90"/>
      <c r="D664" s="91"/>
      <c r="E664" s="92"/>
      <c r="F664" s="89"/>
      <c r="G664" s="89"/>
      <c r="H664" s="89"/>
      <c r="I664" s="89"/>
      <c r="J664" s="89"/>
      <c r="K664" s="89"/>
      <c r="L664" s="93"/>
      <c r="M664" s="93"/>
      <c r="N664" s="93"/>
      <c r="O664" s="93"/>
      <c r="P664" s="93"/>
      <c r="Q664" s="93"/>
      <c r="R664" s="93"/>
      <c r="S664" s="93"/>
      <c r="T664" s="93"/>
      <c r="U664" s="93"/>
      <c r="V664" s="93"/>
      <c r="W664" s="93"/>
    </row>
    <row r="665" spans="2:23" s="14" customFormat="1" ht="17.100000000000001" customHeight="1">
      <c r="B665" s="89"/>
      <c r="C665" s="90"/>
      <c r="D665" s="91"/>
      <c r="E665" s="92"/>
      <c r="F665" s="89"/>
      <c r="G665" s="89"/>
      <c r="H665" s="89"/>
      <c r="I665" s="89"/>
      <c r="J665" s="89"/>
      <c r="K665" s="89"/>
      <c r="L665" s="93"/>
      <c r="M665" s="93"/>
      <c r="N665" s="93"/>
      <c r="O665" s="93"/>
      <c r="P665" s="93"/>
      <c r="Q665" s="93"/>
      <c r="R665" s="93"/>
      <c r="S665" s="93"/>
      <c r="T665" s="93"/>
      <c r="U665" s="93"/>
      <c r="V665" s="93"/>
      <c r="W665" s="93"/>
    </row>
    <row r="666" spans="2:23" s="14" customFormat="1" ht="17.100000000000001" customHeight="1">
      <c r="B666" s="89"/>
      <c r="C666" s="90"/>
      <c r="D666" s="91"/>
      <c r="E666" s="92"/>
      <c r="F666" s="89"/>
      <c r="G666" s="89"/>
      <c r="H666" s="89"/>
      <c r="I666" s="89"/>
      <c r="J666" s="89"/>
      <c r="K666" s="89"/>
      <c r="L666" s="93"/>
      <c r="M666" s="93"/>
      <c r="N666" s="93"/>
      <c r="O666" s="93"/>
      <c r="P666" s="93"/>
      <c r="Q666" s="93"/>
      <c r="R666" s="93"/>
      <c r="S666" s="93"/>
      <c r="T666" s="93"/>
      <c r="U666" s="93"/>
      <c r="V666" s="93"/>
      <c r="W666" s="93"/>
    </row>
    <row r="667" spans="2:23" s="14" customFormat="1" ht="17.100000000000001" customHeight="1">
      <c r="B667" s="89"/>
      <c r="C667" s="90"/>
      <c r="D667" s="91"/>
      <c r="E667" s="92"/>
      <c r="F667" s="89"/>
      <c r="G667" s="89"/>
      <c r="H667" s="89"/>
      <c r="I667" s="89"/>
      <c r="J667" s="89"/>
      <c r="K667" s="89"/>
      <c r="L667" s="93"/>
      <c r="M667" s="93"/>
      <c r="N667" s="93"/>
      <c r="O667" s="93"/>
      <c r="P667" s="93"/>
      <c r="Q667" s="93"/>
      <c r="R667" s="93"/>
      <c r="S667" s="93"/>
      <c r="T667" s="93"/>
      <c r="U667" s="93"/>
      <c r="V667" s="93"/>
      <c r="W667" s="93"/>
    </row>
    <row r="668" spans="2:23" s="14" customFormat="1" ht="17.100000000000001" customHeight="1">
      <c r="B668" s="89"/>
      <c r="C668" s="90"/>
      <c r="D668" s="91"/>
      <c r="E668" s="92"/>
      <c r="F668" s="89"/>
      <c r="G668" s="89"/>
      <c r="H668" s="89"/>
      <c r="I668" s="89"/>
      <c r="J668" s="89"/>
      <c r="K668" s="89"/>
      <c r="L668" s="93"/>
      <c r="M668" s="93"/>
      <c r="N668" s="93"/>
      <c r="O668" s="93"/>
      <c r="P668" s="93"/>
      <c r="Q668" s="93"/>
      <c r="R668" s="93"/>
      <c r="S668" s="93"/>
      <c r="T668" s="93"/>
      <c r="U668" s="93"/>
      <c r="V668" s="93"/>
      <c r="W668" s="93"/>
    </row>
    <row r="669" spans="2:23" s="14" customFormat="1" ht="17.100000000000001" customHeight="1">
      <c r="B669" s="89"/>
      <c r="C669" s="90"/>
      <c r="D669" s="91"/>
      <c r="E669" s="92"/>
      <c r="F669" s="89"/>
      <c r="G669" s="89"/>
      <c r="H669" s="89"/>
      <c r="I669" s="89"/>
      <c r="J669" s="89"/>
      <c r="K669" s="89"/>
      <c r="L669" s="93"/>
      <c r="M669" s="93"/>
      <c r="N669" s="93"/>
      <c r="O669" s="93"/>
      <c r="P669" s="93"/>
      <c r="Q669" s="93"/>
      <c r="R669" s="93"/>
      <c r="S669" s="93"/>
      <c r="T669" s="93"/>
      <c r="U669" s="93"/>
      <c r="V669" s="93"/>
      <c r="W669" s="93"/>
    </row>
    <row r="670" spans="2:23" s="14" customFormat="1" ht="17.100000000000001" customHeight="1">
      <c r="B670" s="89"/>
      <c r="C670" s="90"/>
      <c r="D670" s="91"/>
      <c r="E670" s="92"/>
      <c r="F670" s="89"/>
      <c r="G670" s="89"/>
      <c r="H670" s="89"/>
      <c r="I670" s="89"/>
      <c r="J670" s="89"/>
      <c r="K670" s="89"/>
      <c r="L670" s="93"/>
      <c r="M670" s="93"/>
      <c r="N670" s="93"/>
      <c r="O670" s="93"/>
      <c r="P670" s="93"/>
      <c r="Q670" s="93"/>
      <c r="R670" s="93"/>
      <c r="S670" s="93"/>
      <c r="T670" s="93"/>
      <c r="U670" s="93"/>
      <c r="V670" s="93"/>
      <c r="W670" s="93"/>
    </row>
    <row r="671" spans="2:23" s="14" customFormat="1" ht="17.100000000000001" customHeight="1">
      <c r="B671" s="89"/>
      <c r="C671" s="90"/>
      <c r="D671" s="91"/>
      <c r="E671" s="92"/>
      <c r="F671" s="89"/>
      <c r="G671" s="89"/>
      <c r="H671" s="89"/>
      <c r="I671" s="89"/>
      <c r="J671" s="89"/>
      <c r="K671" s="89"/>
      <c r="L671" s="93"/>
      <c r="M671" s="93"/>
      <c r="N671" s="93"/>
      <c r="O671" s="93"/>
      <c r="P671" s="93"/>
      <c r="Q671" s="93"/>
      <c r="R671" s="93"/>
      <c r="S671" s="93"/>
      <c r="T671" s="93"/>
      <c r="U671" s="93"/>
      <c r="V671" s="93"/>
      <c r="W671" s="93"/>
    </row>
    <row r="672" spans="2:23" s="14" customFormat="1" ht="17.100000000000001" customHeight="1">
      <c r="B672" s="89"/>
      <c r="C672" s="90"/>
      <c r="D672" s="91"/>
      <c r="E672" s="92"/>
      <c r="F672" s="89"/>
      <c r="G672" s="89"/>
      <c r="H672" s="89"/>
      <c r="I672" s="89"/>
      <c r="J672" s="89"/>
      <c r="K672" s="89"/>
      <c r="L672" s="93"/>
      <c r="M672" s="93"/>
      <c r="N672" s="93"/>
      <c r="O672" s="93"/>
      <c r="P672" s="93"/>
      <c r="Q672" s="93"/>
      <c r="R672" s="93"/>
      <c r="S672" s="93"/>
      <c r="T672" s="93"/>
      <c r="U672" s="93"/>
      <c r="V672" s="93"/>
      <c r="W672" s="93"/>
    </row>
    <row r="673" spans="2:23" s="14" customFormat="1" ht="17.100000000000001" customHeight="1">
      <c r="B673" s="89"/>
      <c r="C673" s="90"/>
      <c r="D673" s="91"/>
      <c r="E673" s="92"/>
      <c r="F673" s="89"/>
      <c r="G673" s="89"/>
      <c r="H673" s="89"/>
      <c r="I673" s="89"/>
      <c r="J673" s="89"/>
      <c r="K673" s="89"/>
      <c r="L673" s="93"/>
      <c r="M673" s="93"/>
      <c r="N673" s="93"/>
      <c r="O673" s="93"/>
      <c r="P673" s="93"/>
      <c r="Q673" s="93"/>
      <c r="R673" s="93"/>
      <c r="S673" s="93"/>
      <c r="T673" s="93"/>
      <c r="U673" s="93"/>
      <c r="V673" s="93"/>
      <c r="W673" s="93"/>
    </row>
    <row r="674" spans="2:23" s="14" customFormat="1" ht="17.100000000000001" customHeight="1">
      <c r="B674" s="89"/>
      <c r="C674" s="90"/>
      <c r="D674" s="91"/>
      <c r="E674" s="92"/>
      <c r="F674" s="89"/>
      <c r="G674" s="89"/>
      <c r="H674" s="89"/>
      <c r="I674" s="89"/>
      <c r="J674" s="89"/>
      <c r="K674" s="89"/>
      <c r="L674" s="93"/>
      <c r="M674" s="93"/>
      <c r="N674" s="93"/>
      <c r="O674" s="93"/>
      <c r="P674" s="93"/>
      <c r="Q674" s="93"/>
      <c r="R674" s="93"/>
      <c r="S674" s="93"/>
      <c r="T674" s="93"/>
      <c r="U674" s="93"/>
      <c r="V674" s="93"/>
      <c r="W674" s="93"/>
    </row>
    <row r="675" spans="2:23" s="14" customFormat="1" ht="17.100000000000001" customHeight="1">
      <c r="B675" s="89"/>
      <c r="C675" s="90"/>
      <c r="D675" s="91"/>
      <c r="E675" s="92"/>
      <c r="F675" s="89"/>
      <c r="G675" s="89"/>
      <c r="H675" s="89"/>
      <c r="I675" s="89"/>
      <c r="J675" s="89"/>
      <c r="K675" s="89"/>
      <c r="L675" s="93"/>
      <c r="M675" s="93"/>
      <c r="N675" s="93"/>
      <c r="O675" s="93"/>
      <c r="P675" s="93"/>
      <c r="Q675" s="93"/>
      <c r="R675" s="93"/>
      <c r="S675" s="93"/>
      <c r="T675" s="93"/>
      <c r="U675" s="93"/>
      <c r="V675" s="93"/>
      <c r="W675" s="93"/>
    </row>
    <row r="676" spans="2:23" s="14" customFormat="1" ht="17.100000000000001" customHeight="1">
      <c r="B676" s="89"/>
      <c r="C676" s="90"/>
      <c r="D676" s="91"/>
      <c r="E676" s="92"/>
      <c r="F676" s="89"/>
      <c r="G676" s="89"/>
      <c r="H676" s="89"/>
      <c r="I676" s="89"/>
      <c r="J676" s="89"/>
      <c r="K676" s="89"/>
      <c r="L676" s="93"/>
      <c r="M676" s="93"/>
      <c r="N676" s="93"/>
      <c r="O676" s="93"/>
      <c r="P676" s="93"/>
      <c r="Q676" s="93"/>
      <c r="R676" s="93"/>
      <c r="S676" s="93"/>
      <c r="T676" s="93"/>
      <c r="U676" s="93"/>
      <c r="V676" s="93"/>
      <c r="W676" s="93"/>
    </row>
    <row r="677" spans="2:23" s="14" customFormat="1" ht="17.100000000000001" customHeight="1">
      <c r="B677" s="89"/>
      <c r="C677" s="90"/>
      <c r="D677" s="91"/>
      <c r="E677" s="92"/>
      <c r="F677" s="89"/>
      <c r="G677" s="89"/>
      <c r="H677" s="89"/>
      <c r="I677" s="89"/>
      <c r="J677" s="89"/>
      <c r="K677" s="89"/>
      <c r="L677" s="93"/>
      <c r="M677" s="93"/>
      <c r="N677" s="93"/>
      <c r="O677" s="93"/>
      <c r="P677" s="93"/>
      <c r="Q677" s="93"/>
      <c r="R677" s="93"/>
      <c r="S677" s="93"/>
      <c r="T677" s="93"/>
      <c r="U677" s="93"/>
      <c r="V677" s="93"/>
      <c r="W677" s="93"/>
    </row>
    <row r="678" spans="2:23" s="14" customFormat="1" ht="17.100000000000001" customHeight="1">
      <c r="B678" s="89"/>
      <c r="C678" s="90"/>
      <c r="D678" s="91"/>
      <c r="E678" s="92"/>
      <c r="F678" s="89"/>
      <c r="G678" s="89"/>
      <c r="H678" s="89"/>
      <c r="I678" s="89"/>
      <c r="J678" s="89"/>
      <c r="K678" s="89"/>
      <c r="L678" s="93"/>
      <c r="M678" s="93"/>
      <c r="N678" s="93"/>
      <c r="O678" s="93"/>
      <c r="P678" s="93"/>
      <c r="Q678" s="93"/>
      <c r="R678" s="93"/>
      <c r="S678" s="93"/>
      <c r="T678" s="93"/>
      <c r="U678" s="93"/>
      <c r="V678" s="93"/>
      <c r="W678" s="93"/>
    </row>
    <row r="679" spans="2:23" s="14" customFormat="1" ht="17.100000000000001" customHeight="1">
      <c r="B679" s="89"/>
      <c r="C679" s="90"/>
      <c r="D679" s="91"/>
      <c r="E679" s="92"/>
      <c r="F679" s="89"/>
      <c r="G679" s="89"/>
      <c r="H679" s="89"/>
      <c r="I679" s="89"/>
      <c r="J679" s="89"/>
      <c r="K679" s="89"/>
      <c r="L679" s="93"/>
      <c r="M679" s="93"/>
      <c r="N679" s="93"/>
      <c r="O679" s="93"/>
      <c r="P679" s="93"/>
      <c r="Q679" s="93"/>
      <c r="R679" s="93"/>
      <c r="S679" s="93"/>
      <c r="T679" s="93"/>
      <c r="U679" s="93"/>
      <c r="V679" s="93"/>
      <c r="W679" s="93"/>
    </row>
    <row r="680" spans="2:23" s="14" customFormat="1" ht="17.100000000000001" customHeight="1">
      <c r="B680" s="89"/>
      <c r="C680" s="90"/>
      <c r="D680" s="91"/>
      <c r="E680" s="92"/>
      <c r="F680" s="89"/>
      <c r="G680" s="89"/>
      <c r="H680" s="89"/>
      <c r="I680" s="89"/>
      <c r="J680" s="89"/>
      <c r="K680" s="89"/>
      <c r="L680" s="93"/>
      <c r="M680" s="93"/>
      <c r="N680" s="93"/>
      <c r="O680" s="93"/>
      <c r="P680" s="93"/>
      <c r="Q680" s="93"/>
      <c r="R680" s="93"/>
      <c r="S680" s="93"/>
      <c r="T680" s="93"/>
      <c r="U680" s="93"/>
      <c r="V680" s="93"/>
      <c r="W680" s="93"/>
    </row>
    <row r="681" spans="2:23" s="14" customFormat="1" ht="17.100000000000001" customHeight="1">
      <c r="B681" s="89"/>
      <c r="C681" s="90"/>
      <c r="D681" s="91"/>
      <c r="E681" s="92"/>
      <c r="F681" s="89"/>
      <c r="G681" s="89"/>
      <c r="H681" s="89"/>
      <c r="I681" s="89"/>
      <c r="J681" s="89"/>
      <c r="K681" s="89"/>
      <c r="L681" s="93"/>
      <c r="M681" s="93"/>
      <c r="N681" s="93"/>
      <c r="O681" s="93"/>
      <c r="P681" s="93"/>
      <c r="Q681" s="93"/>
      <c r="R681" s="93"/>
      <c r="S681" s="93"/>
      <c r="T681" s="93"/>
      <c r="U681" s="93"/>
      <c r="V681" s="93"/>
      <c r="W681" s="93"/>
    </row>
    <row r="682" spans="2:23" s="14" customFormat="1" ht="17.100000000000001" customHeight="1">
      <c r="B682" s="89"/>
      <c r="C682" s="90"/>
      <c r="D682" s="91"/>
      <c r="E682" s="92"/>
      <c r="F682" s="89"/>
      <c r="G682" s="89"/>
      <c r="H682" s="89"/>
      <c r="I682" s="89"/>
      <c r="J682" s="89"/>
      <c r="K682" s="89"/>
      <c r="L682" s="93"/>
      <c r="M682" s="93"/>
      <c r="N682" s="93"/>
      <c r="O682" s="93"/>
      <c r="P682" s="93"/>
      <c r="Q682" s="93"/>
      <c r="R682" s="93"/>
      <c r="S682" s="93"/>
      <c r="T682" s="93"/>
      <c r="U682" s="93"/>
      <c r="V682" s="93"/>
      <c r="W682" s="93"/>
    </row>
    <row r="683" spans="2:23" s="14" customFormat="1" ht="17.100000000000001" customHeight="1">
      <c r="B683" s="89"/>
      <c r="C683" s="90"/>
      <c r="D683" s="91"/>
      <c r="E683" s="92"/>
      <c r="F683" s="89"/>
      <c r="G683" s="89"/>
      <c r="H683" s="89"/>
      <c r="I683" s="89"/>
      <c r="J683" s="89"/>
      <c r="K683" s="89"/>
      <c r="L683" s="93"/>
      <c r="M683" s="93"/>
      <c r="N683" s="93"/>
      <c r="O683" s="93"/>
      <c r="P683" s="93"/>
      <c r="Q683" s="93"/>
      <c r="R683" s="93"/>
      <c r="S683" s="93"/>
      <c r="T683" s="93"/>
      <c r="U683" s="93"/>
      <c r="V683" s="93"/>
      <c r="W683" s="93"/>
    </row>
    <row r="684" spans="2:23" s="14" customFormat="1" ht="17.100000000000001" customHeight="1">
      <c r="B684" s="89"/>
      <c r="C684" s="90"/>
      <c r="D684" s="91"/>
      <c r="E684" s="92"/>
      <c r="F684" s="89"/>
      <c r="G684" s="89"/>
      <c r="H684" s="89"/>
      <c r="I684" s="89"/>
      <c r="J684" s="89"/>
      <c r="K684" s="89"/>
      <c r="L684" s="93"/>
      <c r="M684" s="93"/>
      <c r="N684" s="93"/>
      <c r="O684" s="93"/>
      <c r="P684" s="93"/>
      <c r="Q684" s="93"/>
      <c r="R684" s="93"/>
      <c r="S684" s="93"/>
      <c r="T684" s="93"/>
      <c r="U684" s="93"/>
      <c r="V684" s="93"/>
      <c r="W684" s="93"/>
    </row>
    <row r="685" spans="2:23" s="14" customFormat="1" ht="17.100000000000001" customHeight="1">
      <c r="B685" s="89"/>
      <c r="C685" s="90"/>
      <c r="D685" s="91"/>
      <c r="E685" s="92"/>
      <c r="F685" s="89"/>
      <c r="G685" s="89"/>
      <c r="H685" s="89"/>
      <c r="I685" s="89"/>
      <c r="J685" s="89"/>
      <c r="K685" s="89"/>
      <c r="L685" s="93"/>
      <c r="M685" s="93"/>
      <c r="N685" s="93"/>
      <c r="O685" s="93"/>
      <c r="P685" s="93"/>
      <c r="Q685" s="93"/>
      <c r="R685" s="93"/>
      <c r="S685" s="93"/>
      <c r="T685" s="93"/>
      <c r="U685" s="93"/>
      <c r="V685" s="93"/>
      <c r="W685" s="93"/>
    </row>
    <row r="686" spans="2:23" s="14" customFormat="1" ht="17.100000000000001" customHeight="1">
      <c r="B686" s="89"/>
      <c r="C686" s="90"/>
      <c r="D686" s="91"/>
      <c r="E686" s="92"/>
      <c r="F686" s="89"/>
      <c r="G686" s="89"/>
      <c r="H686" s="89"/>
      <c r="I686" s="89"/>
      <c r="J686" s="89"/>
      <c r="K686" s="89"/>
      <c r="L686" s="93"/>
      <c r="M686" s="93"/>
      <c r="N686" s="93"/>
      <c r="O686" s="93"/>
      <c r="P686" s="93"/>
      <c r="Q686" s="93"/>
      <c r="R686" s="93"/>
      <c r="S686" s="93"/>
      <c r="T686" s="93"/>
      <c r="U686" s="93"/>
      <c r="V686" s="93"/>
      <c r="W686" s="93"/>
    </row>
    <row r="687" spans="2:23" s="14" customFormat="1" ht="17.100000000000001" customHeight="1">
      <c r="B687" s="89"/>
      <c r="C687" s="90"/>
      <c r="D687" s="91"/>
      <c r="E687" s="92"/>
      <c r="F687" s="89"/>
      <c r="G687" s="89"/>
      <c r="H687" s="89"/>
      <c r="I687" s="89"/>
      <c r="J687" s="89"/>
      <c r="K687" s="89"/>
      <c r="L687" s="93"/>
      <c r="M687" s="93"/>
      <c r="N687" s="93"/>
      <c r="O687" s="93"/>
      <c r="P687" s="93"/>
      <c r="Q687" s="93"/>
      <c r="R687" s="93"/>
      <c r="S687" s="93"/>
      <c r="T687" s="93"/>
      <c r="U687" s="93"/>
      <c r="V687" s="93"/>
      <c r="W687" s="93"/>
    </row>
    <row r="688" spans="2:23" s="14" customFormat="1" ht="17.100000000000001" customHeight="1">
      <c r="B688" s="89"/>
      <c r="C688" s="90"/>
      <c r="D688" s="91"/>
      <c r="E688" s="92"/>
      <c r="F688" s="89"/>
      <c r="G688" s="89"/>
      <c r="H688" s="89"/>
      <c r="I688" s="89"/>
      <c r="J688" s="89"/>
      <c r="K688" s="89"/>
      <c r="L688" s="93"/>
      <c r="M688" s="93"/>
      <c r="N688" s="93"/>
      <c r="O688" s="93"/>
      <c r="P688" s="93"/>
      <c r="Q688" s="93"/>
      <c r="R688" s="93"/>
      <c r="S688" s="93"/>
      <c r="T688" s="93"/>
      <c r="U688" s="93"/>
      <c r="V688" s="93"/>
      <c r="W688" s="93"/>
    </row>
    <row r="689" spans="2:23" s="14" customFormat="1" ht="17.100000000000001" customHeight="1">
      <c r="B689" s="89"/>
      <c r="C689" s="90"/>
      <c r="D689" s="91"/>
      <c r="E689" s="92"/>
      <c r="F689" s="89"/>
      <c r="G689" s="89"/>
      <c r="H689" s="89"/>
      <c r="I689" s="89"/>
      <c r="J689" s="89"/>
      <c r="K689" s="89"/>
      <c r="L689" s="93"/>
      <c r="M689" s="93"/>
      <c r="N689" s="93"/>
      <c r="O689" s="93"/>
      <c r="P689" s="93"/>
      <c r="Q689" s="93"/>
      <c r="R689" s="93"/>
      <c r="S689" s="93"/>
      <c r="T689" s="93"/>
      <c r="U689" s="93"/>
      <c r="V689" s="93"/>
      <c r="W689" s="93"/>
    </row>
    <row r="690" spans="2:23" s="14" customFormat="1" ht="17.100000000000001" customHeight="1">
      <c r="B690" s="89"/>
      <c r="C690" s="90"/>
      <c r="D690" s="91"/>
      <c r="E690" s="92"/>
      <c r="F690" s="89"/>
      <c r="G690" s="89"/>
      <c r="H690" s="89"/>
      <c r="I690" s="89"/>
      <c r="J690" s="89"/>
      <c r="K690" s="89"/>
      <c r="L690" s="93"/>
      <c r="M690" s="93"/>
      <c r="N690" s="93"/>
      <c r="O690" s="93"/>
      <c r="P690" s="93"/>
      <c r="Q690" s="93"/>
      <c r="R690" s="93"/>
      <c r="S690" s="93"/>
      <c r="T690" s="93"/>
      <c r="U690" s="93"/>
      <c r="V690" s="93"/>
      <c r="W690" s="93"/>
    </row>
    <row r="691" spans="2:23" s="14" customFormat="1" ht="17.100000000000001" customHeight="1">
      <c r="B691" s="89"/>
      <c r="C691" s="90"/>
      <c r="D691" s="91"/>
      <c r="E691" s="92"/>
      <c r="F691" s="89"/>
      <c r="G691" s="89"/>
      <c r="H691" s="89"/>
      <c r="I691" s="89"/>
      <c r="J691" s="89"/>
      <c r="K691" s="89"/>
      <c r="L691" s="93"/>
      <c r="M691" s="93"/>
      <c r="N691" s="93"/>
      <c r="O691" s="93"/>
      <c r="P691" s="93"/>
      <c r="Q691" s="93"/>
      <c r="R691" s="93"/>
      <c r="S691" s="93"/>
      <c r="T691" s="93"/>
      <c r="U691" s="93"/>
      <c r="V691" s="93"/>
      <c r="W691" s="93"/>
    </row>
    <row r="692" spans="2:23" s="14" customFormat="1" ht="17.100000000000001" customHeight="1">
      <c r="B692" s="89"/>
      <c r="C692" s="90"/>
      <c r="D692" s="91"/>
      <c r="E692" s="92"/>
      <c r="F692" s="89"/>
      <c r="G692" s="89"/>
      <c r="H692" s="89"/>
      <c r="I692" s="89"/>
      <c r="J692" s="89"/>
      <c r="K692" s="89"/>
      <c r="L692" s="93"/>
      <c r="M692" s="93"/>
      <c r="N692" s="93"/>
      <c r="O692" s="93"/>
      <c r="P692" s="93"/>
      <c r="Q692" s="93"/>
      <c r="R692" s="93"/>
      <c r="S692" s="93"/>
      <c r="T692" s="93"/>
      <c r="U692" s="93"/>
      <c r="V692" s="93"/>
      <c r="W692" s="93"/>
    </row>
    <row r="693" spans="2:23" s="14" customFormat="1" ht="17.100000000000001" customHeight="1">
      <c r="B693" s="89"/>
      <c r="C693" s="90"/>
      <c r="D693" s="91"/>
      <c r="E693" s="92"/>
      <c r="F693" s="89"/>
      <c r="G693" s="89"/>
      <c r="H693" s="89"/>
      <c r="I693" s="89"/>
      <c r="J693" s="89"/>
      <c r="K693" s="89"/>
      <c r="L693" s="93"/>
      <c r="M693" s="93"/>
      <c r="N693" s="93"/>
      <c r="O693" s="93"/>
      <c r="P693" s="93"/>
      <c r="Q693" s="93"/>
      <c r="R693" s="93"/>
      <c r="S693" s="93"/>
      <c r="T693" s="93"/>
      <c r="U693" s="93"/>
      <c r="V693" s="93"/>
      <c r="W693" s="93"/>
    </row>
    <row r="694" spans="2:23" s="14" customFormat="1" ht="17.100000000000001" customHeight="1">
      <c r="B694" s="89"/>
      <c r="C694" s="90"/>
      <c r="D694" s="91"/>
      <c r="E694" s="92"/>
      <c r="F694" s="89"/>
      <c r="G694" s="89"/>
      <c r="H694" s="89"/>
      <c r="I694" s="89"/>
      <c r="J694" s="89"/>
      <c r="K694" s="89"/>
      <c r="L694" s="93"/>
      <c r="M694" s="93"/>
      <c r="N694" s="93"/>
      <c r="O694" s="93"/>
      <c r="P694" s="93"/>
      <c r="Q694" s="93"/>
      <c r="R694" s="93"/>
      <c r="S694" s="93"/>
      <c r="T694" s="93"/>
      <c r="U694" s="93"/>
      <c r="V694" s="93"/>
      <c r="W694" s="93"/>
    </row>
    <row r="695" spans="2:23" s="14" customFormat="1" ht="17.100000000000001" customHeight="1">
      <c r="B695" s="89"/>
      <c r="C695" s="90"/>
      <c r="D695" s="91"/>
      <c r="E695" s="92"/>
      <c r="F695" s="89"/>
      <c r="G695" s="89"/>
      <c r="H695" s="89"/>
      <c r="I695" s="89"/>
      <c r="J695" s="89"/>
      <c r="K695" s="89"/>
      <c r="L695" s="93"/>
      <c r="M695" s="93"/>
      <c r="N695" s="93"/>
      <c r="O695" s="93"/>
      <c r="P695" s="93"/>
      <c r="Q695" s="93"/>
      <c r="R695" s="93"/>
      <c r="S695" s="93"/>
      <c r="T695" s="93"/>
      <c r="U695" s="93"/>
      <c r="V695" s="93"/>
      <c r="W695" s="93"/>
    </row>
    <row r="696" spans="2:23" s="14" customFormat="1" ht="17.100000000000001" customHeight="1">
      <c r="B696" s="89"/>
      <c r="C696" s="90"/>
      <c r="D696" s="91"/>
      <c r="E696" s="92"/>
      <c r="F696" s="89"/>
      <c r="G696" s="89"/>
      <c r="H696" s="89"/>
      <c r="I696" s="89"/>
      <c r="J696" s="89"/>
      <c r="K696" s="89"/>
      <c r="L696" s="93"/>
      <c r="M696" s="93"/>
      <c r="N696" s="93"/>
      <c r="O696" s="93"/>
      <c r="P696" s="93"/>
      <c r="Q696" s="93"/>
      <c r="R696" s="93"/>
      <c r="S696" s="93"/>
      <c r="T696" s="93"/>
      <c r="U696" s="93"/>
      <c r="V696" s="93"/>
      <c r="W696" s="93"/>
    </row>
    <row r="697" spans="2:23" s="14" customFormat="1" ht="17.100000000000001" customHeight="1">
      <c r="B697" s="89"/>
      <c r="C697" s="90"/>
      <c r="D697" s="91"/>
      <c r="E697" s="92"/>
      <c r="F697" s="89"/>
      <c r="G697" s="89"/>
      <c r="H697" s="89"/>
      <c r="I697" s="89"/>
      <c r="J697" s="89"/>
      <c r="K697" s="89"/>
      <c r="L697" s="93"/>
      <c r="M697" s="93"/>
      <c r="N697" s="93"/>
      <c r="O697" s="93"/>
      <c r="P697" s="93"/>
      <c r="Q697" s="93"/>
      <c r="R697" s="93"/>
      <c r="S697" s="93"/>
      <c r="T697" s="93"/>
      <c r="U697" s="93"/>
      <c r="V697" s="93"/>
      <c r="W697" s="93"/>
    </row>
    <row r="698" spans="2:23" s="14" customFormat="1" ht="17.100000000000001" customHeight="1">
      <c r="B698" s="89"/>
      <c r="C698" s="90"/>
      <c r="D698" s="91"/>
      <c r="E698" s="92"/>
      <c r="F698" s="89"/>
      <c r="G698" s="89"/>
      <c r="H698" s="89"/>
      <c r="I698" s="89"/>
      <c r="J698" s="89"/>
      <c r="K698" s="89"/>
      <c r="L698" s="93"/>
      <c r="M698" s="93"/>
      <c r="N698" s="93"/>
      <c r="O698" s="93"/>
      <c r="P698" s="93"/>
      <c r="Q698" s="93"/>
      <c r="R698" s="93"/>
      <c r="S698" s="93"/>
      <c r="T698" s="93"/>
      <c r="U698" s="93"/>
      <c r="V698" s="93"/>
      <c r="W698" s="93"/>
    </row>
    <row r="699" spans="2:23" s="14" customFormat="1" ht="17.100000000000001" customHeight="1">
      <c r="B699" s="89"/>
      <c r="C699" s="90"/>
      <c r="D699" s="91"/>
      <c r="E699" s="92"/>
      <c r="F699" s="89"/>
      <c r="G699" s="89"/>
      <c r="H699" s="89"/>
      <c r="I699" s="89"/>
      <c r="J699" s="89"/>
      <c r="K699" s="89"/>
      <c r="L699" s="93"/>
      <c r="M699" s="93"/>
      <c r="N699" s="93"/>
      <c r="O699" s="93"/>
      <c r="P699" s="93"/>
      <c r="Q699" s="93"/>
      <c r="R699" s="93"/>
      <c r="S699" s="93"/>
      <c r="T699" s="93"/>
      <c r="U699" s="93"/>
      <c r="V699" s="93"/>
      <c r="W699" s="93"/>
    </row>
    <row r="700" spans="2:23" s="14" customFormat="1" ht="17.100000000000001" customHeight="1">
      <c r="B700" s="89"/>
      <c r="C700" s="90"/>
      <c r="D700" s="91"/>
      <c r="E700" s="92"/>
      <c r="F700" s="89"/>
      <c r="G700" s="89"/>
      <c r="H700" s="89"/>
      <c r="I700" s="89"/>
      <c r="J700" s="89"/>
      <c r="K700" s="89"/>
      <c r="L700" s="93"/>
      <c r="M700" s="93"/>
      <c r="N700" s="93"/>
      <c r="O700" s="93"/>
      <c r="P700" s="93"/>
      <c r="Q700" s="93"/>
      <c r="R700" s="93"/>
      <c r="S700" s="93"/>
      <c r="T700" s="93"/>
      <c r="U700" s="93"/>
      <c r="V700" s="93"/>
      <c r="W700" s="93"/>
    </row>
    <row r="701" spans="2:23" s="14" customFormat="1" ht="17.100000000000001" customHeight="1">
      <c r="B701" s="89"/>
      <c r="C701" s="90"/>
      <c r="D701" s="91"/>
      <c r="E701" s="92"/>
      <c r="F701" s="89"/>
      <c r="G701" s="89"/>
      <c r="H701" s="89"/>
      <c r="I701" s="89"/>
      <c r="J701" s="89"/>
      <c r="K701" s="89"/>
      <c r="L701" s="93"/>
      <c r="M701" s="93"/>
      <c r="N701" s="93"/>
      <c r="O701" s="93"/>
      <c r="P701" s="93"/>
      <c r="Q701" s="93"/>
      <c r="R701" s="93"/>
      <c r="S701" s="93"/>
      <c r="T701" s="93"/>
      <c r="U701" s="93"/>
      <c r="V701" s="93"/>
      <c r="W701" s="93"/>
    </row>
    <row r="702" spans="2:23" s="14" customFormat="1" ht="17.100000000000001" customHeight="1">
      <c r="B702" s="89"/>
      <c r="C702" s="90"/>
      <c r="D702" s="91"/>
      <c r="E702" s="92"/>
      <c r="F702" s="89"/>
      <c r="G702" s="89"/>
      <c r="H702" s="89"/>
      <c r="I702" s="89"/>
      <c r="J702" s="89"/>
      <c r="K702" s="89"/>
      <c r="L702" s="93"/>
      <c r="M702" s="93"/>
      <c r="N702" s="93"/>
      <c r="O702" s="93"/>
      <c r="P702" s="93"/>
      <c r="Q702" s="93"/>
      <c r="R702" s="93"/>
      <c r="S702" s="93"/>
      <c r="T702" s="93"/>
      <c r="U702" s="93"/>
      <c r="V702" s="93"/>
      <c r="W702" s="93"/>
    </row>
    <row r="703" spans="2:23" s="14" customFormat="1" ht="17.100000000000001" customHeight="1">
      <c r="B703" s="89"/>
      <c r="C703" s="90"/>
      <c r="D703" s="91"/>
      <c r="E703" s="92"/>
      <c r="F703" s="89"/>
      <c r="G703" s="89"/>
      <c r="H703" s="89"/>
      <c r="I703" s="89"/>
      <c r="J703" s="89"/>
      <c r="K703" s="89"/>
      <c r="L703" s="93"/>
      <c r="M703" s="93"/>
      <c r="N703" s="93"/>
      <c r="O703" s="93"/>
      <c r="P703" s="93"/>
      <c r="Q703" s="93"/>
      <c r="R703" s="93"/>
      <c r="S703" s="93"/>
      <c r="T703" s="93"/>
      <c r="U703" s="93"/>
      <c r="V703" s="93"/>
      <c r="W703" s="93"/>
    </row>
    <row r="704" spans="2:23" s="14" customFormat="1" ht="17.100000000000001" customHeight="1">
      <c r="B704" s="89"/>
      <c r="C704" s="90"/>
      <c r="D704" s="91"/>
      <c r="E704" s="92"/>
      <c r="F704" s="89"/>
      <c r="G704" s="89"/>
      <c r="H704" s="89"/>
      <c r="I704" s="89"/>
      <c r="J704" s="89"/>
      <c r="K704" s="89"/>
      <c r="L704" s="93"/>
      <c r="M704" s="93"/>
      <c r="N704" s="93"/>
      <c r="O704" s="93"/>
      <c r="P704" s="93"/>
      <c r="Q704" s="93"/>
      <c r="R704" s="93"/>
      <c r="S704" s="93"/>
      <c r="T704" s="93"/>
      <c r="U704" s="93"/>
      <c r="V704" s="93"/>
      <c r="W704" s="93"/>
    </row>
    <row r="705" spans="2:23" s="14" customFormat="1" ht="17.100000000000001" customHeight="1">
      <c r="B705" s="89"/>
      <c r="C705" s="90"/>
      <c r="D705" s="91"/>
      <c r="E705" s="92"/>
      <c r="F705" s="89"/>
      <c r="G705" s="89"/>
      <c r="H705" s="89"/>
      <c r="I705" s="89"/>
      <c r="J705" s="89"/>
      <c r="K705" s="89"/>
      <c r="L705" s="93"/>
      <c r="M705" s="93"/>
      <c r="N705" s="93"/>
      <c r="O705" s="93"/>
      <c r="P705" s="93"/>
      <c r="Q705" s="93"/>
      <c r="R705" s="93"/>
      <c r="S705" s="93"/>
      <c r="T705" s="93"/>
      <c r="U705" s="93"/>
      <c r="V705" s="93"/>
      <c r="W705" s="93"/>
    </row>
    <row r="706" spans="2:23" s="14" customFormat="1" ht="17.100000000000001" customHeight="1">
      <c r="B706" s="89"/>
      <c r="C706" s="90"/>
      <c r="D706" s="91"/>
      <c r="E706" s="92"/>
      <c r="F706" s="89"/>
      <c r="G706" s="89"/>
      <c r="H706" s="89"/>
      <c r="I706" s="89"/>
      <c r="J706" s="89"/>
      <c r="K706" s="89"/>
      <c r="L706" s="93"/>
      <c r="M706" s="93"/>
      <c r="N706" s="93"/>
      <c r="O706" s="93"/>
      <c r="P706" s="93"/>
      <c r="Q706" s="93"/>
      <c r="R706" s="93"/>
      <c r="S706" s="93"/>
      <c r="T706" s="93"/>
      <c r="U706" s="93"/>
      <c r="V706" s="93"/>
      <c r="W706" s="93"/>
    </row>
    <row r="707" spans="2:23" s="14" customFormat="1" ht="17.100000000000001" customHeight="1">
      <c r="B707" s="89"/>
      <c r="C707" s="90"/>
      <c r="D707" s="91"/>
      <c r="E707" s="92"/>
      <c r="F707" s="89"/>
      <c r="G707" s="89"/>
      <c r="H707" s="89"/>
      <c r="I707" s="89"/>
      <c r="J707" s="89"/>
      <c r="K707" s="89"/>
      <c r="L707" s="93"/>
      <c r="M707" s="93"/>
      <c r="N707" s="93"/>
      <c r="O707" s="93"/>
      <c r="P707" s="93"/>
      <c r="Q707" s="93"/>
      <c r="R707" s="93"/>
      <c r="S707" s="93"/>
      <c r="T707" s="93"/>
      <c r="U707" s="93"/>
      <c r="V707" s="93"/>
      <c r="W707" s="93"/>
    </row>
    <row r="708" spans="2:23" s="14" customFormat="1" ht="17.100000000000001" customHeight="1">
      <c r="B708" s="89"/>
      <c r="C708" s="90"/>
      <c r="D708" s="91"/>
      <c r="E708" s="92"/>
      <c r="F708" s="89"/>
      <c r="G708" s="89"/>
      <c r="H708" s="89"/>
      <c r="I708" s="89"/>
      <c r="J708" s="89"/>
      <c r="K708" s="89"/>
      <c r="L708" s="93"/>
      <c r="M708" s="93"/>
      <c r="N708" s="93"/>
      <c r="O708" s="93"/>
      <c r="P708" s="93"/>
      <c r="Q708" s="93"/>
      <c r="R708" s="93"/>
      <c r="S708" s="93"/>
      <c r="T708" s="93"/>
      <c r="U708" s="93"/>
      <c r="V708" s="93"/>
      <c r="W708" s="93"/>
    </row>
    <row r="709" spans="2:23" s="14" customFormat="1" ht="17.100000000000001" customHeight="1">
      <c r="B709" s="89"/>
      <c r="C709" s="90"/>
      <c r="D709" s="91"/>
      <c r="E709" s="92"/>
      <c r="F709" s="89"/>
      <c r="G709" s="89"/>
      <c r="H709" s="89"/>
      <c r="I709" s="89"/>
      <c r="J709" s="89"/>
      <c r="K709" s="89"/>
      <c r="L709" s="93"/>
      <c r="M709" s="93"/>
      <c r="N709" s="93"/>
      <c r="O709" s="93"/>
      <c r="P709" s="93"/>
      <c r="Q709" s="93"/>
      <c r="R709" s="93"/>
      <c r="S709" s="93"/>
      <c r="T709" s="93"/>
      <c r="U709" s="93"/>
      <c r="V709" s="93"/>
      <c r="W709" s="93"/>
    </row>
    <row r="710" spans="2:23" s="14" customFormat="1" ht="17.100000000000001" customHeight="1">
      <c r="B710" s="89"/>
      <c r="C710" s="90"/>
      <c r="D710" s="91"/>
      <c r="E710" s="92"/>
      <c r="F710" s="89"/>
      <c r="G710" s="89"/>
      <c r="H710" s="89"/>
      <c r="I710" s="89"/>
      <c r="J710" s="89"/>
      <c r="K710" s="89"/>
      <c r="L710" s="93"/>
      <c r="M710" s="93"/>
      <c r="N710" s="93"/>
      <c r="O710" s="93"/>
      <c r="P710" s="93"/>
      <c r="Q710" s="93"/>
      <c r="R710" s="93"/>
      <c r="S710" s="93"/>
      <c r="T710" s="93"/>
      <c r="U710" s="93"/>
      <c r="V710" s="93"/>
      <c r="W710" s="93"/>
    </row>
    <row r="711" spans="2:23" s="14" customFormat="1" ht="17.100000000000001" customHeight="1">
      <c r="B711" s="89"/>
      <c r="C711" s="90"/>
      <c r="D711" s="91"/>
      <c r="E711" s="92"/>
      <c r="F711" s="89"/>
      <c r="G711" s="89"/>
      <c r="H711" s="89"/>
      <c r="I711" s="89"/>
      <c r="J711" s="89"/>
      <c r="K711" s="89"/>
      <c r="L711" s="93"/>
      <c r="M711" s="93"/>
      <c r="N711" s="93"/>
      <c r="O711" s="93"/>
      <c r="P711" s="93"/>
      <c r="Q711" s="93"/>
      <c r="R711" s="93"/>
      <c r="S711" s="93"/>
      <c r="T711" s="93"/>
      <c r="U711" s="93"/>
      <c r="V711" s="93"/>
      <c r="W711" s="93"/>
    </row>
    <row r="712" spans="2:23" s="14" customFormat="1" ht="17.100000000000001" customHeight="1">
      <c r="B712" s="89"/>
      <c r="C712" s="90"/>
      <c r="D712" s="91"/>
      <c r="E712" s="92"/>
      <c r="F712" s="89"/>
      <c r="G712" s="89"/>
      <c r="H712" s="89"/>
      <c r="I712" s="89"/>
      <c r="J712" s="89"/>
      <c r="K712" s="89"/>
      <c r="L712" s="93"/>
      <c r="M712" s="93"/>
      <c r="N712" s="93"/>
      <c r="O712" s="93"/>
      <c r="P712" s="93"/>
      <c r="Q712" s="93"/>
      <c r="R712" s="93"/>
      <c r="S712" s="93"/>
      <c r="T712" s="93"/>
      <c r="U712" s="93"/>
      <c r="V712" s="93"/>
      <c r="W712" s="93"/>
    </row>
    <row r="713" spans="2:23" s="14" customFormat="1" ht="17.100000000000001" customHeight="1">
      <c r="B713" s="89"/>
      <c r="C713" s="90"/>
      <c r="D713" s="91"/>
      <c r="E713" s="92"/>
      <c r="F713" s="89"/>
      <c r="G713" s="89"/>
      <c r="H713" s="89"/>
      <c r="I713" s="89"/>
      <c r="J713" s="89"/>
      <c r="K713" s="89"/>
      <c r="L713" s="93"/>
      <c r="M713" s="93"/>
      <c r="N713" s="93"/>
      <c r="O713" s="93"/>
      <c r="P713" s="93"/>
      <c r="Q713" s="93"/>
      <c r="R713" s="93"/>
      <c r="S713" s="93"/>
      <c r="T713" s="93"/>
      <c r="U713" s="93"/>
      <c r="V713" s="93"/>
      <c r="W713" s="93"/>
    </row>
    <row r="714" spans="2:23" s="14" customFormat="1" ht="17.100000000000001" customHeight="1">
      <c r="B714" s="89"/>
      <c r="C714" s="90"/>
      <c r="D714" s="91"/>
      <c r="E714" s="92"/>
      <c r="F714" s="89"/>
      <c r="G714" s="89"/>
      <c r="H714" s="89"/>
      <c r="I714" s="89"/>
      <c r="J714" s="89"/>
      <c r="K714" s="89"/>
      <c r="L714" s="93"/>
      <c r="M714" s="93"/>
      <c r="N714" s="93"/>
      <c r="O714" s="93"/>
      <c r="P714" s="93"/>
      <c r="Q714" s="93"/>
      <c r="R714" s="93"/>
      <c r="S714" s="93"/>
      <c r="T714" s="93"/>
      <c r="U714" s="93"/>
      <c r="V714" s="93"/>
      <c r="W714" s="93"/>
    </row>
    <row r="715" spans="2:23" s="14" customFormat="1" ht="17.100000000000001" customHeight="1">
      <c r="B715" s="89"/>
      <c r="C715" s="90"/>
      <c r="D715" s="91"/>
      <c r="E715" s="92"/>
      <c r="F715" s="89"/>
      <c r="G715" s="89"/>
      <c r="H715" s="89"/>
      <c r="I715" s="89"/>
      <c r="J715" s="89"/>
      <c r="K715" s="89"/>
      <c r="L715" s="93"/>
      <c r="M715" s="93"/>
      <c r="N715" s="93"/>
      <c r="O715" s="93"/>
      <c r="P715" s="93"/>
      <c r="Q715" s="93"/>
      <c r="R715" s="93"/>
      <c r="S715" s="93"/>
      <c r="T715" s="93"/>
      <c r="U715" s="93"/>
      <c r="V715" s="93"/>
      <c r="W715" s="93"/>
    </row>
    <row r="716" spans="2:23" s="14" customFormat="1" ht="17.100000000000001" customHeight="1">
      <c r="B716" s="89"/>
      <c r="C716" s="90"/>
      <c r="D716" s="91"/>
      <c r="E716" s="92"/>
      <c r="F716" s="89"/>
      <c r="G716" s="89"/>
      <c r="H716" s="89"/>
      <c r="I716" s="89"/>
      <c r="J716" s="89"/>
      <c r="K716" s="89"/>
      <c r="L716" s="93"/>
      <c r="M716" s="93"/>
      <c r="N716" s="93"/>
      <c r="O716" s="93"/>
      <c r="P716" s="93"/>
      <c r="Q716" s="93"/>
      <c r="R716" s="93"/>
      <c r="S716" s="93"/>
      <c r="T716" s="93"/>
      <c r="U716" s="93"/>
      <c r="V716" s="93"/>
      <c r="W716" s="93"/>
    </row>
    <row r="717" spans="2:23" s="14" customFormat="1" ht="17.100000000000001" customHeight="1">
      <c r="B717" s="89"/>
      <c r="C717" s="90"/>
      <c r="D717" s="91"/>
      <c r="E717" s="92"/>
      <c r="F717" s="89"/>
      <c r="G717" s="89"/>
      <c r="H717" s="89"/>
      <c r="I717" s="89"/>
      <c r="J717" s="89"/>
      <c r="K717" s="89"/>
      <c r="L717" s="93"/>
      <c r="M717" s="93"/>
      <c r="N717" s="93"/>
      <c r="O717" s="93"/>
      <c r="P717" s="93"/>
      <c r="Q717" s="93"/>
      <c r="R717" s="93"/>
      <c r="S717" s="93"/>
      <c r="T717" s="93"/>
      <c r="U717" s="93"/>
      <c r="V717" s="93"/>
      <c r="W717" s="93"/>
    </row>
    <row r="718" spans="2:23" s="14" customFormat="1" ht="17.100000000000001" customHeight="1">
      <c r="B718" s="89"/>
      <c r="C718" s="90"/>
      <c r="D718" s="91"/>
      <c r="E718" s="92"/>
      <c r="F718" s="89"/>
      <c r="G718" s="89"/>
      <c r="H718" s="89"/>
      <c r="I718" s="89"/>
      <c r="J718" s="89"/>
      <c r="K718" s="89"/>
      <c r="L718" s="93"/>
      <c r="M718" s="93"/>
      <c r="N718" s="93"/>
      <c r="O718" s="93"/>
      <c r="P718" s="93"/>
      <c r="Q718" s="93"/>
      <c r="R718" s="93"/>
      <c r="S718" s="93"/>
      <c r="T718" s="93"/>
      <c r="U718" s="93"/>
      <c r="V718" s="93"/>
      <c r="W718" s="93"/>
    </row>
    <row r="719" spans="2:23" s="14" customFormat="1" ht="17.100000000000001" customHeight="1">
      <c r="B719" s="89"/>
      <c r="C719" s="90"/>
      <c r="D719" s="91"/>
      <c r="E719" s="92"/>
      <c r="F719" s="89"/>
      <c r="G719" s="89"/>
      <c r="H719" s="89"/>
      <c r="I719" s="89"/>
      <c r="J719" s="89"/>
      <c r="K719" s="89"/>
      <c r="L719" s="93"/>
      <c r="M719" s="93"/>
      <c r="N719" s="93"/>
      <c r="O719" s="93"/>
      <c r="P719" s="93"/>
      <c r="Q719" s="93"/>
      <c r="R719" s="93"/>
      <c r="S719" s="93"/>
      <c r="T719" s="93"/>
      <c r="U719" s="93"/>
      <c r="V719" s="93"/>
      <c r="W719" s="93"/>
    </row>
    <row r="720" spans="2:23" s="14" customFormat="1" ht="17.100000000000001" customHeight="1">
      <c r="B720" s="89"/>
      <c r="C720" s="90"/>
      <c r="D720" s="91"/>
      <c r="E720" s="92"/>
      <c r="F720" s="89"/>
      <c r="G720" s="89"/>
      <c r="H720" s="89"/>
      <c r="I720" s="89"/>
      <c r="J720" s="89"/>
      <c r="K720" s="89"/>
      <c r="L720" s="93"/>
      <c r="M720" s="93"/>
      <c r="N720" s="93"/>
      <c r="O720" s="93"/>
      <c r="P720" s="93"/>
      <c r="Q720" s="93"/>
      <c r="R720" s="93"/>
      <c r="S720" s="93"/>
      <c r="T720" s="93"/>
      <c r="U720" s="93"/>
      <c r="V720" s="93"/>
      <c r="W720" s="93"/>
    </row>
    <row r="721" spans="2:23" s="14" customFormat="1" ht="17.100000000000001" customHeight="1">
      <c r="B721" s="89"/>
      <c r="C721" s="90"/>
      <c r="D721" s="91"/>
      <c r="E721" s="92"/>
      <c r="F721" s="89"/>
      <c r="G721" s="89"/>
      <c r="H721" s="89"/>
      <c r="I721" s="89"/>
      <c r="J721" s="89"/>
      <c r="K721" s="89"/>
      <c r="L721" s="93"/>
      <c r="M721" s="93"/>
      <c r="N721" s="93"/>
      <c r="O721" s="93"/>
      <c r="P721" s="93"/>
      <c r="Q721" s="93"/>
      <c r="R721" s="93"/>
      <c r="S721" s="93"/>
      <c r="T721" s="93"/>
      <c r="U721" s="93"/>
      <c r="V721" s="93"/>
      <c r="W721" s="93"/>
    </row>
    <row r="722" spans="2:23" s="14" customFormat="1" ht="17.100000000000001" customHeight="1">
      <c r="B722" s="89"/>
      <c r="C722" s="90"/>
      <c r="D722" s="91"/>
      <c r="E722" s="92"/>
      <c r="F722" s="89"/>
      <c r="G722" s="89"/>
      <c r="H722" s="89"/>
      <c r="I722" s="89"/>
      <c r="J722" s="89"/>
      <c r="K722" s="89"/>
      <c r="L722" s="93"/>
      <c r="M722" s="93"/>
      <c r="N722" s="93"/>
      <c r="O722" s="93"/>
      <c r="P722" s="93"/>
      <c r="Q722" s="93"/>
      <c r="R722" s="93"/>
      <c r="S722" s="93"/>
      <c r="T722" s="93"/>
      <c r="U722" s="93"/>
      <c r="V722" s="93"/>
      <c r="W722" s="93"/>
    </row>
    <row r="723" spans="2:23" s="14" customFormat="1" ht="17.100000000000001" customHeight="1">
      <c r="B723" s="89"/>
      <c r="C723" s="90"/>
      <c r="D723" s="91"/>
      <c r="E723" s="92"/>
      <c r="F723" s="89"/>
      <c r="G723" s="89"/>
      <c r="H723" s="89"/>
      <c r="I723" s="89"/>
      <c r="J723" s="89"/>
      <c r="K723" s="89"/>
      <c r="L723" s="93"/>
      <c r="M723" s="93"/>
      <c r="N723" s="93"/>
      <c r="O723" s="93"/>
      <c r="P723" s="93"/>
      <c r="Q723" s="93"/>
      <c r="R723" s="93"/>
      <c r="S723" s="93"/>
      <c r="T723" s="93"/>
      <c r="U723" s="93"/>
      <c r="V723" s="93"/>
      <c r="W723" s="93"/>
    </row>
    <row r="724" spans="2:23" s="14" customFormat="1" ht="17.100000000000001" customHeight="1">
      <c r="B724" s="89"/>
      <c r="C724" s="90"/>
      <c r="D724" s="91"/>
      <c r="E724" s="92"/>
      <c r="F724" s="89"/>
      <c r="G724" s="89"/>
      <c r="H724" s="89"/>
      <c r="I724" s="89"/>
      <c r="J724" s="89"/>
      <c r="K724" s="89"/>
      <c r="L724" s="93"/>
      <c r="M724" s="93"/>
      <c r="N724" s="93"/>
      <c r="O724" s="93"/>
      <c r="P724" s="93"/>
      <c r="Q724" s="93"/>
      <c r="R724" s="93"/>
      <c r="S724" s="93"/>
      <c r="T724" s="93"/>
      <c r="U724" s="93"/>
      <c r="V724" s="93"/>
      <c r="W724" s="93"/>
    </row>
    <row r="725" spans="2:23" s="14" customFormat="1" ht="17.100000000000001" customHeight="1">
      <c r="B725" s="89"/>
      <c r="C725" s="90"/>
      <c r="D725" s="91"/>
      <c r="E725" s="92"/>
      <c r="F725" s="89"/>
      <c r="G725" s="89"/>
      <c r="H725" s="89"/>
      <c r="I725" s="89"/>
      <c r="J725" s="89"/>
      <c r="K725" s="89"/>
      <c r="L725" s="93"/>
      <c r="M725" s="93"/>
      <c r="N725" s="93"/>
      <c r="O725" s="93"/>
      <c r="P725" s="93"/>
      <c r="Q725" s="93"/>
      <c r="R725" s="93"/>
      <c r="S725" s="93"/>
      <c r="T725" s="93"/>
      <c r="U725" s="93"/>
      <c r="V725" s="93"/>
      <c r="W725" s="93"/>
    </row>
    <row r="726" spans="2:23" s="14" customFormat="1" ht="17.100000000000001" customHeight="1">
      <c r="B726" s="89"/>
      <c r="C726" s="90"/>
      <c r="D726" s="91"/>
      <c r="E726" s="92"/>
      <c r="F726" s="89"/>
      <c r="G726" s="89"/>
      <c r="H726" s="89"/>
      <c r="I726" s="89"/>
      <c r="J726" s="89"/>
      <c r="K726" s="89"/>
      <c r="L726" s="93"/>
      <c r="M726" s="93"/>
      <c r="N726" s="93"/>
      <c r="O726" s="93"/>
      <c r="P726" s="93"/>
      <c r="Q726" s="93"/>
      <c r="R726" s="93"/>
      <c r="S726" s="93"/>
      <c r="T726" s="93"/>
      <c r="U726" s="93"/>
      <c r="V726" s="93"/>
      <c r="W726" s="93"/>
    </row>
    <row r="727" spans="2:23" s="14" customFormat="1" ht="17.100000000000001" customHeight="1">
      <c r="B727" s="89"/>
      <c r="C727" s="90"/>
      <c r="D727" s="91"/>
      <c r="E727" s="92"/>
      <c r="F727" s="89"/>
      <c r="G727" s="89"/>
      <c r="H727" s="89"/>
      <c r="I727" s="89"/>
      <c r="J727" s="89"/>
      <c r="K727" s="89"/>
      <c r="L727" s="93"/>
      <c r="M727" s="93"/>
      <c r="N727" s="93"/>
      <c r="O727" s="93"/>
      <c r="P727" s="93"/>
      <c r="Q727" s="93"/>
      <c r="R727" s="93"/>
      <c r="S727" s="93"/>
      <c r="T727" s="93"/>
      <c r="U727" s="93"/>
      <c r="V727" s="93"/>
      <c r="W727" s="93"/>
    </row>
    <row r="728" spans="2:23" s="14" customFormat="1" ht="17.100000000000001" customHeight="1">
      <c r="B728" s="89"/>
      <c r="C728" s="90"/>
      <c r="D728" s="91"/>
      <c r="E728" s="92"/>
      <c r="F728" s="89"/>
      <c r="G728" s="89"/>
      <c r="H728" s="89"/>
      <c r="I728" s="89"/>
      <c r="J728" s="89"/>
      <c r="K728" s="89"/>
      <c r="L728" s="93"/>
      <c r="M728" s="93"/>
      <c r="N728" s="93"/>
      <c r="O728" s="93"/>
      <c r="P728" s="93"/>
      <c r="Q728" s="93"/>
      <c r="R728" s="93"/>
      <c r="S728" s="93"/>
      <c r="T728" s="93"/>
      <c r="U728" s="93"/>
      <c r="V728" s="93"/>
      <c r="W728" s="93"/>
    </row>
    <row r="729" spans="2:23" s="14" customFormat="1" ht="17.100000000000001" customHeight="1">
      <c r="B729" s="89"/>
      <c r="C729" s="90"/>
      <c r="D729" s="91"/>
      <c r="E729" s="92"/>
      <c r="F729" s="89"/>
      <c r="G729" s="89"/>
      <c r="H729" s="89"/>
      <c r="I729" s="89"/>
      <c r="J729" s="89"/>
      <c r="K729" s="89"/>
      <c r="L729" s="93"/>
      <c r="M729" s="93"/>
      <c r="N729" s="93"/>
      <c r="O729" s="93"/>
      <c r="P729" s="93"/>
      <c r="Q729" s="93"/>
      <c r="R729" s="93"/>
      <c r="S729" s="93"/>
      <c r="T729" s="93"/>
      <c r="U729" s="93"/>
      <c r="V729" s="93"/>
      <c r="W729" s="93"/>
    </row>
    <row r="730" spans="2:23" s="14" customFormat="1" ht="17.100000000000001" customHeight="1">
      <c r="B730" s="89"/>
      <c r="C730" s="90"/>
      <c r="D730" s="91"/>
      <c r="E730" s="92"/>
      <c r="F730" s="89"/>
      <c r="G730" s="89"/>
      <c r="H730" s="89"/>
      <c r="I730" s="89"/>
      <c r="J730" s="89"/>
      <c r="K730" s="89"/>
      <c r="L730" s="93"/>
      <c r="M730" s="93"/>
      <c r="N730" s="93"/>
      <c r="O730" s="93"/>
      <c r="P730" s="93"/>
      <c r="Q730" s="93"/>
      <c r="R730" s="93"/>
      <c r="S730" s="93"/>
      <c r="T730" s="93"/>
      <c r="U730" s="93"/>
      <c r="V730" s="93"/>
      <c r="W730" s="93"/>
    </row>
    <row r="731" spans="2:23" s="14" customFormat="1" ht="17.100000000000001" customHeight="1">
      <c r="B731" s="89"/>
      <c r="C731" s="90"/>
      <c r="D731" s="91"/>
      <c r="E731" s="92"/>
      <c r="F731" s="89"/>
      <c r="G731" s="89"/>
      <c r="H731" s="89"/>
      <c r="I731" s="89"/>
      <c r="J731" s="89"/>
      <c r="K731" s="89"/>
      <c r="L731" s="93"/>
      <c r="M731" s="93"/>
      <c r="N731" s="93"/>
      <c r="O731" s="93"/>
      <c r="P731" s="93"/>
      <c r="Q731" s="93"/>
      <c r="R731" s="93"/>
      <c r="S731" s="93"/>
      <c r="T731" s="93"/>
      <c r="U731" s="93"/>
      <c r="V731" s="93"/>
      <c r="W731" s="93"/>
    </row>
    <row r="732" spans="2:23" s="14" customFormat="1" ht="17.100000000000001" customHeight="1">
      <c r="B732" s="89"/>
      <c r="C732" s="90"/>
      <c r="D732" s="91"/>
      <c r="E732" s="92"/>
      <c r="F732" s="89"/>
      <c r="G732" s="89"/>
      <c r="H732" s="89"/>
      <c r="I732" s="89"/>
      <c r="J732" s="89"/>
      <c r="K732" s="89"/>
      <c r="L732" s="93"/>
      <c r="M732" s="93"/>
      <c r="N732" s="93"/>
      <c r="O732" s="93"/>
      <c r="P732" s="93"/>
      <c r="Q732" s="93"/>
      <c r="R732" s="93"/>
      <c r="S732" s="93"/>
      <c r="T732" s="93"/>
      <c r="U732" s="93"/>
      <c r="V732" s="93"/>
      <c r="W732" s="93"/>
    </row>
    <row r="733" spans="2:23" s="14" customFormat="1" ht="17.100000000000001" customHeight="1">
      <c r="B733" s="89"/>
      <c r="C733" s="90"/>
      <c r="D733" s="91"/>
      <c r="E733" s="92"/>
      <c r="F733" s="89"/>
      <c r="G733" s="89"/>
      <c r="H733" s="89"/>
      <c r="I733" s="89"/>
      <c r="J733" s="89"/>
      <c r="K733" s="89"/>
      <c r="L733" s="93"/>
      <c r="M733" s="93"/>
      <c r="N733" s="93"/>
      <c r="O733" s="93"/>
      <c r="P733" s="93"/>
      <c r="Q733" s="93"/>
      <c r="R733" s="93"/>
      <c r="S733" s="93"/>
      <c r="T733" s="93"/>
      <c r="U733" s="93"/>
      <c r="V733" s="93"/>
      <c r="W733" s="93"/>
    </row>
    <row r="734" spans="2:23" s="14" customFormat="1" ht="17.100000000000001" customHeight="1">
      <c r="B734" s="89"/>
      <c r="C734" s="90"/>
      <c r="D734" s="91"/>
      <c r="E734" s="92"/>
      <c r="F734" s="89"/>
      <c r="G734" s="89"/>
      <c r="H734" s="89"/>
      <c r="I734" s="89"/>
      <c r="J734" s="89"/>
      <c r="K734" s="89"/>
      <c r="L734" s="93"/>
      <c r="M734" s="93"/>
      <c r="N734" s="93"/>
      <c r="O734" s="93"/>
      <c r="P734" s="93"/>
      <c r="Q734" s="93"/>
      <c r="R734" s="93"/>
      <c r="S734" s="93"/>
      <c r="T734" s="93"/>
      <c r="U734" s="93"/>
      <c r="V734" s="93"/>
      <c r="W734" s="93"/>
    </row>
    <row r="735" spans="2:23" s="14" customFormat="1" ht="17.100000000000001" customHeight="1">
      <c r="B735" s="89"/>
      <c r="C735" s="90"/>
      <c r="D735" s="91"/>
      <c r="E735" s="92"/>
      <c r="F735" s="89"/>
      <c r="G735" s="89"/>
      <c r="H735" s="89"/>
      <c r="I735" s="89"/>
      <c r="J735" s="89"/>
      <c r="K735" s="89"/>
      <c r="L735" s="93"/>
      <c r="M735" s="93"/>
      <c r="N735" s="93"/>
      <c r="O735" s="93"/>
      <c r="P735" s="93"/>
      <c r="Q735" s="93"/>
      <c r="R735" s="93"/>
      <c r="S735" s="93"/>
      <c r="T735" s="93"/>
      <c r="U735" s="93"/>
      <c r="V735" s="93"/>
      <c r="W735" s="93"/>
    </row>
    <row r="736" spans="2:23" s="14" customFormat="1" ht="17.100000000000001" customHeight="1">
      <c r="B736" s="89"/>
      <c r="C736" s="90"/>
      <c r="D736" s="91"/>
      <c r="E736" s="92"/>
      <c r="F736" s="89"/>
      <c r="G736" s="89"/>
      <c r="H736" s="89"/>
      <c r="I736" s="89"/>
      <c r="J736" s="89"/>
      <c r="K736" s="89"/>
      <c r="L736" s="93"/>
      <c r="M736" s="93"/>
      <c r="N736" s="93"/>
      <c r="O736" s="93"/>
      <c r="P736" s="93"/>
      <c r="Q736" s="93"/>
      <c r="R736" s="93"/>
      <c r="S736" s="93"/>
      <c r="T736" s="93"/>
      <c r="U736" s="93"/>
      <c r="V736" s="93"/>
      <c r="W736" s="93"/>
    </row>
    <row r="737" spans="2:23" s="14" customFormat="1" ht="17.100000000000001" customHeight="1">
      <c r="B737" s="89"/>
      <c r="C737" s="90"/>
      <c r="D737" s="91"/>
      <c r="E737" s="92"/>
      <c r="F737" s="89"/>
      <c r="G737" s="89"/>
      <c r="H737" s="89"/>
      <c r="I737" s="89"/>
      <c r="J737" s="89"/>
      <c r="K737" s="89"/>
      <c r="L737" s="93"/>
      <c r="M737" s="93"/>
      <c r="N737" s="93"/>
      <c r="O737" s="93"/>
      <c r="P737" s="93"/>
      <c r="Q737" s="93"/>
      <c r="R737" s="93"/>
      <c r="S737" s="93"/>
      <c r="T737" s="93"/>
      <c r="U737" s="93"/>
      <c r="V737" s="93"/>
      <c r="W737" s="93"/>
    </row>
    <row r="738" spans="2:23" s="14" customFormat="1" ht="17.100000000000001" customHeight="1">
      <c r="B738" s="89"/>
      <c r="C738" s="90"/>
      <c r="D738" s="91"/>
      <c r="E738" s="92"/>
      <c r="F738" s="89"/>
      <c r="G738" s="89"/>
      <c r="H738" s="89"/>
      <c r="I738" s="89"/>
      <c r="J738" s="89"/>
      <c r="K738" s="89"/>
      <c r="L738" s="93"/>
      <c r="M738" s="93"/>
      <c r="N738" s="93"/>
      <c r="O738" s="93"/>
      <c r="P738" s="93"/>
      <c r="Q738" s="93"/>
      <c r="R738" s="93"/>
      <c r="S738" s="93"/>
      <c r="T738" s="93"/>
      <c r="U738" s="93"/>
      <c r="V738" s="93"/>
      <c r="W738" s="93"/>
    </row>
    <row r="739" spans="2:23" s="14" customFormat="1" ht="17.100000000000001" customHeight="1">
      <c r="B739" s="89"/>
      <c r="C739" s="90"/>
      <c r="D739" s="91"/>
      <c r="E739" s="92"/>
      <c r="F739" s="89"/>
      <c r="G739" s="89"/>
      <c r="H739" s="89"/>
      <c r="I739" s="89"/>
      <c r="J739" s="89"/>
      <c r="K739" s="89"/>
      <c r="L739" s="93"/>
      <c r="M739" s="93"/>
      <c r="N739" s="93"/>
      <c r="O739" s="93"/>
      <c r="P739" s="93"/>
      <c r="Q739" s="93"/>
      <c r="R739" s="93"/>
      <c r="S739" s="93"/>
      <c r="T739" s="93"/>
      <c r="U739" s="93"/>
      <c r="V739" s="93"/>
      <c r="W739" s="93"/>
    </row>
    <row r="740" spans="2:23" s="14" customFormat="1" ht="17.100000000000001" customHeight="1">
      <c r="B740" s="89"/>
      <c r="C740" s="90"/>
      <c r="D740" s="91"/>
      <c r="E740" s="92"/>
      <c r="F740" s="89"/>
      <c r="G740" s="89"/>
      <c r="H740" s="89"/>
      <c r="I740" s="89"/>
      <c r="J740" s="89"/>
      <c r="K740" s="89"/>
      <c r="L740" s="93"/>
      <c r="M740" s="93"/>
      <c r="N740" s="93"/>
      <c r="O740" s="93"/>
      <c r="P740" s="93"/>
      <c r="Q740" s="93"/>
      <c r="R740" s="93"/>
      <c r="S740" s="93"/>
      <c r="T740" s="93"/>
      <c r="U740" s="93"/>
      <c r="V740" s="93"/>
      <c r="W740" s="93"/>
    </row>
    <row r="741" spans="2:23" s="14" customFormat="1" ht="17.100000000000001" customHeight="1">
      <c r="B741" s="89"/>
      <c r="C741" s="90"/>
      <c r="D741" s="91"/>
      <c r="E741" s="92"/>
      <c r="F741" s="89"/>
      <c r="G741" s="89"/>
      <c r="H741" s="89"/>
      <c r="I741" s="89"/>
      <c r="J741" s="89"/>
      <c r="K741" s="89"/>
      <c r="L741" s="93"/>
      <c r="M741" s="93"/>
      <c r="N741" s="93"/>
      <c r="O741" s="93"/>
      <c r="P741" s="93"/>
      <c r="Q741" s="93"/>
      <c r="R741" s="93"/>
      <c r="S741" s="93"/>
      <c r="T741" s="93"/>
      <c r="U741" s="93"/>
      <c r="V741" s="93"/>
      <c r="W741" s="93"/>
    </row>
    <row r="742" spans="2:23" s="14" customFormat="1" ht="17.100000000000001" customHeight="1">
      <c r="B742" s="89"/>
      <c r="C742" s="90"/>
      <c r="D742" s="91"/>
      <c r="E742" s="92"/>
      <c r="F742" s="89"/>
      <c r="G742" s="89"/>
      <c r="H742" s="89"/>
      <c r="I742" s="89"/>
      <c r="J742" s="89"/>
      <c r="K742" s="89"/>
      <c r="L742" s="93"/>
      <c r="M742" s="93"/>
      <c r="N742" s="93"/>
      <c r="O742" s="93"/>
      <c r="P742" s="93"/>
      <c r="Q742" s="93"/>
      <c r="R742" s="93"/>
      <c r="S742" s="93"/>
      <c r="T742" s="93"/>
      <c r="U742" s="93"/>
      <c r="V742" s="93"/>
      <c r="W742" s="93"/>
    </row>
    <row r="743" spans="2:23" s="14" customFormat="1" ht="17.100000000000001" customHeight="1">
      <c r="B743" s="89"/>
      <c r="C743" s="90"/>
      <c r="D743" s="91"/>
      <c r="E743" s="92"/>
      <c r="F743" s="89"/>
      <c r="G743" s="89"/>
      <c r="H743" s="89"/>
      <c r="I743" s="89"/>
      <c r="J743" s="89"/>
      <c r="K743" s="89"/>
      <c r="L743" s="93"/>
      <c r="M743" s="93"/>
      <c r="N743" s="93"/>
      <c r="O743" s="93"/>
      <c r="P743" s="93"/>
      <c r="Q743" s="93"/>
      <c r="R743" s="93"/>
      <c r="S743" s="93"/>
      <c r="T743" s="93"/>
      <c r="U743" s="93"/>
      <c r="V743" s="93"/>
      <c r="W743" s="93"/>
    </row>
    <row r="744" spans="2:23" s="14" customFormat="1" ht="17.100000000000001" customHeight="1">
      <c r="B744" s="89"/>
      <c r="C744" s="90"/>
      <c r="D744" s="91"/>
      <c r="E744" s="92"/>
      <c r="F744" s="89"/>
      <c r="G744" s="89"/>
      <c r="H744" s="89"/>
      <c r="I744" s="89"/>
      <c r="J744" s="89"/>
      <c r="K744" s="89"/>
      <c r="L744" s="93"/>
      <c r="M744" s="93"/>
      <c r="N744" s="93"/>
      <c r="O744" s="93"/>
      <c r="P744" s="93"/>
      <c r="Q744" s="93"/>
      <c r="R744" s="93"/>
      <c r="S744" s="93"/>
      <c r="T744" s="93"/>
      <c r="U744" s="93"/>
      <c r="V744" s="93"/>
      <c r="W744" s="93"/>
    </row>
    <row r="745" spans="2:23" s="14" customFormat="1" ht="17.100000000000001" customHeight="1">
      <c r="B745" s="89"/>
      <c r="C745" s="90"/>
      <c r="D745" s="91"/>
      <c r="E745" s="92"/>
      <c r="F745" s="89"/>
      <c r="G745" s="89"/>
      <c r="H745" s="89"/>
      <c r="I745" s="89"/>
      <c r="J745" s="89"/>
      <c r="K745" s="89"/>
      <c r="L745" s="93"/>
      <c r="M745" s="93"/>
      <c r="N745" s="93"/>
      <c r="O745" s="93"/>
      <c r="P745" s="93"/>
      <c r="Q745" s="93"/>
      <c r="R745" s="93"/>
      <c r="S745" s="93"/>
      <c r="T745" s="93"/>
      <c r="U745" s="93"/>
      <c r="V745" s="93"/>
      <c r="W745" s="93"/>
    </row>
    <row r="746" spans="2:23" s="14" customFormat="1" ht="17.100000000000001" customHeight="1">
      <c r="B746" s="89"/>
      <c r="C746" s="90"/>
      <c r="D746" s="91"/>
      <c r="E746" s="92"/>
      <c r="F746" s="89"/>
      <c r="G746" s="89"/>
      <c r="H746" s="89"/>
      <c r="I746" s="89"/>
      <c r="J746" s="89"/>
      <c r="K746" s="89"/>
      <c r="L746" s="93"/>
      <c r="M746" s="93"/>
      <c r="N746" s="93"/>
      <c r="O746" s="93"/>
      <c r="P746" s="93"/>
      <c r="Q746" s="93"/>
      <c r="R746" s="93"/>
      <c r="S746" s="93"/>
      <c r="T746" s="93"/>
      <c r="U746" s="93"/>
      <c r="V746" s="93"/>
      <c r="W746" s="93"/>
    </row>
    <row r="747" spans="2:23" s="14" customFormat="1" ht="17.100000000000001" customHeight="1">
      <c r="B747" s="89"/>
      <c r="C747" s="90"/>
      <c r="D747" s="91"/>
      <c r="E747" s="92"/>
      <c r="F747" s="89"/>
      <c r="G747" s="89"/>
      <c r="H747" s="89"/>
      <c r="I747" s="89"/>
      <c r="J747" s="89"/>
      <c r="K747" s="89"/>
      <c r="L747" s="93"/>
      <c r="M747" s="93"/>
      <c r="N747" s="93"/>
      <c r="O747" s="93"/>
      <c r="P747" s="93"/>
      <c r="Q747" s="93"/>
      <c r="R747" s="93"/>
      <c r="S747" s="93"/>
      <c r="T747" s="93"/>
      <c r="U747" s="93"/>
      <c r="V747" s="93"/>
      <c r="W747" s="93"/>
    </row>
    <row r="748" spans="2:23" s="14" customFormat="1" ht="17.100000000000001" customHeight="1">
      <c r="B748" s="89"/>
      <c r="C748" s="90"/>
      <c r="D748" s="91"/>
      <c r="E748" s="92"/>
      <c r="F748" s="89"/>
      <c r="G748" s="89"/>
      <c r="H748" s="89"/>
      <c r="I748" s="89"/>
      <c r="J748" s="89"/>
      <c r="K748" s="89"/>
      <c r="L748" s="93"/>
      <c r="M748" s="93"/>
      <c r="N748" s="93"/>
      <c r="O748" s="93"/>
      <c r="P748" s="93"/>
      <c r="Q748" s="93"/>
      <c r="R748" s="93"/>
      <c r="S748" s="93"/>
      <c r="T748" s="93"/>
      <c r="U748" s="93"/>
      <c r="V748" s="93"/>
      <c r="W748" s="93"/>
    </row>
    <row r="749" spans="2:23" s="14" customFormat="1" ht="17.100000000000001" customHeight="1">
      <c r="B749" s="89"/>
      <c r="C749" s="90"/>
      <c r="D749" s="91"/>
      <c r="E749" s="92"/>
      <c r="F749" s="89"/>
      <c r="G749" s="89"/>
      <c r="H749" s="89"/>
      <c r="I749" s="89"/>
      <c r="J749" s="89"/>
      <c r="K749" s="89"/>
      <c r="L749" s="93"/>
      <c r="M749" s="93"/>
      <c r="N749" s="93"/>
      <c r="O749" s="93"/>
      <c r="P749" s="93"/>
      <c r="Q749" s="93"/>
      <c r="R749" s="93"/>
      <c r="S749" s="93"/>
      <c r="T749" s="93"/>
      <c r="U749" s="93"/>
      <c r="V749" s="93"/>
      <c r="W749" s="93"/>
    </row>
    <row r="750" spans="2:23" s="14" customFormat="1" ht="17.100000000000001" customHeight="1">
      <c r="B750" s="89"/>
      <c r="C750" s="90"/>
      <c r="D750" s="91"/>
      <c r="E750" s="92"/>
      <c r="F750" s="89"/>
      <c r="G750" s="89"/>
      <c r="H750" s="89"/>
      <c r="I750" s="89"/>
      <c r="J750" s="89"/>
      <c r="K750" s="89"/>
      <c r="L750" s="93"/>
      <c r="M750" s="93"/>
      <c r="N750" s="93"/>
      <c r="O750" s="93"/>
      <c r="P750" s="93"/>
      <c r="Q750" s="93"/>
      <c r="R750" s="93"/>
      <c r="S750" s="93"/>
      <c r="T750" s="93"/>
      <c r="U750" s="93"/>
      <c r="V750" s="93"/>
      <c r="W750" s="93"/>
    </row>
    <row r="751" spans="2:23" s="14" customFormat="1" ht="17.100000000000001" customHeight="1">
      <c r="B751" s="89"/>
      <c r="C751" s="90"/>
      <c r="D751" s="91"/>
      <c r="E751" s="92"/>
      <c r="F751" s="89"/>
      <c r="G751" s="89"/>
      <c r="H751" s="89"/>
      <c r="I751" s="89"/>
      <c r="J751" s="89"/>
      <c r="K751" s="89"/>
      <c r="L751" s="93"/>
      <c r="M751" s="93"/>
      <c r="N751" s="93"/>
      <c r="O751" s="93"/>
      <c r="P751" s="93"/>
      <c r="Q751" s="93"/>
      <c r="R751" s="93"/>
      <c r="S751" s="93"/>
      <c r="T751" s="93"/>
      <c r="U751" s="93"/>
      <c r="V751" s="93"/>
      <c r="W751" s="93"/>
    </row>
    <row r="752" spans="2:23" s="14" customFormat="1" ht="17.100000000000001" customHeight="1">
      <c r="B752" s="89"/>
      <c r="C752" s="90"/>
      <c r="D752" s="91"/>
      <c r="E752" s="92"/>
      <c r="F752" s="89"/>
      <c r="G752" s="89"/>
      <c r="H752" s="89"/>
      <c r="I752" s="89"/>
      <c r="J752" s="89"/>
      <c r="K752" s="89"/>
      <c r="L752" s="93"/>
      <c r="M752" s="93"/>
      <c r="N752" s="93"/>
      <c r="O752" s="93"/>
      <c r="P752" s="93"/>
      <c r="Q752" s="93"/>
      <c r="R752" s="93"/>
      <c r="S752" s="93"/>
      <c r="T752" s="93"/>
      <c r="U752" s="93"/>
      <c r="V752" s="93"/>
      <c r="W752" s="93"/>
    </row>
    <row r="753" spans="2:23" s="14" customFormat="1" ht="17.100000000000001" customHeight="1">
      <c r="B753" s="89"/>
      <c r="C753" s="90"/>
      <c r="D753" s="91"/>
      <c r="E753" s="92"/>
      <c r="F753" s="89"/>
      <c r="G753" s="89"/>
      <c r="H753" s="89"/>
      <c r="I753" s="89"/>
      <c r="J753" s="89"/>
      <c r="K753" s="89"/>
      <c r="L753" s="93"/>
      <c r="M753" s="93"/>
      <c r="N753" s="93"/>
      <c r="O753" s="93"/>
      <c r="P753" s="93"/>
      <c r="Q753" s="93"/>
      <c r="R753" s="93"/>
      <c r="S753" s="93"/>
      <c r="T753" s="93"/>
      <c r="U753" s="93"/>
      <c r="V753" s="93"/>
      <c r="W753" s="93"/>
    </row>
    <row r="754" spans="2:23" s="14" customFormat="1" ht="17.100000000000001" customHeight="1">
      <c r="B754" s="89"/>
      <c r="C754" s="90"/>
      <c r="D754" s="91"/>
      <c r="E754" s="92"/>
      <c r="F754" s="89"/>
      <c r="G754" s="89"/>
      <c r="H754" s="89"/>
      <c r="I754" s="89"/>
      <c r="J754" s="89"/>
      <c r="K754" s="89"/>
      <c r="L754" s="93"/>
      <c r="M754" s="93"/>
      <c r="N754" s="93"/>
      <c r="O754" s="93"/>
      <c r="P754" s="93"/>
      <c r="Q754" s="93"/>
      <c r="R754" s="93"/>
      <c r="S754" s="93"/>
      <c r="T754" s="93"/>
      <c r="U754" s="93"/>
      <c r="V754" s="93"/>
      <c r="W754" s="93"/>
    </row>
    <row r="755" spans="2:23" s="14" customFormat="1" ht="17.100000000000001" customHeight="1">
      <c r="B755" s="89"/>
      <c r="C755" s="90"/>
      <c r="D755" s="91"/>
      <c r="E755" s="92"/>
      <c r="F755" s="89"/>
      <c r="G755" s="89"/>
      <c r="H755" s="89"/>
      <c r="I755" s="89"/>
      <c r="J755" s="89"/>
      <c r="K755" s="89"/>
      <c r="L755" s="93"/>
      <c r="M755" s="93"/>
      <c r="N755" s="93"/>
      <c r="O755" s="93"/>
      <c r="P755" s="93"/>
      <c r="Q755" s="93"/>
      <c r="R755" s="93"/>
      <c r="S755" s="93"/>
      <c r="T755" s="93"/>
      <c r="U755" s="93"/>
      <c r="V755" s="93"/>
      <c r="W755" s="93"/>
    </row>
    <row r="756" spans="2:23" s="14" customFormat="1" ht="17.100000000000001" customHeight="1">
      <c r="B756" s="89"/>
      <c r="C756" s="90"/>
      <c r="D756" s="91"/>
      <c r="E756" s="92"/>
      <c r="F756" s="89"/>
      <c r="G756" s="89"/>
      <c r="H756" s="89"/>
      <c r="I756" s="89"/>
      <c r="J756" s="89"/>
      <c r="K756" s="89"/>
      <c r="L756" s="93"/>
      <c r="M756" s="93"/>
      <c r="N756" s="93"/>
      <c r="O756" s="93"/>
      <c r="P756" s="93"/>
      <c r="Q756" s="93"/>
      <c r="R756" s="93"/>
      <c r="S756" s="93"/>
      <c r="T756" s="93"/>
      <c r="U756" s="93"/>
      <c r="V756" s="93"/>
      <c r="W756" s="93"/>
    </row>
    <row r="757" spans="2:23" s="14" customFormat="1" ht="17.100000000000001" customHeight="1">
      <c r="B757" s="89"/>
      <c r="C757" s="90"/>
      <c r="D757" s="91"/>
      <c r="E757" s="92"/>
      <c r="F757" s="89"/>
      <c r="G757" s="89"/>
      <c r="H757" s="89"/>
      <c r="I757" s="89"/>
      <c r="J757" s="89"/>
      <c r="K757" s="89"/>
      <c r="L757" s="93"/>
      <c r="M757" s="93"/>
      <c r="N757" s="93"/>
      <c r="O757" s="93"/>
      <c r="P757" s="93"/>
      <c r="Q757" s="93"/>
      <c r="R757" s="93"/>
      <c r="S757" s="93"/>
      <c r="T757" s="93"/>
      <c r="U757" s="93"/>
      <c r="V757" s="93"/>
      <c r="W757" s="93"/>
    </row>
    <row r="758" spans="2:23" s="14" customFormat="1" ht="17.100000000000001" customHeight="1">
      <c r="B758" s="89"/>
      <c r="C758" s="90"/>
      <c r="D758" s="91"/>
      <c r="E758" s="92"/>
      <c r="F758" s="89"/>
      <c r="G758" s="89"/>
      <c r="H758" s="89"/>
      <c r="I758" s="89"/>
      <c r="J758" s="89"/>
      <c r="K758" s="89"/>
      <c r="L758" s="93"/>
      <c r="M758" s="93"/>
      <c r="N758" s="93"/>
      <c r="O758" s="93"/>
      <c r="P758" s="93"/>
      <c r="Q758" s="93"/>
      <c r="R758" s="93"/>
      <c r="S758" s="93"/>
      <c r="T758" s="93"/>
      <c r="U758" s="93"/>
      <c r="V758" s="93"/>
      <c r="W758" s="93"/>
    </row>
    <row r="759" spans="2:23" s="14" customFormat="1" ht="17.100000000000001" customHeight="1">
      <c r="B759" s="89"/>
      <c r="C759" s="90"/>
      <c r="D759" s="91"/>
      <c r="E759" s="92"/>
      <c r="F759" s="89"/>
      <c r="G759" s="89"/>
      <c r="H759" s="89"/>
      <c r="I759" s="89"/>
      <c r="J759" s="89"/>
      <c r="K759" s="89"/>
      <c r="L759" s="93"/>
      <c r="M759" s="93"/>
      <c r="N759" s="93"/>
      <c r="O759" s="93"/>
      <c r="P759" s="93"/>
      <c r="Q759" s="93"/>
      <c r="R759" s="93"/>
      <c r="S759" s="93"/>
      <c r="T759" s="93"/>
      <c r="U759" s="93"/>
      <c r="V759" s="93"/>
      <c r="W759" s="93"/>
    </row>
    <row r="760" spans="2:23" s="14" customFormat="1" ht="17.100000000000001" customHeight="1">
      <c r="B760" s="89"/>
      <c r="C760" s="90"/>
      <c r="D760" s="91"/>
      <c r="E760" s="92"/>
      <c r="F760" s="89"/>
      <c r="G760" s="89"/>
      <c r="H760" s="89"/>
      <c r="I760" s="89"/>
      <c r="J760" s="89"/>
      <c r="K760" s="89"/>
      <c r="L760" s="93"/>
      <c r="M760" s="93"/>
      <c r="N760" s="93"/>
      <c r="O760" s="93"/>
      <c r="P760" s="93"/>
      <c r="Q760" s="93"/>
      <c r="R760" s="93"/>
      <c r="S760" s="93"/>
      <c r="T760" s="93"/>
      <c r="U760" s="93"/>
      <c r="V760" s="93"/>
      <c r="W760" s="93"/>
    </row>
    <row r="761" spans="2:23" s="14" customFormat="1" ht="17.100000000000001" customHeight="1">
      <c r="B761" s="89"/>
      <c r="C761" s="90"/>
      <c r="D761" s="91"/>
      <c r="E761" s="92"/>
      <c r="F761" s="89"/>
      <c r="G761" s="89"/>
      <c r="H761" s="89"/>
      <c r="I761" s="89"/>
      <c r="J761" s="89"/>
      <c r="K761" s="89"/>
      <c r="L761" s="93"/>
      <c r="M761" s="93"/>
      <c r="N761" s="93"/>
      <c r="O761" s="93"/>
      <c r="P761" s="93"/>
      <c r="Q761" s="93"/>
      <c r="R761" s="93"/>
      <c r="S761" s="93"/>
      <c r="T761" s="93"/>
      <c r="U761" s="93"/>
      <c r="V761" s="93"/>
      <c r="W761" s="93"/>
    </row>
    <row r="762" spans="2:23" s="14" customFormat="1" ht="17.100000000000001" customHeight="1">
      <c r="B762" s="89"/>
      <c r="C762" s="90"/>
      <c r="D762" s="91"/>
      <c r="E762" s="92"/>
      <c r="F762" s="89"/>
      <c r="G762" s="89"/>
      <c r="H762" s="89"/>
      <c r="I762" s="89"/>
      <c r="J762" s="89"/>
      <c r="K762" s="89"/>
      <c r="L762" s="93"/>
      <c r="M762" s="93"/>
      <c r="N762" s="93"/>
      <c r="O762" s="93"/>
      <c r="P762" s="93"/>
      <c r="Q762" s="93"/>
      <c r="R762" s="93"/>
      <c r="S762" s="93"/>
      <c r="T762" s="93"/>
      <c r="U762" s="93"/>
      <c r="V762" s="93"/>
      <c r="W762" s="93"/>
    </row>
    <row r="763" spans="2:23" s="14" customFormat="1" ht="17.100000000000001" customHeight="1">
      <c r="B763" s="89"/>
      <c r="C763" s="90"/>
      <c r="D763" s="91"/>
      <c r="E763" s="92"/>
      <c r="F763" s="89"/>
      <c r="G763" s="89"/>
      <c r="H763" s="89"/>
      <c r="I763" s="89"/>
      <c r="J763" s="89"/>
      <c r="K763" s="89"/>
      <c r="L763" s="93"/>
      <c r="M763" s="93"/>
      <c r="N763" s="93"/>
      <c r="O763" s="93"/>
      <c r="P763" s="93"/>
      <c r="Q763" s="93"/>
      <c r="R763" s="93"/>
      <c r="S763" s="93"/>
      <c r="T763" s="93"/>
      <c r="U763" s="93"/>
      <c r="V763" s="93"/>
      <c r="W763" s="93"/>
    </row>
    <row r="764" spans="2:23" s="14" customFormat="1" ht="17.100000000000001" customHeight="1">
      <c r="B764" s="89"/>
      <c r="C764" s="90"/>
      <c r="D764" s="91"/>
      <c r="E764" s="92"/>
      <c r="F764" s="89"/>
      <c r="G764" s="89"/>
      <c r="H764" s="89"/>
      <c r="I764" s="89"/>
      <c r="J764" s="89"/>
      <c r="K764" s="89"/>
      <c r="L764" s="93"/>
      <c r="M764" s="93"/>
      <c r="N764" s="93"/>
      <c r="O764" s="93"/>
      <c r="P764" s="93"/>
      <c r="Q764" s="93"/>
      <c r="R764" s="93"/>
      <c r="S764" s="93"/>
      <c r="T764" s="93"/>
      <c r="U764" s="93"/>
      <c r="V764" s="93"/>
      <c r="W764" s="93"/>
    </row>
    <row r="765" spans="2:23" s="14" customFormat="1" ht="17.100000000000001" customHeight="1">
      <c r="B765" s="89"/>
      <c r="C765" s="90"/>
      <c r="D765" s="91"/>
      <c r="E765" s="92"/>
      <c r="F765" s="89"/>
      <c r="G765" s="89"/>
      <c r="H765" s="89"/>
      <c r="I765" s="89"/>
      <c r="J765" s="89"/>
      <c r="K765" s="89"/>
      <c r="L765" s="93"/>
      <c r="M765" s="93"/>
      <c r="N765" s="93"/>
      <c r="O765" s="93"/>
      <c r="P765" s="93"/>
      <c r="Q765" s="93"/>
      <c r="R765" s="93"/>
      <c r="S765" s="93"/>
      <c r="T765" s="93"/>
      <c r="U765" s="93"/>
      <c r="V765" s="93"/>
      <c r="W765" s="93"/>
    </row>
    <row r="766" spans="2:23" s="14" customFormat="1" ht="17.100000000000001" customHeight="1">
      <c r="B766" s="89"/>
      <c r="C766" s="90"/>
      <c r="D766" s="91"/>
      <c r="E766" s="92"/>
      <c r="F766" s="89"/>
      <c r="G766" s="89"/>
      <c r="H766" s="89"/>
      <c r="I766" s="89"/>
      <c r="J766" s="89"/>
      <c r="K766" s="89"/>
      <c r="L766" s="93"/>
      <c r="M766" s="93"/>
      <c r="N766" s="93"/>
      <c r="O766" s="93"/>
      <c r="P766" s="93"/>
      <c r="Q766" s="93"/>
      <c r="R766" s="93"/>
      <c r="S766" s="93"/>
      <c r="T766" s="93"/>
      <c r="U766" s="93"/>
      <c r="V766" s="93"/>
      <c r="W766" s="93"/>
    </row>
    <row r="767" spans="2:23" s="14" customFormat="1" ht="17.100000000000001" customHeight="1">
      <c r="B767" s="89"/>
      <c r="C767" s="90"/>
      <c r="D767" s="91"/>
      <c r="E767" s="92"/>
      <c r="F767" s="89"/>
      <c r="G767" s="89"/>
      <c r="H767" s="89"/>
      <c r="I767" s="89"/>
      <c r="J767" s="89"/>
      <c r="K767" s="89"/>
      <c r="L767" s="93"/>
      <c r="M767" s="93"/>
      <c r="N767" s="93"/>
      <c r="O767" s="93"/>
      <c r="P767" s="93"/>
      <c r="Q767" s="93"/>
      <c r="R767" s="93"/>
      <c r="S767" s="93"/>
      <c r="T767" s="93"/>
      <c r="U767" s="93"/>
      <c r="V767" s="93"/>
      <c r="W767" s="93"/>
    </row>
    <row r="768" spans="2:23" s="14" customFormat="1" ht="17.100000000000001" customHeight="1">
      <c r="B768" s="89"/>
      <c r="C768" s="90"/>
      <c r="D768" s="91"/>
      <c r="E768" s="92"/>
      <c r="F768" s="89"/>
      <c r="G768" s="89"/>
      <c r="H768" s="89"/>
      <c r="I768" s="89"/>
      <c r="J768" s="89"/>
      <c r="K768" s="89"/>
      <c r="L768" s="93"/>
      <c r="M768" s="93"/>
      <c r="N768" s="93"/>
      <c r="O768" s="93"/>
      <c r="P768" s="93"/>
      <c r="Q768" s="93"/>
      <c r="R768" s="93"/>
      <c r="S768" s="93"/>
      <c r="T768" s="93"/>
      <c r="U768" s="93"/>
      <c r="V768" s="93"/>
      <c r="W768" s="93"/>
    </row>
    <row r="769" spans="2:23" s="14" customFormat="1" ht="17.100000000000001" customHeight="1">
      <c r="B769" s="89"/>
      <c r="C769" s="90"/>
      <c r="D769" s="91"/>
      <c r="E769" s="92"/>
      <c r="F769" s="89"/>
      <c r="G769" s="89"/>
      <c r="H769" s="89"/>
      <c r="I769" s="89"/>
      <c r="J769" s="89"/>
      <c r="K769" s="89"/>
      <c r="L769" s="93"/>
      <c r="M769" s="93"/>
      <c r="N769" s="93"/>
      <c r="O769" s="93"/>
      <c r="P769" s="93"/>
      <c r="Q769" s="93"/>
      <c r="R769" s="93"/>
      <c r="S769" s="93"/>
      <c r="T769" s="93"/>
      <c r="U769" s="93"/>
      <c r="V769" s="93"/>
      <c r="W769" s="93"/>
    </row>
    <row r="770" spans="2:23" s="14" customFormat="1" ht="17.100000000000001" customHeight="1">
      <c r="B770" s="89"/>
      <c r="C770" s="90"/>
      <c r="D770" s="91"/>
      <c r="E770" s="92"/>
      <c r="F770" s="89"/>
      <c r="G770" s="89"/>
      <c r="H770" s="89"/>
      <c r="I770" s="89"/>
      <c r="J770" s="89"/>
      <c r="K770" s="89"/>
      <c r="L770" s="93"/>
      <c r="M770" s="93"/>
      <c r="N770" s="93"/>
      <c r="O770" s="93"/>
      <c r="P770" s="93"/>
      <c r="Q770" s="93"/>
      <c r="R770" s="93"/>
      <c r="S770" s="93"/>
      <c r="T770" s="93"/>
      <c r="U770" s="93"/>
      <c r="V770" s="93"/>
      <c r="W770" s="93"/>
    </row>
    <row r="771" spans="2:23" s="14" customFormat="1" ht="17.100000000000001" customHeight="1">
      <c r="B771" s="89"/>
      <c r="C771" s="90"/>
      <c r="D771" s="91"/>
      <c r="E771" s="92"/>
      <c r="F771" s="89"/>
      <c r="G771" s="89"/>
      <c r="H771" s="89"/>
      <c r="I771" s="89"/>
      <c r="J771" s="89"/>
      <c r="K771" s="89"/>
      <c r="L771" s="93"/>
      <c r="M771" s="93"/>
      <c r="N771" s="93"/>
      <c r="O771" s="93"/>
      <c r="P771" s="93"/>
      <c r="Q771" s="93"/>
      <c r="R771" s="93"/>
      <c r="S771" s="93"/>
      <c r="T771" s="93"/>
      <c r="U771" s="93"/>
      <c r="V771" s="93"/>
      <c r="W771" s="93"/>
    </row>
    <row r="772" spans="2:23" s="14" customFormat="1" ht="17.100000000000001" customHeight="1">
      <c r="B772" s="89"/>
      <c r="C772" s="90"/>
      <c r="D772" s="91"/>
      <c r="E772" s="92"/>
      <c r="F772" s="89"/>
      <c r="G772" s="89"/>
      <c r="H772" s="89"/>
      <c r="I772" s="89"/>
      <c r="J772" s="89"/>
      <c r="K772" s="89"/>
      <c r="L772" s="93"/>
      <c r="M772" s="93"/>
      <c r="N772" s="93"/>
      <c r="O772" s="93"/>
      <c r="P772" s="93"/>
      <c r="Q772" s="93"/>
      <c r="R772" s="93"/>
      <c r="S772" s="93"/>
      <c r="T772" s="93"/>
      <c r="U772" s="93"/>
      <c r="V772" s="93"/>
      <c r="W772" s="93"/>
    </row>
    <row r="773" spans="2:23" s="14" customFormat="1" ht="17.100000000000001" customHeight="1">
      <c r="B773" s="89"/>
      <c r="C773" s="90"/>
      <c r="D773" s="91"/>
      <c r="E773" s="92"/>
      <c r="F773" s="89"/>
      <c r="G773" s="89"/>
      <c r="H773" s="89"/>
      <c r="I773" s="89"/>
      <c r="J773" s="89"/>
      <c r="K773" s="89"/>
      <c r="L773" s="93"/>
      <c r="M773" s="93"/>
      <c r="N773" s="93"/>
      <c r="O773" s="93"/>
      <c r="P773" s="93"/>
      <c r="Q773" s="93"/>
      <c r="R773" s="93"/>
      <c r="S773" s="93"/>
      <c r="T773" s="93"/>
      <c r="U773" s="93"/>
      <c r="V773" s="93"/>
      <c r="W773" s="93"/>
    </row>
    <row r="774" spans="2:23" s="14" customFormat="1" ht="17.100000000000001" customHeight="1">
      <c r="B774" s="89"/>
      <c r="C774" s="90"/>
      <c r="D774" s="91"/>
      <c r="E774" s="92"/>
      <c r="F774" s="89"/>
      <c r="G774" s="89"/>
      <c r="H774" s="89"/>
      <c r="I774" s="89"/>
      <c r="J774" s="89"/>
      <c r="K774" s="89"/>
      <c r="L774" s="93"/>
      <c r="M774" s="93"/>
      <c r="N774" s="93"/>
      <c r="O774" s="93"/>
      <c r="P774" s="93"/>
      <c r="Q774" s="93"/>
      <c r="R774" s="93"/>
      <c r="S774" s="93"/>
      <c r="T774" s="93"/>
      <c r="U774" s="93"/>
      <c r="V774" s="93"/>
      <c r="W774" s="93"/>
    </row>
    <row r="775" spans="2:23" s="14" customFormat="1" ht="17.100000000000001" customHeight="1">
      <c r="B775" s="89"/>
      <c r="C775" s="90"/>
      <c r="D775" s="91"/>
      <c r="E775" s="92"/>
      <c r="F775" s="89"/>
      <c r="G775" s="89"/>
      <c r="H775" s="89"/>
      <c r="I775" s="89"/>
      <c r="J775" s="89"/>
      <c r="K775" s="89"/>
      <c r="L775" s="93"/>
      <c r="M775" s="93"/>
      <c r="N775" s="93"/>
      <c r="O775" s="93"/>
      <c r="P775" s="93"/>
      <c r="Q775" s="93"/>
      <c r="R775" s="93"/>
      <c r="S775" s="93"/>
      <c r="T775" s="93"/>
      <c r="U775" s="93"/>
      <c r="V775" s="93"/>
      <c r="W775" s="93"/>
    </row>
    <row r="776" spans="2:23" s="14" customFormat="1" ht="17.100000000000001" customHeight="1">
      <c r="B776" s="89"/>
      <c r="C776" s="90"/>
      <c r="D776" s="91"/>
      <c r="E776" s="92"/>
      <c r="F776" s="89"/>
      <c r="G776" s="89"/>
      <c r="H776" s="89"/>
      <c r="I776" s="89"/>
      <c r="J776" s="89"/>
      <c r="K776" s="89"/>
      <c r="L776" s="93"/>
      <c r="M776" s="93"/>
      <c r="N776" s="93"/>
      <c r="O776" s="93"/>
      <c r="P776" s="93"/>
      <c r="Q776" s="93"/>
      <c r="R776" s="93"/>
      <c r="S776" s="93"/>
      <c r="T776" s="93"/>
      <c r="U776" s="93"/>
      <c r="V776" s="93"/>
      <c r="W776" s="93"/>
    </row>
    <row r="777" spans="2:23" s="14" customFormat="1" ht="17.100000000000001" customHeight="1">
      <c r="B777" s="89"/>
      <c r="C777" s="90"/>
      <c r="D777" s="91"/>
      <c r="E777" s="92"/>
      <c r="F777" s="89"/>
      <c r="G777" s="89"/>
      <c r="H777" s="89"/>
      <c r="I777" s="89"/>
      <c r="J777" s="89"/>
      <c r="K777" s="89"/>
      <c r="L777" s="93"/>
      <c r="M777" s="93"/>
      <c r="N777" s="93"/>
      <c r="O777" s="93"/>
      <c r="P777" s="93"/>
      <c r="Q777" s="93"/>
      <c r="R777" s="93"/>
      <c r="S777" s="93"/>
      <c r="T777" s="93"/>
      <c r="U777" s="93"/>
      <c r="V777" s="93"/>
      <c r="W777" s="93"/>
    </row>
    <row r="778" spans="2:23" s="14" customFormat="1" ht="17.100000000000001" customHeight="1">
      <c r="B778" s="89"/>
      <c r="C778" s="90"/>
      <c r="D778" s="91"/>
      <c r="E778" s="92"/>
      <c r="F778" s="89"/>
      <c r="G778" s="89"/>
      <c r="H778" s="89"/>
      <c r="I778" s="89"/>
      <c r="J778" s="89"/>
      <c r="K778" s="89"/>
      <c r="L778" s="93"/>
      <c r="M778" s="93"/>
      <c r="N778" s="93"/>
      <c r="O778" s="93"/>
      <c r="P778" s="93"/>
      <c r="Q778" s="93"/>
      <c r="R778" s="93"/>
      <c r="S778" s="93"/>
      <c r="T778" s="93"/>
      <c r="U778" s="93"/>
      <c r="V778" s="93"/>
      <c r="W778" s="93"/>
    </row>
    <row r="779" spans="2:23" s="14" customFormat="1" ht="17.100000000000001" customHeight="1">
      <c r="B779" s="89"/>
      <c r="C779" s="90"/>
      <c r="D779" s="91"/>
      <c r="E779" s="92"/>
      <c r="F779" s="89"/>
      <c r="G779" s="89"/>
      <c r="H779" s="89"/>
      <c r="I779" s="89"/>
      <c r="J779" s="89"/>
      <c r="K779" s="89"/>
      <c r="L779" s="93"/>
      <c r="M779" s="93"/>
      <c r="N779" s="93"/>
      <c r="O779" s="93"/>
      <c r="P779" s="93"/>
      <c r="Q779" s="93"/>
      <c r="R779" s="93"/>
      <c r="S779" s="93"/>
      <c r="T779" s="93"/>
      <c r="U779" s="93"/>
      <c r="V779" s="93"/>
      <c r="W779" s="93"/>
    </row>
    <row r="780" spans="2:23" s="14" customFormat="1" ht="17.100000000000001" customHeight="1">
      <c r="B780" s="89"/>
      <c r="C780" s="90"/>
      <c r="D780" s="91"/>
      <c r="E780" s="92"/>
      <c r="F780" s="89"/>
      <c r="G780" s="89"/>
      <c r="H780" s="89"/>
      <c r="I780" s="89"/>
      <c r="J780" s="89"/>
      <c r="K780" s="89"/>
      <c r="L780" s="93"/>
      <c r="M780" s="93"/>
      <c r="N780" s="93"/>
      <c r="O780" s="93"/>
      <c r="P780" s="93"/>
      <c r="Q780" s="93"/>
      <c r="R780" s="93"/>
      <c r="S780" s="93"/>
      <c r="T780" s="93"/>
      <c r="U780" s="93"/>
      <c r="V780" s="93"/>
      <c r="W780" s="93"/>
    </row>
    <row r="781" spans="2:23" s="14" customFormat="1" ht="17.100000000000001" customHeight="1">
      <c r="B781" s="89"/>
      <c r="C781" s="90"/>
      <c r="D781" s="91"/>
      <c r="E781" s="92"/>
      <c r="F781" s="89"/>
      <c r="G781" s="89"/>
      <c r="H781" s="89"/>
      <c r="I781" s="89"/>
      <c r="J781" s="89"/>
      <c r="K781" s="89"/>
      <c r="L781" s="93"/>
      <c r="M781" s="93"/>
      <c r="N781" s="93"/>
      <c r="O781" s="93"/>
      <c r="P781" s="93"/>
      <c r="Q781" s="93"/>
      <c r="R781" s="93"/>
      <c r="S781" s="93"/>
      <c r="T781" s="93"/>
      <c r="U781" s="93"/>
      <c r="V781" s="93"/>
      <c r="W781" s="93"/>
    </row>
    <row r="782" spans="2:23" s="14" customFormat="1" ht="17.100000000000001" customHeight="1">
      <c r="B782" s="89"/>
      <c r="C782" s="90"/>
      <c r="D782" s="91"/>
      <c r="E782" s="92"/>
      <c r="F782" s="89"/>
      <c r="G782" s="89"/>
      <c r="H782" s="89"/>
      <c r="I782" s="89"/>
      <c r="J782" s="89"/>
      <c r="K782" s="89"/>
      <c r="L782" s="93"/>
      <c r="M782" s="93"/>
      <c r="N782" s="93"/>
      <c r="O782" s="93"/>
      <c r="P782" s="93"/>
      <c r="Q782" s="93"/>
      <c r="R782" s="93"/>
      <c r="S782" s="93"/>
      <c r="T782" s="93"/>
      <c r="U782" s="93"/>
      <c r="V782" s="93"/>
      <c r="W782" s="93"/>
    </row>
    <row r="783" spans="2:23" s="14" customFormat="1" ht="17.100000000000001" customHeight="1">
      <c r="B783" s="89"/>
      <c r="C783" s="90"/>
      <c r="D783" s="91"/>
      <c r="E783" s="92"/>
      <c r="F783" s="89"/>
      <c r="G783" s="89"/>
      <c r="H783" s="89"/>
      <c r="I783" s="89"/>
      <c r="J783" s="89"/>
      <c r="K783" s="89"/>
      <c r="L783" s="93"/>
      <c r="M783" s="93"/>
      <c r="N783" s="93"/>
      <c r="O783" s="93"/>
      <c r="P783" s="93"/>
      <c r="Q783" s="93"/>
      <c r="R783" s="93"/>
      <c r="S783" s="93"/>
      <c r="T783" s="93"/>
      <c r="U783" s="93"/>
      <c r="V783" s="93"/>
      <c r="W783" s="93"/>
    </row>
    <row r="784" spans="2:23" s="14" customFormat="1" ht="17.100000000000001" customHeight="1">
      <c r="B784" s="89"/>
      <c r="C784" s="90"/>
      <c r="D784" s="91"/>
      <c r="E784" s="92"/>
      <c r="F784" s="89"/>
      <c r="G784" s="89"/>
      <c r="H784" s="89"/>
      <c r="I784" s="89"/>
      <c r="J784" s="89"/>
      <c r="K784" s="89"/>
      <c r="L784" s="93"/>
      <c r="M784" s="93"/>
      <c r="N784" s="93"/>
      <c r="O784" s="93"/>
      <c r="P784" s="93"/>
      <c r="Q784" s="93"/>
      <c r="R784" s="93"/>
      <c r="S784" s="93"/>
      <c r="T784" s="93"/>
      <c r="U784" s="93"/>
      <c r="V784" s="93"/>
      <c r="W784" s="93"/>
    </row>
    <row r="785" spans="2:23" s="14" customFormat="1" ht="17.100000000000001" customHeight="1">
      <c r="B785" s="89"/>
      <c r="C785" s="90"/>
      <c r="D785" s="91"/>
      <c r="E785" s="92"/>
      <c r="F785" s="89"/>
      <c r="G785" s="89"/>
      <c r="H785" s="89"/>
      <c r="I785" s="89"/>
      <c r="J785" s="89"/>
      <c r="K785" s="89"/>
      <c r="L785" s="93"/>
      <c r="M785" s="93"/>
      <c r="N785" s="93"/>
      <c r="O785" s="93"/>
      <c r="P785" s="93"/>
      <c r="Q785" s="93"/>
      <c r="R785" s="93"/>
      <c r="S785" s="93"/>
      <c r="T785" s="93"/>
      <c r="U785" s="93"/>
      <c r="V785" s="93"/>
      <c r="W785" s="93"/>
    </row>
    <row r="786" spans="2:23" s="14" customFormat="1" ht="17.100000000000001" customHeight="1">
      <c r="B786" s="89"/>
      <c r="C786" s="90"/>
      <c r="D786" s="91"/>
      <c r="E786" s="92"/>
      <c r="F786" s="89"/>
      <c r="G786" s="89"/>
      <c r="H786" s="89"/>
      <c r="I786" s="89"/>
      <c r="J786" s="89"/>
      <c r="K786" s="89"/>
      <c r="L786" s="93"/>
      <c r="M786" s="93"/>
      <c r="N786" s="93"/>
      <c r="O786" s="93"/>
      <c r="P786" s="93"/>
      <c r="Q786" s="93"/>
      <c r="R786" s="93"/>
      <c r="S786" s="93"/>
      <c r="T786" s="93"/>
      <c r="U786" s="93"/>
      <c r="V786" s="93"/>
      <c r="W786" s="93"/>
    </row>
    <row r="787" spans="2:23" s="14" customFormat="1" ht="17.100000000000001" customHeight="1">
      <c r="B787" s="89"/>
      <c r="C787" s="90"/>
      <c r="D787" s="91"/>
      <c r="E787" s="92"/>
      <c r="F787" s="89"/>
      <c r="G787" s="89"/>
      <c r="H787" s="89"/>
      <c r="I787" s="89"/>
      <c r="J787" s="89"/>
      <c r="K787" s="89"/>
      <c r="L787" s="93"/>
      <c r="M787" s="93"/>
      <c r="N787" s="93"/>
      <c r="O787" s="93"/>
      <c r="P787" s="93"/>
      <c r="Q787" s="93"/>
      <c r="R787" s="93"/>
      <c r="S787" s="93"/>
      <c r="T787" s="93"/>
      <c r="U787" s="93"/>
      <c r="V787" s="93"/>
      <c r="W787" s="93"/>
    </row>
    <row r="788" spans="2:23" s="14" customFormat="1" ht="17.100000000000001" customHeight="1">
      <c r="B788" s="89"/>
      <c r="C788" s="90"/>
      <c r="D788" s="91"/>
      <c r="E788" s="92"/>
      <c r="F788" s="89"/>
      <c r="G788" s="89"/>
      <c r="H788" s="89"/>
      <c r="I788" s="89"/>
      <c r="J788" s="89"/>
      <c r="K788" s="89"/>
      <c r="L788" s="93"/>
      <c r="M788" s="93"/>
      <c r="N788" s="93"/>
      <c r="O788" s="93"/>
      <c r="P788" s="93"/>
      <c r="Q788" s="93"/>
      <c r="R788" s="93"/>
      <c r="S788" s="93"/>
      <c r="T788" s="93"/>
      <c r="U788" s="93"/>
      <c r="V788" s="93"/>
      <c r="W788" s="93"/>
    </row>
    <row r="789" spans="2:23" s="14" customFormat="1" ht="17.100000000000001" customHeight="1">
      <c r="B789" s="89"/>
      <c r="C789" s="90"/>
      <c r="D789" s="91"/>
      <c r="E789" s="92"/>
      <c r="F789" s="89"/>
      <c r="G789" s="89"/>
      <c r="H789" s="89"/>
      <c r="I789" s="89"/>
      <c r="J789" s="89"/>
      <c r="K789" s="89"/>
      <c r="L789" s="93"/>
      <c r="M789" s="93"/>
      <c r="N789" s="93"/>
      <c r="O789" s="93"/>
      <c r="P789" s="93"/>
      <c r="Q789" s="93"/>
      <c r="R789" s="93"/>
      <c r="S789" s="93"/>
      <c r="T789" s="93"/>
      <c r="U789" s="93"/>
      <c r="V789" s="93"/>
      <c r="W789" s="93"/>
    </row>
    <row r="790" spans="2:23" s="14" customFormat="1" ht="17.100000000000001" customHeight="1">
      <c r="B790" s="89"/>
      <c r="C790" s="90"/>
      <c r="D790" s="91"/>
      <c r="E790" s="92"/>
      <c r="F790" s="89"/>
      <c r="G790" s="89"/>
      <c r="H790" s="89"/>
      <c r="I790" s="89"/>
      <c r="J790" s="89"/>
      <c r="K790" s="89"/>
      <c r="L790" s="93"/>
      <c r="M790" s="93"/>
      <c r="N790" s="93"/>
      <c r="O790" s="93"/>
      <c r="P790" s="93"/>
      <c r="Q790" s="93"/>
      <c r="R790" s="93"/>
      <c r="S790" s="93"/>
      <c r="T790" s="93"/>
      <c r="U790" s="93"/>
      <c r="V790" s="93"/>
      <c r="W790" s="93"/>
    </row>
    <row r="791" spans="2:23" s="14" customFormat="1" ht="17.100000000000001" customHeight="1">
      <c r="B791" s="89"/>
      <c r="C791" s="90"/>
      <c r="D791" s="91"/>
      <c r="E791" s="92"/>
      <c r="F791" s="89"/>
      <c r="G791" s="89"/>
      <c r="H791" s="89"/>
      <c r="I791" s="89"/>
      <c r="J791" s="89"/>
      <c r="K791" s="89"/>
      <c r="L791" s="93"/>
      <c r="M791" s="93"/>
      <c r="N791" s="93"/>
      <c r="O791" s="93"/>
      <c r="P791" s="93"/>
      <c r="Q791" s="93"/>
      <c r="R791" s="93"/>
      <c r="S791" s="93"/>
      <c r="T791" s="93"/>
      <c r="U791" s="93"/>
      <c r="V791" s="93"/>
      <c r="W791" s="93"/>
    </row>
    <row r="792" spans="2:23" s="14" customFormat="1" ht="17.100000000000001" customHeight="1">
      <c r="B792" s="89"/>
      <c r="C792" s="90"/>
      <c r="D792" s="91"/>
      <c r="E792" s="92"/>
      <c r="F792" s="89"/>
      <c r="G792" s="89"/>
      <c r="H792" s="89"/>
      <c r="I792" s="89"/>
      <c r="J792" s="89"/>
      <c r="K792" s="89"/>
      <c r="L792" s="93"/>
      <c r="M792" s="93"/>
      <c r="N792" s="93"/>
      <c r="O792" s="93"/>
      <c r="P792" s="93"/>
      <c r="Q792" s="93"/>
      <c r="R792" s="93"/>
      <c r="S792" s="93"/>
      <c r="T792" s="93"/>
      <c r="U792" s="93"/>
      <c r="V792" s="93"/>
      <c r="W792" s="93"/>
    </row>
    <row r="793" spans="2:23" s="14" customFormat="1" ht="17.100000000000001" customHeight="1">
      <c r="B793" s="89"/>
      <c r="C793" s="90"/>
      <c r="D793" s="91"/>
      <c r="E793" s="92"/>
      <c r="F793" s="89"/>
      <c r="G793" s="89"/>
      <c r="H793" s="89"/>
      <c r="I793" s="89"/>
      <c r="J793" s="89"/>
      <c r="K793" s="89"/>
      <c r="L793" s="93"/>
      <c r="M793" s="93"/>
      <c r="N793" s="93"/>
      <c r="O793" s="93"/>
      <c r="P793" s="93"/>
      <c r="Q793" s="93"/>
      <c r="R793" s="93"/>
      <c r="S793" s="93"/>
      <c r="T793" s="93"/>
      <c r="U793" s="93"/>
      <c r="V793" s="93"/>
      <c r="W793" s="93"/>
    </row>
    <row r="794" spans="2:23" s="14" customFormat="1" ht="17.100000000000001" customHeight="1">
      <c r="B794" s="89"/>
      <c r="C794" s="90"/>
      <c r="D794" s="91"/>
      <c r="E794" s="92"/>
      <c r="F794" s="89"/>
      <c r="G794" s="89"/>
      <c r="H794" s="89"/>
      <c r="I794" s="89"/>
      <c r="J794" s="89"/>
      <c r="K794" s="89"/>
      <c r="L794" s="93"/>
      <c r="M794" s="93"/>
      <c r="N794" s="93"/>
      <c r="O794" s="93"/>
      <c r="P794" s="93"/>
      <c r="Q794" s="93"/>
      <c r="R794" s="93"/>
      <c r="S794" s="93"/>
      <c r="T794" s="93"/>
      <c r="U794" s="93"/>
      <c r="V794" s="93"/>
      <c r="W794" s="93"/>
    </row>
    <row r="795" spans="2:23" s="14" customFormat="1" ht="17.100000000000001" customHeight="1">
      <c r="B795" s="89"/>
      <c r="C795" s="90"/>
      <c r="D795" s="91"/>
      <c r="E795" s="92"/>
      <c r="F795" s="89"/>
      <c r="G795" s="89"/>
      <c r="H795" s="89"/>
      <c r="I795" s="89"/>
      <c r="J795" s="89"/>
      <c r="K795" s="89"/>
      <c r="L795" s="93"/>
      <c r="M795" s="93"/>
      <c r="N795" s="93"/>
      <c r="O795" s="93"/>
      <c r="P795" s="93"/>
      <c r="Q795" s="93"/>
      <c r="R795" s="93"/>
      <c r="S795" s="93"/>
      <c r="T795" s="93"/>
      <c r="U795" s="93"/>
      <c r="V795" s="93"/>
      <c r="W795" s="93"/>
    </row>
    <row r="796" spans="2:23" s="14" customFormat="1" ht="17.100000000000001" customHeight="1">
      <c r="B796" s="89"/>
      <c r="C796" s="90"/>
      <c r="D796" s="91"/>
      <c r="E796" s="92"/>
      <c r="F796" s="89"/>
      <c r="G796" s="89"/>
      <c r="H796" s="89"/>
      <c r="I796" s="89"/>
      <c r="J796" s="89"/>
      <c r="K796" s="89"/>
      <c r="L796" s="93"/>
      <c r="M796" s="93"/>
      <c r="N796" s="93"/>
      <c r="O796" s="93"/>
      <c r="P796" s="93"/>
      <c r="Q796" s="93"/>
      <c r="R796" s="93"/>
      <c r="S796" s="93"/>
      <c r="T796" s="93"/>
      <c r="U796" s="93"/>
      <c r="V796" s="93"/>
      <c r="W796" s="93"/>
    </row>
    <row r="797" spans="2:23" s="14" customFormat="1" ht="17.100000000000001" customHeight="1">
      <c r="B797" s="89"/>
      <c r="C797" s="90"/>
      <c r="D797" s="91"/>
      <c r="E797" s="92"/>
      <c r="F797" s="89"/>
      <c r="G797" s="89"/>
      <c r="H797" s="89"/>
      <c r="I797" s="89"/>
      <c r="J797" s="89"/>
      <c r="K797" s="89"/>
      <c r="L797" s="93"/>
      <c r="M797" s="93"/>
      <c r="N797" s="93"/>
      <c r="O797" s="93"/>
      <c r="P797" s="93"/>
      <c r="Q797" s="93"/>
      <c r="R797" s="93"/>
      <c r="S797" s="93"/>
      <c r="T797" s="93"/>
      <c r="U797" s="93"/>
      <c r="V797" s="93"/>
      <c r="W797" s="93"/>
    </row>
    <row r="798" spans="2:23" s="14" customFormat="1" ht="17.100000000000001" customHeight="1">
      <c r="B798" s="89"/>
      <c r="C798" s="90"/>
      <c r="D798" s="91"/>
      <c r="E798" s="92"/>
      <c r="F798" s="89"/>
      <c r="G798" s="89"/>
      <c r="H798" s="89"/>
      <c r="I798" s="89"/>
      <c r="J798" s="89"/>
      <c r="K798" s="89"/>
      <c r="L798" s="93"/>
      <c r="M798" s="93"/>
      <c r="N798" s="93"/>
      <c r="O798" s="93"/>
      <c r="P798" s="93"/>
      <c r="Q798" s="93"/>
      <c r="R798" s="93"/>
      <c r="S798" s="93"/>
      <c r="T798" s="93"/>
      <c r="U798" s="93"/>
      <c r="V798" s="93"/>
      <c r="W798" s="93"/>
    </row>
    <row r="799" spans="2:23" s="14" customFormat="1" ht="17.100000000000001" customHeight="1">
      <c r="B799" s="89"/>
      <c r="C799" s="90"/>
      <c r="D799" s="91"/>
      <c r="E799" s="92"/>
      <c r="F799" s="89"/>
      <c r="G799" s="89"/>
      <c r="H799" s="89"/>
      <c r="I799" s="89"/>
      <c r="J799" s="89"/>
      <c r="K799" s="89"/>
      <c r="L799" s="93"/>
      <c r="M799" s="93"/>
      <c r="N799" s="93"/>
      <c r="O799" s="93"/>
      <c r="P799" s="93"/>
      <c r="Q799" s="93"/>
      <c r="R799" s="93"/>
      <c r="S799" s="93"/>
      <c r="T799" s="93"/>
      <c r="U799" s="93"/>
      <c r="V799" s="93"/>
      <c r="W799" s="93"/>
    </row>
    <row r="800" spans="2:23" s="14" customFormat="1" ht="17.100000000000001" customHeight="1">
      <c r="B800" s="89"/>
      <c r="C800" s="90"/>
      <c r="D800" s="91"/>
      <c r="E800" s="92"/>
      <c r="F800" s="89"/>
      <c r="G800" s="89"/>
      <c r="H800" s="89"/>
      <c r="I800" s="89"/>
      <c r="J800" s="89"/>
      <c r="K800" s="89"/>
      <c r="L800" s="93"/>
      <c r="M800" s="93"/>
      <c r="N800" s="93"/>
      <c r="O800" s="93"/>
      <c r="P800" s="93"/>
      <c r="Q800" s="93"/>
      <c r="R800" s="93"/>
      <c r="S800" s="93"/>
      <c r="T800" s="93"/>
      <c r="U800" s="93"/>
      <c r="V800" s="93"/>
      <c r="W800" s="93"/>
    </row>
    <row r="801" spans="2:23" s="14" customFormat="1" ht="17.100000000000001" customHeight="1">
      <c r="B801" s="89"/>
      <c r="C801" s="90"/>
      <c r="D801" s="91"/>
      <c r="E801" s="92"/>
      <c r="F801" s="89"/>
      <c r="G801" s="89"/>
      <c r="H801" s="89"/>
      <c r="I801" s="89"/>
      <c r="J801" s="89"/>
      <c r="K801" s="89"/>
      <c r="L801" s="93"/>
      <c r="M801" s="93"/>
      <c r="N801" s="93"/>
      <c r="O801" s="93"/>
      <c r="P801" s="93"/>
      <c r="Q801" s="93"/>
      <c r="R801" s="93"/>
      <c r="S801" s="93"/>
      <c r="T801" s="93"/>
      <c r="U801" s="93"/>
      <c r="V801" s="93"/>
      <c r="W801" s="93"/>
    </row>
    <row r="802" spans="2:23" s="14" customFormat="1" ht="17.100000000000001" customHeight="1">
      <c r="B802" s="89"/>
      <c r="C802" s="90"/>
      <c r="D802" s="91"/>
      <c r="E802" s="92"/>
      <c r="F802" s="89"/>
      <c r="G802" s="89"/>
      <c r="H802" s="89"/>
      <c r="I802" s="89"/>
      <c r="J802" s="89"/>
      <c r="K802" s="89"/>
      <c r="L802" s="93"/>
      <c r="M802" s="93"/>
      <c r="N802" s="93"/>
      <c r="O802" s="93"/>
      <c r="P802" s="93"/>
      <c r="Q802" s="93"/>
      <c r="R802" s="93"/>
      <c r="S802" s="93"/>
      <c r="T802" s="93"/>
      <c r="U802" s="93"/>
      <c r="V802" s="93"/>
      <c r="W802" s="93"/>
    </row>
    <row r="803" spans="2:23" s="14" customFormat="1" ht="17.100000000000001" customHeight="1">
      <c r="B803" s="89"/>
      <c r="C803" s="90"/>
      <c r="D803" s="91"/>
      <c r="E803" s="92"/>
      <c r="F803" s="89"/>
      <c r="G803" s="89"/>
      <c r="H803" s="89"/>
      <c r="I803" s="89"/>
      <c r="J803" s="89"/>
      <c r="K803" s="89"/>
      <c r="L803" s="93"/>
      <c r="M803" s="93"/>
      <c r="N803" s="93"/>
      <c r="O803" s="93"/>
      <c r="P803" s="93"/>
      <c r="Q803" s="93"/>
      <c r="R803" s="93"/>
      <c r="S803" s="93"/>
      <c r="T803" s="93"/>
      <c r="U803" s="93"/>
      <c r="V803" s="93"/>
      <c r="W803" s="93"/>
    </row>
    <row r="804" spans="2:23" s="14" customFormat="1" ht="17.100000000000001" customHeight="1">
      <c r="B804" s="89"/>
      <c r="C804" s="90"/>
      <c r="D804" s="91"/>
      <c r="E804" s="92"/>
      <c r="F804" s="89"/>
      <c r="G804" s="89"/>
      <c r="H804" s="89"/>
      <c r="I804" s="89"/>
      <c r="J804" s="89"/>
      <c r="K804" s="89"/>
      <c r="L804" s="93"/>
      <c r="M804" s="93"/>
      <c r="N804" s="93"/>
      <c r="O804" s="93"/>
      <c r="P804" s="93"/>
      <c r="Q804" s="93"/>
      <c r="R804" s="93"/>
      <c r="S804" s="93"/>
      <c r="T804" s="93"/>
      <c r="U804" s="93"/>
      <c r="V804" s="93"/>
      <c r="W804" s="93"/>
    </row>
    <row r="805" spans="2:23" s="14" customFormat="1" ht="17.100000000000001" customHeight="1">
      <c r="B805" s="89"/>
      <c r="C805" s="90"/>
      <c r="D805" s="91"/>
      <c r="E805" s="92"/>
      <c r="F805" s="89"/>
      <c r="G805" s="89"/>
      <c r="H805" s="89"/>
      <c r="I805" s="89"/>
      <c r="J805" s="89"/>
      <c r="K805" s="89"/>
      <c r="L805" s="93"/>
      <c r="M805" s="93"/>
      <c r="N805" s="93"/>
      <c r="O805" s="93"/>
      <c r="P805" s="93"/>
      <c r="Q805" s="93"/>
      <c r="R805" s="93"/>
      <c r="S805" s="93"/>
      <c r="T805" s="93"/>
      <c r="U805" s="93"/>
      <c r="V805" s="93"/>
      <c r="W805" s="93"/>
    </row>
    <row r="806" spans="2:23" s="14" customFormat="1" ht="17.100000000000001" customHeight="1">
      <c r="B806" s="89"/>
      <c r="C806" s="90"/>
      <c r="D806" s="91"/>
      <c r="E806" s="92"/>
      <c r="F806" s="89"/>
      <c r="G806" s="89"/>
      <c r="H806" s="89"/>
      <c r="I806" s="89"/>
      <c r="J806" s="89"/>
      <c r="K806" s="89"/>
      <c r="L806" s="93"/>
      <c r="M806" s="93"/>
      <c r="N806" s="93"/>
      <c r="O806" s="93"/>
      <c r="P806" s="93"/>
      <c r="Q806" s="93"/>
      <c r="R806" s="93"/>
      <c r="S806" s="93"/>
      <c r="T806" s="93"/>
      <c r="U806" s="93"/>
      <c r="V806" s="93"/>
      <c r="W806" s="93"/>
    </row>
    <row r="807" spans="2:23" s="14" customFormat="1" ht="17.100000000000001" customHeight="1">
      <c r="B807" s="89"/>
      <c r="C807" s="90"/>
      <c r="D807" s="91"/>
      <c r="E807" s="92"/>
      <c r="F807" s="89"/>
      <c r="G807" s="89"/>
      <c r="H807" s="89"/>
      <c r="I807" s="89"/>
      <c r="J807" s="89"/>
      <c r="K807" s="89"/>
      <c r="L807" s="93"/>
      <c r="M807" s="93"/>
      <c r="N807" s="93"/>
      <c r="O807" s="93"/>
      <c r="P807" s="93"/>
      <c r="Q807" s="93"/>
      <c r="R807" s="93"/>
      <c r="S807" s="93"/>
      <c r="T807" s="93"/>
      <c r="U807" s="93"/>
      <c r="V807" s="93"/>
      <c r="W807" s="93"/>
    </row>
    <row r="808" spans="2:23" s="14" customFormat="1" ht="17.100000000000001" customHeight="1">
      <c r="B808" s="89"/>
      <c r="C808" s="90"/>
      <c r="D808" s="91"/>
      <c r="E808" s="92"/>
      <c r="F808" s="89"/>
      <c r="G808" s="89"/>
      <c r="H808" s="89"/>
      <c r="I808" s="89"/>
      <c r="J808" s="89"/>
      <c r="K808" s="89"/>
      <c r="L808" s="93"/>
      <c r="M808" s="93"/>
      <c r="N808" s="93"/>
      <c r="O808" s="93"/>
      <c r="P808" s="93"/>
      <c r="Q808" s="93"/>
      <c r="R808" s="93"/>
      <c r="S808" s="93"/>
      <c r="T808" s="93"/>
      <c r="U808" s="93"/>
      <c r="V808" s="93"/>
      <c r="W808" s="93"/>
    </row>
    <row r="809" spans="2:23" s="14" customFormat="1" ht="17.100000000000001" customHeight="1">
      <c r="B809" s="89"/>
      <c r="C809" s="90"/>
      <c r="D809" s="91"/>
      <c r="E809" s="92"/>
      <c r="F809" s="89"/>
      <c r="G809" s="89"/>
      <c r="H809" s="89"/>
      <c r="I809" s="89"/>
      <c r="J809" s="89"/>
      <c r="K809" s="89"/>
      <c r="L809" s="93"/>
      <c r="M809" s="93"/>
      <c r="N809" s="93"/>
      <c r="O809" s="93"/>
      <c r="P809" s="93"/>
      <c r="Q809" s="93"/>
      <c r="R809" s="93"/>
      <c r="S809" s="93"/>
      <c r="T809" s="93"/>
      <c r="U809" s="93"/>
      <c r="V809" s="93"/>
      <c r="W809" s="93"/>
    </row>
    <row r="810" spans="2:23" s="14" customFormat="1" ht="17.100000000000001" customHeight="1">
      <c r="B810" s="89"/>
      <c r="C810" s="90"/>
      <c r="D810" s="91"/>
      <c r="E810" s="92"/>
      <c r="F810" s="89"/>
      <c r="G810" s="89"/>
      <c r="H810" s="89"/>
      <c r="I810" s="89"/>
      <c r="J810" s="89"/>
      <c r="K810" s="89"/>
      <c r="L810" s="93"/>
      <c r="M810" s="93"/>
      <c r="N810" s="93"/>
      <c r="O810" s="93"/>
      <c r="P810" s="93"/>
      <c r="Q810" s="93"/>
      <c r="R810" s="93"/>
      <c r="S810" s="93"/>
      <c r="T810" s="93"/>
      <c r="U810" s="93"/>
      <c r="V810" s="93"/>
      <c r="W810" s="93"/>
    </row>
    <row r="811" spans="2:23" s="14" customFormat="1" ht="17.100000000000001" customHeight="1">
      <c r="B811" s="89"/>
      <c r="C811" s="90"/>
      <c r="D811" s="91"/>
      <c r="E811" s="92"/>
      <c r="F811" s="89"/>
      <c r="G811" s="89"/>
      <c r="H811" s="89"/>
      <c r="I811" s="89"/>
      <c r="J811" s="89"/>
      <c r="K811" s="89"/>
      <c r="L811" s="93"/>
      <c r="M811" s="93"/>
      <c r="N811" s="93"/>
      <c r="O811" s="93"/>
      <c r="P811" s="93"/>
      <c r="Q811" s="93"/>
      <c r="R811" s="93"/>
      <c r="S811" s="93"/>
      <c r="T811" s="93"/>
      <c r="U811" s="93"/>
      <c r="V811" s="93"/>
      <c r="W811" s="93"/>
    </row>
    <row r="812" spans="2:23" s="14" customFormat="1" ht="17.100000000000001" customHeight="1">
      <c r="B812" s="89"/>
      <c r="C812" s="90"/>
      <c r="D812" s="91"/>
      <c r="E812" s="92"/>
      <c r="F812" s="89"/>
      <c r="G812" s="89"/>
      <c r="H812" s="89"/>
      <c r="I812" s="89"/>
      <c r="J812" s="89"/>
      <c r="K812" s="89"/>
      <c r="L812" s="93"/>
      <c r="M812" s="93"/>
      <c r="N812" s="93"/>
      <c r="O812" s="93"/>
      <c r="P812" s="93"/>
      <c r="Q812" s="93"/>
      <c r="R812" s="93"/>
      <c r="S812" s="93"/>
      <c r="T812" s="93"/>
      <c r="U812" s="93"/>
      <c r="V812" s="93"/>
      <c r="W812" s="93"/>
    </row>
    <row r="813" spans="2:23" s="14" customFormat="1" ht="17.100000000000001" customHeight="1">
      <c r="B813" s="89"/>
      <c r="C813" s="90"/>
      <c r="D813" s="91"/>
      <c r="E813" s="92"/>
      <c r="F813" s="89"/>
      <c r="G813" s="89"/>
      <c r="H813" s="89"/>
      <c r="I813" s="89"/>
      <c r="J813" s="89"/>
      <c r="K813" s="89"/>
      <c r="L813" s="93"/>
      <c r="M813" s="93"/>
      <c r="N813" s="93"/>
      <c r="O813" s="93"/>
      <c r="P813" s="93"/>
      <c r="Q813" s="93"/>
      <c r="R813" s="93"/>
      <c r="S813" s="93"/>
      <c r="T813" s="93"/>
      <c r="U813" s="93"/>
      <c r="V813" s="93"/>
      <c r="W813" s="93"/>
    </row>
    <row r="814" spans="2:23" s="14" customFormat="1" ht="17.100000000000001" customHeight="1">
      <c r="B814" s="89"/>
      <c r="C814" s="90"/>
      <c r="D814" s="91"/>
      <c r="E814" s="92"/>
      <c r="F814" s="89"/>
      <c r="G814" s="89"/>
      <c r="H814" s="89"/>
      <c r="I814" s="89"/>
      <c r="J814" s="89"/>
      <c r="K814" s="89"/>
      <c r="L814" s="93"/>
      <c r="M814" s="93"/>
      <c r="N814" s="93"/>
      <c r="O814" s="93"/>
      <c r="P814" s="93"/>
      <c r="Q814" s="93"/>
      <c r="R814" s="93"/>
      <c r="S814" s="93"/>
      <c r="T814" s="93"/>
      <c r="U814" s="93"/>
      <c r="V814" s="93"/>
      <c r="W814" s="93"/>
    </row>
    <row r="815" spans="2:23" s="14" customFormat="1" ht="17.100000000000001" customHeight="1">
      <c r="B815" s="89"/>
      <c r="C815" s="90"/>
      <c r="D815" s="91"/>
      <c r="E815" s="92"/>
      <c r="F815" s="89"/>
      <c r="G815" s="89"/>
      <c r="H815" s="89"/>
      <c r="I815" s="89"/>
      <c r="J815" s="89"/>
      <c r="K815" s="89"/>
      <c r="L815" s="93"/>
      <c r="M815" s="93"/>
      <c r="N815" s="93"/>
      <c r="O815" s="93"/>
      <c r="P815" s="93"/>
      <c r="Q815" s="93"/>
      <c r="R815" s="93"/>
      <c r="S815" s="93"/>
      <c r="T815" s="93"/>
      <c r="U815" s="93"/>
      <c r="V815" s="93"/>
      <c r="W815" s="93"/>
    </row>
    <row r="816" spans="2:23" s="14" customFormat="1" ht="17.100000000000001" customHeight="1">
      <c r="B816" s="89"/>
      <c r="C816" s="90"/>
      <c r="D816" s="91"/>
      <c r="E816" s="92"/>
      <c r="F816" s="89"/>
      <c r="G816" s="89"/>
      <c r="H816" s="89"/>
      <c r="I816" s="89"/>
      <c r="J816" s="89"/>
      <c r="K816" s="89"/>
      <c r="L816" s="93"/>
      <c r="M816" s="93"/>
      <c r="N816" s="93"/>
      <c r="O816" s="93"/>
      <c r="P816" s="93"/>
      <c r="Q816" s="93"/>
      <c r="R816" s="93"/>
      <c r="S816" s="93"/>
      <c r="T816" s="93"/>
      <c r="U816" s="93"/>
      <c r="V816" s="93"/>
      <c r="W816" s="93"/>
    </row>
    <row r="817" spans="2:23" s="14" customFormat="1" ht="17.100000000000001" customHeight="1">
      <c r="B817" s="89"/>
      <c r="C817" s="90"/>
      <c r="D817" s="91"/>
      <c r="E817" s="92"/>
      <c r="F817" s="89"/>
      <c r="G817" s="89"/>
      <c r="H817" s="89"/>
      <c r="I817" s="89"/>
      <c r="J817" s="89"/>
      <c r="K817" s="89"/>
      <c r="L817" s="93"/>
      <c r="M817" s="93"/>
      <c r="N817" s="93"/>
      <c r="O817" s="93"/>
      <c r="P817" s="93"/>
      <c r="Q817" s="93"/>
      <c r="R817" s="93"/>
      <c r="S817" s="93"/>
      <c r="T817" s="93"/>
      <c r="U817" s="93"/>
      <c r="V817" s="93"/>
      <c r="W817" s="93"/>
    </row>
    <row r="818" spans="2:23" s="14" customFormat="1" ht="17.100000000000001" customHeight="1">
      <c r="B818" s="89"/>
      <c r="C818" s="90"/>
      <c r="D818" s="91"/>
      <c r="E818" s="92"/>
      <c r="F818" s="89"/>
      <c r="G818" s="89"/>
      <c r="H818" s="89"/>
      <c r="I818" s="89"/>
      <c r="J818" s="89"/>
      <c r="K818" s="89"/>
      <c r="L818" s="93"/>
      <c r="M818" s="93"/>
      <c r="N818" s="93"/>
      <c r="O818" s="93"/>
      <c r="P818" s="93"/>
      <c r="Q818" s="93"/>
      <c r="R818" s="93"/>
      <c r="S818" s="93"/>
      <c r="T818" s="93"/>
      <c r="U818" s="93"/>
      <c r="V818" s="93"/>
      <c r="W818" s="93"/>
    </row>
    <row r="819" spans="2:23" s="14" customFormat="1" ht="17.100000000000001" customHeight="1">
      <c r="B819" s="89"/>
      <c r="C819" s="90"/>
      <c r="D819" s="91"/>
      <c r="E819" s="92"/>
      <c r="F819" s="89"/>
      <c r="G819" s="89"/>
      <c r="H819" s="89"/>
      <c r="I819" s="89"/>
      <c r="J819" s="89"/>
      <c r="K819" s="89"/>
      <c r="L819" s="93"/>
      <c r="M819" s="93"/>
      <c r="N819" s="93"/>
      <c r="O819" s="93"/>
      <c r="P819" s="93"/>
      <c r="Q819" s="93"/>
      <c r="R819" s="93"/>
      <c r="S819" s="93"/>
      <c r="T819" s="93"/>
      <c r="U819" s="93"/>
      <c r="V819" s="93"/>
      <c r="W819" s="93"/>
    </row>
    <row r="820" spans="2:23" s="14" customFormat="1" ht="17.100000000000001" customHeight="1">
      <c r="B820" s="89"/>
      <c r="C820" s="90"/>
      <c r="D820" s="91"/>
      <c r="E820" s="92"/>
      <c r="F820" s="89"/>
      <c r="G820" s="89"/>
      <c r="H820" s="89"/>
      <c r="I820" s="89"/>
      <c r="J820" s="89"/>
      <c r="K820" s="89"/>
      <c r="L820" s="93"/>
      <c r="M820" s="93"/>
      <c r="N820" s="93"/>
      <c r="O820" s="93"/>
      <c r="P820" s="93"/>
      <c r="Q820" s="93"/>
      <c r="R820" s="93"/>
      <c r="S820" s="93"/>
      <c r="T820" s="93"/>
      <c r="U820" s="93"/>
      <c r="V820" s="93"/>
      <c r="W820" s="93"/>
    </row>
    <row r="821" spans="2:23" s="14" customFormat="1" ht="17.100000000000001" customHeight="1">
      <c r="B821" s="89"/>
      <c r="C821" s="90"/>
      <c r="D821" s="91"/>
      <c r="E821" s="92"/>
      <c r="F821" s="89"/>
      <c r="G821" s="89"/>
      <c r="H821" s="89"/>
      <c r="I821" s="89"/>
      <c r="J821" s="89"/>
      <c r="K821" s="89"/>
      <c r="L821" s="93"/>
      <c r="M821" s="93"/>
      <c r="N821" s="93"/>
      <c r="O821" s="93"/>
      <c r="P821" s="93"/>
      <c r="Q821" s="93"/>
      <c r="R821" s="93"/>
      <c r="S821" s="93"/>
      <c r="T821" s="93"/>
      <c r="U821" s="93"/>
      <c r="V821" s="93"/>
      <c r="W821" s="93"/>
    </row>
    <row r="822" spans="2:23" s="14" customFormat="1" ht="17.100000000000001" customHeight="1">
      <c r="B822" s="89"/>
      <c r="C822" s="90"/>
      <c r="D822" s="91"/>
      <c r="E822" s="92"/>
      <c r="F822" s="89"/>
      <c r="G822" s="89"/>
      <c r="H822" s="89"/>
      <c r="I822" s="89"/>
      <c r="J822" s="89"/>
      <c r="K822" s="89"/>
      <c r="L822" s="93"/>
      <c r="M822" s="93"/>
      <c r="N822" s="93"/>
      <c r="O822" s="93"/>
      <c r="P822" s="93"/>
      <c r="Q822" s="93"/>
      <c r="R822" s="93"/>
      <c r="S822" s="93"/>
      <c r="T822" s="93"/>
      <c r="U822" s="93"/>
      <c r="V822" s="93"/>
      <c r="W822" s="93"/>
    </row>
    <row r="823" spans="2:23" s="14" customFormat="1" ht="17.100000000000001" customHeight="1">
      <c r="B823" s="89"/>
      <c r="C823" s="90"/>
      <c r="D823" s="91"/>
      <c r="E823" s="92"/>
      <c r="F823" s="89"/>
      <c r="G823" s="89"/>
      <c r="H823" s="89"/>
      <c r="I823" s="89"/>
      <c r="J823" s="89"/>
      <c r="K823" s="89"/>
      <c r="L823" s="93"/>
      <c r="M823" s="93"/>
      <c r="N823" s="93"/>
      <c r="O823" s="93"/>
      <c r="P823" s="93"/>
      <c r="Q823" s="93"/>
      <c r="R823" s="93"/>
      <c r="S823" s="93"/>
      <c r="T823" s="93"/>
      <c r="U823" s="93"/>
      <c r="V823" s="93"/>
      <c r="W823" s="93"/>
    </row>
    <row r="824" spans="2:23" s="14" customFormat="1" ht="17.100000000000001" customHeight="1">
      <c r="B824" s="89"/>
      <c r="C824" s="90"/>
      <c r="D824" s="91"/>
      <c r="E824" s="92"/>
      <c r="F824" s="89"/>
      <c r="G824" s="89"/>
      <c r="H824" s="89"/>
      <c r="I824" s="89"/>
      <c r="J824" s="89"/>
      <c r="K824" s="89"/>
      <c r="L824" s="93"/>
      <c r="M824" s="93"/>
      <c r="N824" s="93"/>
      <c r="O824" s="93"/>
      <c r="P824" s="93"/>
      <c r="Q824" s="93"/>
      <c r="R824" s="93"/>
      <c r="S824" s="93"/>
      <c r="T824" s="93"/>
      <c r="U824" s="93"/>
      <c r="V824" s="93"/>
      <c r="W824" s="93"/>
    </row>
    <row r="825" spans="2:23" s="14" customFormat="1" ht="17.100000000000001" customHeight="1">
      <c r="B825" s="89"/>
      <c r="C825" s="90"/>
      <c r="D825" s="91"/>
      <c r="E825" s="92"/>
      <c r="F825" s="89"/>
      <c r="G825" s="89"/>
      <c r="H825" s="89"/>
      <c r="I825" s="89"/>
      <c r="J825" s="89"/>
      <c r="K825" s="89"/>
      <c r="L825" s="93"/>
      <c r="M825" s="93"/>
      <c r="N825" s="93"/>
      <c r="O825" s="93"/>
      <c r="P825" s="93"/>
      <c r="Q825" s="93"/>
      <c r="R825" s="93"/>
      <c r="S825" s="93"/>
      <c r="T825" s="93"/>
      <c r="U825" s="93"/>
      <c r="V825" s="93"/>
      <c r="W825" s="93"/>
    </row>
    <row r="826" spans="2:23" s="14" customFormat="1" ht="17.100000000000001" customHeight="1">
      <c r="B826" s="89"/>
      <c r="C826" s="90"/>
      <c r="D826" s="91"/>
      <c r="E826" s="92"/>
      <c r="F826" s="89"/>
      <c r="G826" s="89"/>
      <c r="H826" s="89"/>
      <c r="I826" s="89"/>
      <c r="J826" s="89"/>
      <c r="K826" s="89"/>
      <c r="L826" s="93"/>
      <c r="M826" s="93"/>
      <c r="N826" s="93"/>
      <c r="O826" s="93"/>
      <c r="P826" s="93"/>
      <c r="Q826" s="93"/>
      <c r="R826" s="93"/>
      <c r="S826" s="93"/>
      <c r="T826" s="93"/>
      <c r="U826" s="93"/>
      <c r="V826" s="93"/>
      <c r="W826" s="93"/>
    </row>
    <row r="827" spans="2:23" s="14" customFormat="1" ht="17.100000000000001" customHeight="1">
      <c r="B827" s="89"/>
      <c r="C827" s="90"/>
      <c r="D827" s="91"/>
      <c r="E827" s="92"/>
      <c r="F827" s="89"/>
      <c r="G827" s="89"/>
      <c r="H827" s="89"/>
      <c r="I827" s="89"/>
      <c r="J827" s="89"/>
      <c r="K827" s="89"/>
      <c r="L827" s="93"/>
      <c r="M827" s="93"/>
      <c r="N827" s="93"/>
      <c r="O827" s="93"/>
      <c r="P827" s="93"/>
      <c r="Q827" s="93"/>
      <c r="R827" s="93"/>
      <c r="S827" s="93"/>
      <c r="T827" s="93"/>
      <c r="U827" s="93"/>
      <c r="V827" s="93"/>
      <c r="W827" s="93"/>
    </row>
    <row r="828" spans="2:23" s="14" customFormat="1" ht="17.100000000000001" customHeight="1">
      <c r="B828" s="89"/>
      <c r="C828" s="90"/>
      <c r="D828" s="91"/>
      <c r="E828" s="92"/>
      <c r="F828" s="89"/>
      <c r="G828" s="89"/>
      <c r="H828" s="89"/>
      <c r="I828" s="89"/>
      <c r="J828" s="89"/>
      <c r="K828" s="89"/>
      <c r="L828" s="93"/>
      <c r="M828" s="93"/>
      <c r="N828" s="93"/>
      <c r="O828" s="93"/>
      <c r="P828" s="93"/>
      <c r="Q828" s="93"/>
      <c r="R828" s="93"/>
      <c r="S828" s="93"/>
      <c r="T828" s="93"/>
      <c r="U828" s="93"/>
      <c r="V828" s="93"/>
      <c r="W828" s="93"/>
    </row>
    <row r="829" spans="2:23" s="14" customFormat="1" ht="17.100000000000001" customHeight="1">
      <c r="B829" s="89"/>
      <c r="C829" s="90"/>
      <c r="D829" s="91"/>
      <c r="E829" s="92"/>
      <c r="F829" s="89"/>
      <c r="G829" s="89"/>
      <c r="H829" s="89"/>
      <c r="I829" s="89"/>
      <c r="J829" s="89"/>
      <c r="K829" s="89"/>
      <c r="L829" s="93"/>
      <c r="M829" s="93"/>
      <c r="N829" s="93"/>
      <c r="O829" s="93"/>
      <c r="P829" s="93"/>
      <c r="Q829" s="93"/>
      <c r="R829" s="93"/>
      <c r="S829" s="93"/>
      <c r="T829" s="93"/>
      <c r="U829" s="93"/>
      <c r="V829" s="93"/>
      <c r="W829" s="93"/>
    </row>
    <row r="830" spans="2:23" s="14" customFormat="1" ht="17.100000000000001" customHeight="1">
      <c r="B830" s="89"/>
      <c r="C830" s="90"/>
      <c r="D830" s="91"/>
      <c r="E830" s="92"/>
      <c r="F830" s="89"/>
      <c r="G830" s="89"/>
      <c r="H830" s="89"/>
      <c r="I830" s="89"/>
      <c r="J830" s="89"/>
      <c r="K830" s="89"/>
      <c r="L830" s="93"/>
      <c r="M830" s="93"/>
      <c r="N830" s="93"/>
      <c r="O830" s="93"/>
      <c r="P830" s="93"/>
      <c r="Q830" s="93"/>
      <c r="R830" s="93"/>
      <c r="S830" s="93"/>
      <c r="T830" s="93"/>
      <c r="U830" s="93"/>
      <c r="V830" s="93"/>
      <c r="W830" s="93"/>
    </row>
    <row r="831" spans="2:23" s="14" customFormat="1" ht="17.100000000000001" customHeight="1">
      <c r="B831" s="89"/>
      <c r="C831" s="90"/>
      <c r="D831" s="91"/>
      <c r="E831" s="92"/>
      <c r="F831" s="89"/>
      <c r="G831" s="89"/>
      <c r="H831" s="89"/>
      <c r="I831" s="89"/>
      <c r="J831" s="89"/>
      <c r="K831" s="89"/>
      <c r="L831" s="93"/>
      <c r="M831" s="93"/>
      <c r="N831" s="93"/>
      <c r="O831" s="93"/>
      <c r="P831" s="93"/>
      <c r="Q831" s="93"/>
      <c r="R831" s="93"/>
      <c r="S831" s="93"/>
      <c r="T831" s="93"/>
      <c r="U831" s="93"/>
      <c r="V831" s="93"/>
      <c r="W831" s="93"/>
    </row>
    <row r="832" spans="2:23" s="14" customFormat="1" ht="17.100000000000001" customHeight="1">
      <c r="B832" s="89"/>
      <c r="C832" s="90"/>
      <c r="D832" s="91"/>
      <c r="E832" s="92"/>
      <c r="F832" s="89"/>
      <c r="G832" s="89"/>
      <c r="H832" s="89"/>
      <c r="I832" s="89"/>
      <c r="J832" s="89"/>
      <c r="K832" s="89"/>
      <c r="L832" s="93"/>
      <c r="M832" s="93"/>
      <c r="N832" s="93"/>
      <c r="O832" s="93"/>
      <c r="P832" s="93"/>
      <c r="Q832" s="93"/>
      <c r="R832" s="93"/>
      <c r="S832" s="93"/>
      <c r="T832" s="93"/>
      <c r="U832" s="93"/>
      <c r="V832" s="93"/>
      <c r="W832" s="93"/>
    </row>
    <row r="833" spans="2:23" s="14" customFormat="1" ht="17.100000000000001" customHeight="1">
      <c r="B833" s="89"/>
      <c r="C833" s="90"/>
      <c r="D833" s="91"/>
      <c r="E833" s="92"/>
      <c r="F833" s="89"/>
      <c r="G833" s="89"/>
      <c r="H833" s="89"/>
      <c r="I833" s="89"/>
      <c r="J833" s="89"/>
      <c r="K833" s="89"/>
      <c r="L833" s="93"/>
      <c r="M833" s="93"/>
      <c r="N833" s="93"/>
      <c r="O833" s="93"/>
      <c r="P833" s="93"/>
      <c r="Q833" s="93"/>
      <c r="R833" s="93"/>
      <c r="S833" s="93"/>
      <c r="T833" s="93"/>
      <c r="U833" s="93"/>
      <c r="V833" s="93"/>
      <c r="W833" s="93"/>
    </row>
    <row r="834" spans="2:23" s="14" customFormat="1" ht="17.100000000000001" customHeight="1">
      <c r="B834" s="89"/>
      <c r="C834" s="90"/>
      <c r="D834" s="91"/>
      <c r="E834" s="92"/>
      <c r="F834" s="89"/>
      <c r="G834" s="89"/>
      <c r="H834" s="89"/>
      <c r="I834" s="89"/>
      <c r="J834" s="89"/>
      <c r="K834" s="89"/>
      <c r="L834" s="93"/>
      <c r="M834" s="93"/>
      <c r="N834" s="93"/>
      <c r="O834" s="93"/>
      <c r="P834" s="93"/>
      <c r="Q834" s="93"/>
      <c r="R834" s="93"/>
      <c r="S834" s="93"/>
      <c r="T834" s="93"/>
      <c r="U834" s="93"/>
      <c r="V834" s="93"/>
      <c r="W834" s="93"/>
    </row>
    <row r="835" spans="2:23" s="14" customFormat="1" ht="17.100000000000001" customHeight="1">
      <c r="B835" s="89"/>
      <c r="C835" s="90"/>
      <c r="D835" s="91"/>
      <c r="E835" s="92"/>
      <c r="F835" s="89"/>
      <c r="G835" s="89"/>
      <c r="H835" s="89"/>
      <c r="I835" s="89"/>
      <c r="J835" s="89"/>
      <c r="K835" s="89"/>
      <c r="L835" s="93"/>
      <c r="M835" s="93"/>
      <c r="N835" s="93"/>
      <c r="O835" s="93"/>
      <c r="P835" s="93"/>
      <c r="Q835" s="93"/>
      <c r="R835" s="93"/>
      <c r="S835" s="93"/>
      <c r="T835" s="93"/>
      <c r="U835" s="93"/>
      <c r="V835" s="93"/>
      <c r="W835" s="93"/>
    </row>
    <row r="836" spans="2:23" s="14" customFormat="1" ht="17.100000000000001" customHeight="1">
      <c r="B836" s="89"/>
      <c r="C836" s="90"/>
      <c r="D836" s="91"/>
      <c r="E836" s="92"/>
      <c r="F836" s="89"/>
      <c r="G836" s="89"/>
      <c r="H836" s="89"/>
      <c r="I836" s="89"/>
      <c r="J836" s="89"/>
      <c r="K836" s="89"/>
      <c r="L836" s="93"/>
      <c r="M836" s="93"/>
      <c r="N836" s="93"/>
      <c r="O836" s="93"/>
      <c r="P836" s="93"/>
      <c r="Q836" s="93"/>
      <c r="R836" s="93"/>
      <c r="S836" s="93"/>
      <c r="T836" s="93"/>
      <c r="U836" s="93"/>
      <c r="V836" s="93"/>
      <c r="W836" s="93"/>
    </row>
    <row r="837" spans="2:23" s="14" customFormat="1" ht="17.100000000000001" customHeight="1">
      <c r="B837" s="89"/>
      <c r="C837" s="90"/>
      <c r="D837" s="91"/>
      <c r="E837" s="92"/>
      <c r="F837" s="89"/>
      <c r="G837" s="89"/>
      <c r="H837" s="89"/>
      <c r="I837" s="89"/>
      <c r="J837" s="89"/>
      <c r="K837" s="89"/>
      <c r="L837" s="93"/>
      <c r="M837" s="93"/>
      <c r="N837" s="93"/>
      <c r="O837" s="93"/>
      <c r="P837" s="93"/>
      <c r="Q837" s="93"/>
      <c r="R837" s="93"/>
      <c r="S837" s="93"/>
      <c r="T837" s="93"/>
      <c r="U837" s="93"/>
      <c r="V837" s="93"/>
      <c r="W837" s="93"/>
    </row>
    <row r="838" spans="2:23" s="14" customFormat="1" ht="17.100000000000001" customHeight="1">
      <c r="B838" s="89"/>
      <c r="C838" s="90"/>
      <c r="D838" s="91"/>
      <c r="E838" s="92"/>
      <c r="F838" s="89"/>
      <c r="G838" s="89"/>
      <c r="H838" s="89"/>
      <c r="I838" s="89"/>
      <c r="J838" s="89"/>
      <c r="K838" s="89"/>
      <c r="L838" s="93"/>
      <c r="M838" s="93"/>
      <c r="N838" s="93"/>
      <c r="O838" s="93"/>
      <c r="P838" s="93"/>
      <c r="Q838" s="93"/>
      <c r="R838" s="93"/>
      <c r="S838" s="93"/>
      <c r="T838" s="93"/>
      <c r="U838" s="93"/>
      <c r="V838" s="93"/>
      <c r="W838" s="93"/>
    </row>
    <row r="839" spans="2:23" s="14" customFormat="1" ht="17.100000000000001" customHeight="1">
      <c r="B839" s="89"/>
      <c r="C839" s="90"/>
      <c r="D839" s="91"/>
      <c r="E839" s="92"/>
      <c r="F839" s="89"/>
      <c r="G839" s="89"/>
      <c r="H839" s="89"/>
      <c r="I839" s="89"/>
      <c r="J839" s="89"/>
      <c r="K839" s="89"/>
      <c r="L839" s="93"/>
      <c r="M839" s="93"/>
      <c r="N839" s="93"/>
      <c r="O839" s="93"/>
      <c r="P839" s="93"/>
      <c r="Q839" s="93"/>
      <c r="R839" s="93"/>
      <c r="S839" s="93"/>
      <c r="T839" s="93"/>
      <c r="U839" s="93"/>
      <c r="V839" s="93"/>
      <c r="W839" s="93"/>
    </row>
    <row r="840" spans="2:23" s="14" customFormat="1" ht="17.100000000000001" customHeight="1">
      <c r="B840" s="89"/>
      <c r="C840" s="90"/>
      <c r="D840" s="91"/>
      <c r="E840" s="92"/>
      <c r="F840" s="89"/>
      <c r="G840" s="89"/>
      <c r="H840" s="89"/>
      <c r="I840" s="89"/>
      <c r="J840" s="89"/>
      <c r="K840" s="89"/>
      <c r="L840" s="93"/>
      <c r="M840" s="93"/>
      <c r="N840" s="93"/>
      <c r="O840" s="93"/>
      <c r="P840" s="93"/>
      <c r="Q840" s="93"/>
      <c r="R840" s="93"/>
      <c r="S840" s="93"/>
      <c r="T840" s="93"/>
      <c r="U840" s="93"/>
      <c r="V840" s="93"/>
      <c r="W840" s="93"/>
    </row>
    <row r="841" spans="2:23" s="14" customFormat="1" ht="17.100000000000001" customHeight="1">
      <c r="B841" s="89"/>
      <c r="C841" s="90"/>
      <c r="D841" s="91"/>
      <c r="E841" s="92"/>
      <c r="F841" s="89"/>
      <c r="G841" s="89"/>
      <c r="H841" s="89"/>
      <c r="I841" s="89"/>
      <c r="J841" s="89"/>
      <c r="K841" s="89"/>
      <c r="L841" s="93"/>
      <c r="M841" s="93"/>
      <c r="N841" s="93"/>
      <c r="O841" s="93"/>
      <c r="P841" s="93"/>
      <c r="Q841" s="93"/>
      <c r="R841" s="93"/>
      <c r="S841" s="93"/>
      <c r="T841" s="93"/>
      <c r="U841" s="93"/>
      <c r="V841" s="93"/>
      <c r="W841" s="93"/>
    </row>
    <row r="842" spans="2:23" s="14" customFormat="1" ht="17.100000000000001" customHeight="1">
      <c r="B842" s="89"/>
      <c r="C842" s="90"/>
      <c r="D842" s="91"/>
      <c r="E842" s="92"/>
      <c r="F842" s="89"/>
      <c r="G842" s="89"/>
      <c r="H842" s="89"/>
      <c r="I842" s="89"/>
      <c r="J842" s="89"/>
      <c r="K842" s="89"/>
      <c r="L842" s="93"/>
      <c r="M842" s="93"/>
      <c r="N842" s="93"/>
      <c r="O842" s="93"/>
      <c r="P842" s="93"/>
      <c r="Q842" s="93"/>
      <c r="R842" s="93"/>
      <c r="S842" s="93"/>
      <c r="T842" s="93"/>
      <c r="U842" s="93"/>
      <c r="V842" s="93"/>
      <c r="W842" s="93"/>
    </row>
    <row r="843" spans="2:23" s="14" customFormat="1" ht="17.100000000000001" customHeight="1">
      <c r="B843" s="89"/>
      <c r="C843" s="90"/>
      <c r="D843" s="91"/>
      <c r="E843" s="92"/>
      <c r="F843" s="89"/>
      <c r="G843" s="89"/>
      <c r="H843" s="89"/>
      <c r="I843" s="89"/>
      <c r="J843" s="89"/>
      <c r="K843" s="89"/>
      <c r="L843" s="93"/>
      <c r="M843" s="93"/>
      <c r="N843" s="93"/>
      <c r="O843" s="93"/>
      <c r="P843" s="93"/>
      <c r="Q843" s="93"/>
      <c r="R843" s="93"/>
      <c r="S843" s="93"/>
      <c r="T843" s="93"/>
      <c r="U843" s="93"/>
      <c r="V843" s="93"/>
      <c r="W843" s="93"/>
    </row>
    <row r="844" spans="2:23" s="14" customFormat="1" ht="17.100000000000001" customHeight="1">
      <c r="B844" s="89"/>
      <c r="C844" s="90"/>
      <c r="D844" s="91"/>
      <c r="E844" s="92"/>
      <c r="F844" s="89"/>
      <c r="G844" s="89"/>
      <c r="H844" s="89"/>
      <c r="I844" s="89"/>
      <c r="J844" s="89"/>
      <c r="K844" s="89"/>
      <c r="L844" s="93"/>
      <c r="M844" s="93"/>
      <c r="N844" s="93"/>
      <c r="O844" s="93"/>
      <c r="P844" s="93"/>
      <c r="Q844" s="93"/>
      <c r="R844" s="93"/>
      <c r="S844" s="93"/>
      <c r="T844" s="93"/>
      <c r="U844" s="93"/>
      <c r="V844" s="93"/>
      <c r="W844" s="93"/>
    </row>
    <row r="845" spans="2:23" s="14" customFormat="1" ht="17.100000000000001" customHeight="1">
      <c r="B845" s="89"/>
      <c r="C845" s="90"/>
      <c r="D845" s="91"/>
      <c r="E845" s="92"/>
      <c r="F845" s="89"/>
      <c r="G845" s="89"/>
      <c r="H845" s="89"/>
      <c r="I845" s="89"/>
      <c r="J845" s="89"/>
      <c r="K845" s="89"/>
      <c r="L845" s="93"/>
      <c r="M845" s="93"/>
      <c r="N845" s="93"/>
      <c r="O845" s="93"/>
      <c r="P845" s="93"/>
      <c r="Q845" s="93"/>
      <c r="R845" s="93"/>
      <c r="S845" s="93"/>
      <c r="T845" s="93"/>
      <c r="U845" s="93"/>
      <c r="V845" s="93"/>
      <c r="W845" s="93"/>
    </row>
    <row r="846" spans="2:23" s="14" customFormat="1" ht="17.100000000000001" customHeight="1">
      <c r="B846" s="89"/>
      <c r="C846" s="90"/>
      <c r="D846" s="91"/>
      <c r="E846" s="92"/>
      <c r="F846" s="89"/>
      <c r="G846" s="89"/>
      <c r="H846" s="89"/>
      <c r="I846" s="89"/>
      <c r="J846" s="89"/>
      <c r="K846" s="89"/>
      <c r="L846" s="93"/>
      <c r="M846" s="93"/>
      <c r="N846" s="93"/>
      <c r="O846" s="93"/>
      <c r="P846" s="93"/>
      <c r="Q846" s="93"/>
      <c r="R846" s="93"/>
      <c r="S846" s="93"/>
      <c r="T846" s="93"/>
      <c r="U846" s="93"/>
      <c r="V846" s="93"/>
      <c r="W846" s="93"/>
    </row>
    <row r="847" spans="2:23" s="14" customFormat="1" ht="17.100000000000001" customHeight="1">
      <c r="B847" s="89"/>
      <c r="C847" s="90"/>
      <c r="D847" s="91"/>
      <c r="E847" s="92"/>
      <c r="F847" s="89"/>
      <c r="G847" s="89"/>
      <c r="H847" s="89"/>
      <c r="I847" s="89"/>
      <c r="J847" s="89"/>
      <c r="K847" s="89"/>
      <c r="L847" s="93"/>
      <c r="M847" s="93"/>
      <c r="N847" s="93"/>
      <c r="O847" s="93"/>
      <c r="P847" s="93"/>
      <c r="Q847" s="93"/>
      <c r="R847" s="93"/>
      <c r="S847" s="93"/>
      <c r="T847" s="93"/>
      <c r="U847" s="93"/>
      <c r="V847" s="93"/>
      <c r="W847" s="93"/>
    </row>
    <row r="848" spans="2:23" s="14" customFormat="1" ht="17.100000000000001" customHeight="1">
      <c r="B848" s="89"/>
      <c r="C848" s="90"/>
      <c r="D848" s="91"/>
      <c r="E848" s="92"/>
      <c r="F848" s="89"/>
      <c r="G848" s="89"/>
      <c r="H848" s="89"/>
      <c r="I848" s="89"/>
      <c r="J848" s="89"/>
      <c r="K848" s="89"/>
      <c r="L848" s="93"/>
      <c r="M848" s="93"/>
      <c r="N848" s="93"/>
      <c r="O848" s="93"/>
      <c r="P848" s="93"/>
      <c r="Q848" s="93"/>
      <c r="R848" s="93"/>
      <c r="S848" s="93"/>
      <c r="T848" s="93"/>
      <c r="U848" s="93"/>
      <c r="V848" s="93"/>
      <c r="W848" s="93"/>
    </row>
    <row r="849" spans="2:23" s="14" customFormat="1" ht="17.100000000000001" customHeight="1">
      <c r="B849" s="89"/>
      <c r="C849" s="90"/>
      <c r="D849" s="91"/>
      <c r="E849" s="92"/>
      <c r="F849" s="89"/>
      <c r="G849" s="89"/>
      <c r="H849" s="89"/>
      <c r="I849" s="89"/>
      <c r="J849" s="89"/>
      <c r="K849" s="89"/>
      <c r="L849" s="93"/>
      <c r="M849" s="93"/>
      <c r="N849" s="93"/>
      <c r="O849" s="93"/>
      <c r="P849" s="93"/>
      <c r="Q849" s="93"/>
      <c r="R849" s="93"/>
      <c r="S849" s="93"/>
      <c r="T849" s="93"/>
      <c r="U849" s="93"/>
      <c r="V849" s="93"/>
      <c r="W849" s="93"/>
    </row>
    <row r="850" spans="2:23" s="14" customFormat="1" ht="17.100000000000001" customHeight="1">
      <c r="B850" s="89"/>
      <c r="C850" s="90"/>
      <c r="D850" s="91"/>
      <c r="E850" s="92"/>
      <c r="F850" s="89"/>
      <c r="G850" s="89"/>
      <c r="H850" s="89"/>
      <c r="I850" s="89"/>
      <c r="J850" s="89"/>
      <c r="K850" s="89"/>
      <c r="L850" s="93"/>
      <c r="M850" s="93"/>
      <c r="N850" s="93"/>
      <c r="O850" s="93"/>
      <c r="P850" s="93"/>
      <c r="Q850" s="93"/>
      <c r="R850" s="93"/>
      <c r="S850" s="93"/>
      <c r="T850" s="93"/>
      <c r="U850" s="93"/>
      <c r="V850" s="93"/>
      <c r="W850" s="93"/>
    </row>
    <row r="851" spans="2:23" s="14" customFormat="1" ht="17.100000000000001" customHeight="1">
      <c r="B851" s="89"/>
      <c r="C851" s="90"/>
      <c r="D851" s="91"/>
      <c r="E851" s="92"/>
      <c r="F851" s="89"/>
      <c r="G851" s="89"/>
      <c r="H851" s="89"/>
      <c r="I851" s="89"/>
      <c r="J851" s="89"/>
      <c r="K851" s="89"/>
      <c r="L851" s="93"/>
      <c r="M851" s="93"/>
      <c r="N851" s="93"/>
      <c r="O851" s="93"/>
      <c r="P851" s="93"/>
      <c r="Q851" s="93"/>
      <c r="R851" s="93"/>
      <c r="S851" s="93"/>
      <c r="T851" s="93"/>
      <c r="U851" s="93"/>
      <c r="V851" s="93"/>
      <c r="W851" s="93"/>
    </row>
    <row r="852" spans="2:23" s="14" customFormat="1" ht="17.100000000000001" customHeight="1">
      <c r="B852" s="89"/>
      <c r="C852" s="90"/>
      <c r="D852" s="91"/>
      <c r="E852" s="92"/>
      <c r="F852" s="89"/>
      <c r="G852" s="89"/>
      <c r="H852" s="89"/>
      <c r="I852" s="89"/>
      <c r="J852" s="89"/>
      <c r="K852" s="89"/>
      <c r="L852" s="93"/>
      <c r="M852" s="93"/>
      <c r="N852" s="93"/>
      <c r="O852" s="93"/>
      <c r="P852" s="93"/>
      <c r="Q852" s="93"/>
      <c r="R852" s="93"/>
      <c r="S852" s="93"/>
      <c r="T852" s="93"/>
      <c r="U852" s="93"/>
      <c r="V852" s="93"/>
      <c r="W852" s="93"/>
    </row>
    <row r="853" spans="2:23" s="14" customFormat="1" ht="17.100000000000001" customHeight="1">
      <c r="B853" s="89"/>
      <c r="C853" s="90"/>
      <c r="D853" s="91"/>
      <c r="E853" s="92"/>
      <c r="F853" s="89"/>
      <c r="G853" s="89"/>
      <c r="H853" s="89"/>
      <c r="I853" s="89"/>
      <c r="J853" s="89"/>
      <c r="K853" s="89"/>
      <c r="L853" s="93"/>
      <c r="M853" s="93"/>
      <c r="N853" s="93"/>
      <c r="O853" s="93"/>
      <c r="P853" s="93"/>
      <c r="Q853" s="93"/>
      <c r="R853" s="93"/>
      <c r="S853" s="93"/>
      <c r="T853" s="93"/>
      <c r="U853" s="93"/>
      <c r="V853" s="93"/>
      <c r="W853" s="93"/>
    </row>
    <row r="854" spans="2:23" s="14" customFormat="1" ht="17.100000000000001" customHeight="1">
      <c r="B854" s="89"/>
      <c r="C854" s="90"/>
      <c r="D854" s="91"/>
      <c r="E854" s="92"/>
      <c r="F854" s="89"/>
      <c r="G854" s="89"/>
      <c r="H854" s="89"/>
      <c r="I854" s="89"/>
      <c r="J854" s="89"/>
      <c r="K854" s="89"/>
      <c r="L854" s="93"/>
      <c r="M854" s="93"/>
      <c r="N854" s="93"/>
      <c r="O854" s="93"/>
      <c r="P854" s="93"/>
      <c r="Q854" s="93"/>
      <c r="R854" s="93"/>
      <c r="S854" s="93"/>
      <c r="T854" s="93"/>
      <c r="U854" s="93"/>
      <c r="V854" s="93"/>
      <c r="W854" s="93"/>
    </row>
    <row r="855" spans="2:23" s="14" customFormat="1" ht="17.100000000000001" customHeight="1">
      <c r="B855" s="89"/>
      <c r="C855" s="90"/>
      <c r="D855" s="91"/>
      <c r="E855" s="92"/>
      <c r="F855" s="89"/>
      <c r="G855" s="89"/>
      <c r="H855" s="89"/>
      <c r="I855" s="89"/>
      <c r="J855" s="89"/>
      <c r="K855" s="89"/>
      <c r="L855" s="93"/>
      <c r="M855" s="93"/>
      <c r="N855" s="93"/>
      <c r="O855" s="93"/>
      <c r="P855" s="93"/>
      <c r="Q855" s="93"/>
      <c r="R855" s="93"/>
      <c r="S855" s="93"/>
      <c r="T855" s="93"/>
      <c r="U855" s="93"/>
      <c r="V855" s="93"/>
      <c r="W855" s="93"/>
    </row>
    <row r="856" spans="2:23" s="14" customFormat="1" ht="17.100000000000001" customHeight="1">
      <c r="B856" s="89"/>
      <c r="C856" s="90"/>
      <c r="D856" s="91"/>
      <c r="E856" s="92"/>
      <c r="F856" s="89"/>
      <c r="G856" s="89"/>
      <c r="H856" s="89"/>
      <c r="I856" s="89"/>
      <c r="J856" s="89"/>
      <c r="K856" s="89"/>
      <c r="L856" s="93"/>
      <c r="M856" s="93"/>
      <c r="N856" s="93"/>
      <c r="O856" s="93"/>
      <c r="P856" s="93"/>
      <c r="Q856" s="93"/>
      <c r="R856" s="93"/>
      <c r="S856" s="93"/>
      <c r="T856" s="93"/>
      <c r="U856" s="93"/>
      <c r="V856" s="93"/>
      <c r="W856" s="93"/>
    </row>
    <row r="857" spans="2:23" s="14" customFormat="1" ht="17.100000000000001" customHeight="1">
      <c r="B857" s="89"/>
      <c r="C857" s="90"/>
      <c r="D857" s="91"/>
      <c r="E857" s="92"/>
      <c r="F857" s="89"/>
      <c r="G857" s="89"/>
      <c r="H857" s="89"/>
      <c r="I857" s="89"/>
      <c r="J857" s="89"/>
      <c r="K857" s="89"/>
      <c r="L857" s="93"/>
      <c r="M857" s="93"/>
      <c r="N857" s="93"/>
      <c r="O857" s="93"/>
      <c r="P857" s="93"/>
      <c r="Q857" s="93"/>
      <c r="R857" s="93"/>
      <c r="S857" s="93"/>
      <c r="T857" s="93"/>
      <c r="U857" s="93"/>
      <c r="V857" s="93"/>
      <c r="W857" s="93"/>
    </row>
    <row r="858" spans="2:23" s="14" customFormat="1" ht="17.100000000000001" customHeight="1">
      <c r="B858" s="89"/>
      <c r="C858" s="90"/>
      <c r="D858" s="91"/>
      <c r="E858" s="92"/>
      <c r="F858" s="89"/>
      <c r="G858" s="89"/>
      <c r="H858" s="89"/>
      <c r="I858" s="89"/>
      <c r="J858" s="89"/>
      <c r="K858" s="89"/>
      <c r="L858" s="93"/>
      <c r="M858" s="93"/>
      <c r="N858" s="93"/>
      <c r="O858" s="93"/>
      <c r="P858" s="93"/>
      <c r="Q858" s="93"/>
      <c r="R858" s="93"/>
      <c r="S858" s="93"/>
      <c r="T858" s="93"/>
      <c r="U858" s="93"/>
      <c r="V858" s="93"/>
      <c r="W858" s="93"/>
    </row>
    <row r="859" spans="2:23" s="14" customFormat="1" ht="17.100000000000001" customHeight="1">
      <c r="B859" s="89"/>
      <c r="C859" s="90"/>
      <c r="D859" s="91"/>
      <c r="E859" s="92"/>
      <c r="F859" s="89"/>
      <c r="G859" s="89"/>
      <c r="H859" s="89"/>
      <c r="I859" s="89"/>
      <c r="J859" s="89"/>
      <c r="K859" s="89"/>
      <c r="L859" s="93"/>
      <c r="M859" s="93"/>
      <c r="N859" s="93"/>
      <c r="O859" s="93"/>
      <c r="P859" s="93"/>
      <c r="Q859" s="93"/>
      <c r="R859" s="93"/>
      <c r="S859" s="93"/>
      <c r="T859" s="93"/>
      <c r="U859" s="93"/>
      <c r="V859" s="93"/>
      <c r="W859" s="93"/>
    </row>
    <row r="860" spans="2:23" s="14" customFormat="1" ht="17.100000000000001" customHeight="1">
      <c r="B860" s="89"/>
      <c r="C860" s="90"/>
      <c r="D860" s="91"/>
      <c r="E860" s="92"/>
      <c r="F860" s="89"/>
      <c r="G860" s="89"/>
      <c r="H860" s="89"/>
      <c r="I860" s="89"/>
      <c r="J860" s="89"/>
      <c r="K860" s="89"/>
      <c r="L860" s="93"/>
      <c r="M860" s="93"/>
      <c r="N860" s="93"/>
      <c r="O860" s="93"/>
      <c r="P860" s="93"/>
      <c r="Q860" s="93"/>
      <c r="R860" s="93"/>
      <c r="S860" s="93"/>
      <c r="T860" s="93"/>
      <c r="U860" s="93"/>
      <c r="V860" s="93"/>
      <c r="W860" s="93"/>
    </row>
    <row r="861" spans="2:23" s="14" customFormat="1" ht="17.100000000000001" customHeight="1">
      <c r="B861" s="89"/>
      <c r="C861" s="90"/>
      <c r="D861" s="91"/>
      <c r="E861" s="92"/>
      <c r="F861" s="89"/>
      <c r="G861" s="89"/>
      <c r="H861" s="89"/>
      <c r="I861" s="89"/>
      <c r="J861" s="89"/>
      <c r="K861" s="89"/>
      <c r="L861" s="93"/>
      <c r="M861" s="93"/>
      <c r="N861" s="93"/>
      <c r="O861" s="93"/>
      <c r="P861" s="93"/>
      <c r="Q861" s="93"/>
      <c r="R861" s="93"/>
      <c r="S861" s="93"/>
      <c r="T861" s="93"/>
      <c r="U861" s="93"/>
      <c r="V861" s="93"/>
      <c r="W861" s="93"/>
    </row>
    <row r="862" spans="2:23" s="14" customFormat="1" ht="17.100000000000001" customHeight="1">
      <c r="B862" s="89"/>
      <c r="C862" s="90"/>
      <c r="D862" s="91"/>
      <c r="E862" s="92"/>
      <c r="F862" s="89"/>
      <c r="G862" s="89"/>
      <c r="H862" s="89"/>
      <c r="I862" s="89"/>
      <c r="J862" s="89"/>
      <c r="K862" s="89"/>
      <c r="L862" s="93"/>
      <c r="M862" s="93"/>
      <c r="N862" s="93"/>
      <c r="O862" s="93"/>
      <c r="P862" s="93"/>
      <c r="Q862" s="93"/>
      <c r="R862" s="93"/>
      <c r="S862" s="93"/>
      <c r="T862" s="93"/>
      <c r="U862" s="93"/>
      <c r="V862" s="93"/>
      <c r="W862" s="93"/>
    </row>
    <row r="863" spans="2:23" s="14" customFormat="1" ht="17.100000000000001" customHeight="1">
      <c r="B863" s="89"/>
      <c r="C863" s="90"/>
      <c r="D863" s="91"/>
      <c r="E863" s="92"/>
      <c r="F863" s="89"/>
      <c r="G863" s="89"/>
      <c r="H863" s="89"/>
      <c r="I863" s="89"/>
      <c r="J863" s="89"/>
      <c r="K863" s="89"/>
      <c r="L863" s="93"/>
      <c r="M863" s="93"/>
      <c r="N863" s="93"/>
      <c r="O863" s="93"/>
      <c r="P863" s="93"/>
      <c r="Q863" s="93"/>
      <c r="R863" s="93"/>
      <c r="S863" s="93"/>
      <c r="T863" s="93"/>
      <c r="U863" s="93"/>
      <c r="V863" s="93"/>
      <c r="W863" s="93"/>
    </row>
    <row r="864" spans="2:23" s="14" customFormat="1" ht="17.100000000000001" customHeight="1">
      <c r="B864" s="89"/>
      <c r="C864" s="90"/>
      <c r="D864" s="91"/>
      <c r="E864" s="92"/>
      <c r="F864" s="89"/>
      <c r="G864" s="89"/>
      <c r="H864" s="89"/>
      <c r="I864" s="89"/>
      <c r="J864" s="89"/>
      <c r="K864" s="89"/>
      <c r="L864" s="93"/>
      <c r="M864" s="93"/>
      <c r="N864" s="93"/>
      <c r="O864" s="93"/>
      <c r="P864" s="93"/>
      <c r="Q864" s="93"/>
      <c r="R864" s="93"/>
      <c r="S864" s="93"/>
      <c r="T864" s="93"/>
      <c r="U864" s="93"/>
      <c r="V864" s="93"/>
      <c r="W864" s="93"/>
    </row>
    <row r="865" spans="2:23" s="14" customFormat="1" ht="17.100000000000001" customHeight="1">
      <c r="B865" s="89"/>
      <c r="C865" s="90"/>
      <c r="D865" s="91"/>
      <c r="E865" s="92"/>
      <c r="F865" s="89"/>
      <c r="G865" s="89"/>
      <c r="H865" s="89"/>
      <c r="I865" s="89"/>
      <c r="J865" s="89"/>
      <c r="K865" s="89"/>
      <c r="L865" s="93"/>
      <c r="M865" s="93"/>
      <c r="N865" s="93"/>
      <c r="O865" s="93"/>
      <c r="P865" s="93"/>
      <c r="Q865" s="93"/>
      <c r="R865" s="93"/>
      <c r="S865" s="93"/>
      <c r="T865" s="93"/>
      <c r="U865" s="93"/>
      <c r="V865" s="93"/>
      <c r="W865" s="93"/>
    </row>
    <row r="866" spans="2:23" s="14" customFormat="1" ht="17.100000000000001" customHeight="1">
      <c r="B866" s="89"/>
      <c r="C866" s="90"/>
      <c r="D866" s="91"/>
      <c r="E866" s="92"/>
      <c r="F866" s="89"/>
      <c r="G866" s="89"/>
      <c r="H866" s="89"/>
      <c r="I866" s="89"/>
      <c r="J866" s="89"/>
      <c r="K866" s="89"/>
      <c r="L866" s="93"/>
      <c r="M866" s="93"/>
      <c r="N866" s="93"/>
      <c r="O866" s="93"/>
      <c r="P866" s="93"/>
      <c r="Q866" s="93"/>
      <c r="R866" s="93"/>
      <c r="S866" s="93"/>
      <c r="T866" s="93"/>
      <c r="U866" s="93"/>
      <c r="V866" s="93"/>
      <c r="W866" s="93"/>
    </row>
    <row r="867" spans="2:23" s="14" customFormat="1" ht="17.100000000000001" customHeight="1">
      <c r="B867" s="89"/>
      <c r="C867" s="90"/>
      <c r="D867" s="91"/>
      <c r="E867" s="92"/>
      <c r="F867" s="89"/>
      <c r="G867" s="89"/>
      <c r="H867" s="89"/>
      <c r="I867" s="89"/>
      <c r="J867" s="89"/>
      <c r="K867" s="89"/>
      <c r="L867" s="93"/>
      <c r="M867" s="93"/>
      <c r="N867" s="93"/>
      <c r="O867" s="93"/>
      <c r="P867" s="93"/>
      <c r="Q867" s="93"/>
      <c r="R867" s="93"/>
      <c r="S867" s="93"/>
      <c r="T867" s="93"/>
      <c r="U867" s="93"/>
      <c r="V867" s="93"/>
      <c r="W867" s="93"/>
    </row>
    <row r="868" spans="2:23" s="14" customFormat="1" ht="17.100000000000001" customHeight="1">
      <c r="B868" s="89"/>
      <c r="C868" s="90"/>
      <c r="D868" s="91"/>
      <c r="E868" s="92"/>
      <c r="F868" s="89"/>
      <c r="G868" s="89"/>
      <c r="H868" s="89"/>
      <c r="I868" s="89"/>
      <c r="J868" s="89"/>
      <c r="K868" s="89"/>
      <c r="L868" s="93"/>
      <c r="M868" s="93"/>
      <c r="N868" s="93"/>
      <c r="O868" s="93"/>
      <c r="P868" s="93"/>
      <c r="Q868" s="93"/>
      <c r="R868" s="93"/>
      <c r="S868" s="93"/>
      <c r="T868" s="93"/>
      <c r="U868" s="93"/>
      <c r="V868" s="93"/>
      <c r="W868" s="93"/>
    </row>
    <row r="869" spans="2:23" s="14" customFormat="1" ht="17.100000000000001" customHeight="1">
      <c r="B869" s="89"/>
      <c r="C869" s="90"/>
      <c r="D869" s="91"/>
      <c r="E869" s="92"/>
      <c r="F869" s="89"/>
      <c r="G869" s="89"/>
      <c r="H869" s="89"/>
      <c r="I869" s="89"/>
      <c r="J869" s="89"/>
      <c r="K869" s="89"/>
      <c r="L869" s="93"/>
      <c r="M869" s="93"/>
      <c r="N869" s="93"/>
      <c r="O869" s="93"/>
      <c r="P869" s="93"/>
      <c r="Q869" s="93"/>
      <c r="R869" s="93"/>
      <c r="S869" s="93"/>
      <c r="T869" s="93"/>
      <c r="U869" s="93"/>
      <c r="V869" s="93"/>
      <c r="W869" s="93"/>
    </row>
    <row r="870" spans="2:23" s="14" customFormat="1" ht="17.100000000000001" customHeight="1">
      <c r="B870" s="89"/>
      <c r="C870" s="90"/>
      <c r="D870" s="91"/>
      <c r="E870" s="92"/>
      <c r="F870" s="89"/>
      <c r="G870" s="89"/>
      <c r="H870" s="89"/>
      <c r="I870" s="89"/>
      <c r="J870" s="89"/>
      <c r="K870" s="89"/>
      <c r="L870" s="93"/>
      <c r="M870" s="93"/>
      <c r="N870" s="93"/>
      <c r="O870" s="93"/>
      <c r="P870" s="93"/>
      <c r="Q870" s="93"/>
      <c r="R870" s="93"/>
      <c r="S870" s="93"/>
      <c r="T870" s="93"/>
      <c r="U870" s="93"/>
      <c r="V870" s="93"/>
      <c r="W870" s="93"/>
    </row>
    <row r="871" spans="2:23" s="14" customFormat="1" ht="17.100000000000001" customHeight="1">
      <c r="B871" s="89"/>
      <c r="C871" s="90"/>
      <c r="D871" s="91"/>
      <c r="E871" s="92"/>
      <c r="F871" s="89"/>
      <c r="G871" s="89"/>
      <c r="H871" s="89"/>
      <c r="I871" s="89"/>
      <c r="J871" s="89"/>
      <c r="K871" s="89"/>
      <c r="L871" s="93"/>
      <c r="M871" s="93"/>
      <c r="N871" s="93"/>
      <c r="O871" s="93"/>
      <c r="P871" s="93"/>
      <c r="Q871" s="93"/>
      <c r="R871" s="93"/>
      <c r="S871" s="93"/>
      <c r="T871" s="93"/>
      <c r="U871" s="93"/>
      <c r="V871" s="93"/>
      <c r="W871" s="93"/>
    </row>
    <row r="872" spans="2:23" s="14" customFormat="1" ht="17.100000000000001" customHeight="1">
      <c r="B872" s="89"/>
      <c r="C872" s="90"/>
      <c r="D872" s="91"/>
      <c r="E872" s="92"/>
      <c r="F872" s="89"/>
      <c r="G872" s="89"/>
      <c r="H872" s="89"/>
      <c r="I872" s="89"/>
      <c r="J872" s="89"/>
      <c r="K872" s="89"/>
      <c r="L872" s="93"/>
      <c r="M872" s="93"/>
      <c r="N872" s="93"/>
      <c r="O872" s="93"/>
      <c r="P872" s="93"/>
      <c r="Q872" s="93"/>
      <c r="R872" s="93"/>
      <c r="S872" s="93"/>
      <c r="T872" s="93"/>
      <c r="U872" s="93"/>
      <c r="V872" s="93"/>
      <c r="W872" s="93"/>
    </row>
    <row r="873" spans="2:23" s="14" customFormat="1" ht="17.100000000000001" customHeight="1">
      <c r="B873" s="89"/>
      <c r="C873" s="90"/>
      <c r="D873" s="91"/>
      <c r="E873" s="92"/>
      <c r="F873" s="89"/>
      <c r="G873" s="89"/>
      <c r="H873" s="89"/>
      <c r="I873" s="89"/>
      <c r="J873" s="89"/>
      <c r="K873" s="89"/>
      <c r="L873" s="93"/>
      <c r="M873" s="93"/>
      <c r="N873" s="93"/>
      <c r="O873" s="93"/>
      <c r="P873" s="93"/>
      <c r="Q873" s="93"/>
      <c r="R873" s="93"/>
      <c r="S873" s="93"/>
      <c r="T873" s="93"/>
      <c r="U873" s="93"/>
      <c r="V873" s="93"/>
      <c r="W873" s="93"/>
    </row>
    <row r="874" spans="2:23" s="14" customFormat="1" ht="17.100000000000001" customHeight="1">
      <c r="B874" s="89"/>
      <c r="C874" s="90"/>
      <c r="D874" s="91"/>
      <c r="E874" s="92"/>
      <c r="F874" s="89"/>
      <c r="G874" s="89"/>
      <c r="H874" s="89"/>
      <c r="I874" s="89"/>
      <c r="J874" s="89"/>
      <c r="K874" s="89"/>
      <c r="L874" s="93"/>
      <c r="M874" s="93"/>
      <c r="N874" s="93"/>
      <c r="O874" s="93"/>
      <c r="P874" s="93"/>
      <c r="Q874" s="93"/>
      <c r="R874" s="93"/>
      <c r="S874" s="93"/>
      <c r="T874" s="93"/>
      <c r="U874" s="93"/>
      <c r="V874" s="93"/>
      <c r="W874" s="93"/>
    </row>
    <row r="875" spans="2:23" s="14" customFormat="1" ht="17.100000000000001" customHeight="1">
      <c r="B875" s="89"/>
      <c r="C875" s="90"/>
      <c r="D875" s="91"/>
      <c r="E875" s="92"/>
      <c r="F875" s="89"/>
      <c r="G875" s="89"/>
      <c r="H875" s="89"/>
      <c r="I875" s="89"/>
      <c r="J875" s="89"/>
      <c r="K875" s="89"/>
      <c r="L875" s="93"/>
      <c r="M875" s="93"/>
      <c r="N875" s="93"/>
      <c r="O875" s="93"/>
      <c r="P875" s="93"/>
      <c r="Q875" s="93"/>
      <c r="R875" s="93"/>
      <c r="S875" s="93"/>
      <c r="T875" s="93"/>
      <c r="U875" s="93"/>
      <c r="V875" s="93"/>
      <c r="W875" s="93"/>
    </row>
    <row r="876" spans="2:23" s="14" customFormat="1" ht="17.100000000000001" customHeight="1">
      <c r="B876" s="89"/>
      <c r="C876" s="90"/>
      <c r="D876" s="91"/>
      <c r="E876" s="92"/>
      <c r="F876" s="89"/>
      <c r="G876" s="89"/>
      <c r="H876" s="89"/>
      <c r="I876" s="89"/>
      <c r="J876" s="89"/>
      <c r="K876" s="89"/>
      <c r="L876" s="93"/>
      <c r="M876" s="93"/>
      <c r="N876" s="93"/>
      <c r="O876" s="93"/>
      <c r="P876" s="93"/>
      <c r="Q876" s="93"/>
      <c r="R876" s="93"/>
      <c r="S876" s="93"/>
      <c r="T876" s="93"/>
      <c r="U876" s="93"/>
      <c r="V876" s="93"/>
      <c r="W876" s="93"/>
    </row>
    <row r="877" spans="2:23" s="14" customFormat="1" ht="17.100000000000001" customHeight="1">
      <c r="B877" s="89"/>
      <c r="C877" s="90"/>
      <c r="D877" s="91"/>
      <c r="E877" s="92"/>
      <c r="F877" s="89"/>
      <c r="G877" s="89"/>
      <c r="H877" s="89"/>
      <c r="I877" s="89"/>
      <c r="J877" s="89"/>
      <c r="K877" s="89"/>
      <c r="L877" s="93"/>
      <c r="M877" s="93"/>
      <c r="N877" s="93"/>
      <c r="O877" s="93"/>
      <c r="P877" s="93"/>
      <c r="Q877" s="93"/>
      <c r="R877" s="93"/>
      <c r="S877" s="93"/>
      <c r="T877" s="93"/>
      <c r="U877" s="93"/>
      <c r="V877" s="93"/>
      <c r="W877" s="93"/>
    </row>
    <row r="878" spans="2:23" s="14" customFormat="1" ht="17.100000000000001" customHeight="1">
      <c r="B878" s="89"/>
      <c r="C878" s="90"/>
      <c r="D878" s="91"/>
      <c r="E878" s="92"/>
      <c r="F878" s="89"/>
      <c r="G878" s="89"/>
      <c r="H878" s="89"/>
      <c r="I878" s="89"/>
      <c r="J878" s="89"/>
      <c r="K878" s="89"/>
      <c r="L878" s="93"/>
      <c r="M878" s="93"/>
      <c r="N878" s="93"/>
      <c r="O878" s="93"/>
      <c r="P878" s="93"/>
      <c r="Q878" s="93"/>
      <c r="R878" s="93"/>
      <c r="S878" s="93"/>
      <c r="T878" s="93"/>
      <c r="U878" s="93"/>
      <c r="V878" s="93"/>
      <c r="W878" s="93"/>
    </row>
    <row r="879" spans="2:23" s="14" customFormat="1" ht="17.100000000000001" customHeight="1">
      <c r="B879" s="89"/>
      <c r="C879" s="90"/>
      <c r="D879" s="91"/>
      <c r="E879" s="92"/>
      <c r="F879" s="89"/>
      <c r="G879" s="89"/>
      <c r="H879" s="89"/>
      <c r="I879" s="89"/>
      <c r="J879" s="89"/>
      <c r="K879" s="89"/>
      <c r="L879" s="93"/>
      <c r="M879" s="93"/>
      <c r="N879" s="93"/>
      <c r="O879" s="93"/>
      <c r="P879" s="93"/>
      <c r="Q879" s="93"/>
      <c r="R879" s="93"/>
      <c r="S879" s="93"/>
      <c r="T879" s="93"/>
      <c r="U879" s="93"/>
      <c r="V879" s="93"/>
      <c r="W879" s="93"/>
    </row>
    <row r="880" spans="2:23" s="14" customFormat="1" ht="17.100000000000001" customHeight="1">
      <c r="B880" s="89"/>
      <c r="C880" s="90"/>
      <c r="D880" s="91"/>
      <c r="E880" s="92"/>
      <c r="F880" s="89"/>
      <c r="G880" s="89"/>
      <c r="H880" s="89"/>
      <c r="I880" s="89"/>
      <c r="J880" s="89"/>
      <c r="K880" s="89"/>
      <c r="L880" s="93"/>
      <c r="M880" s="93"/>
      <c r="N880" s="93"/>
      <c r="O880" s="93"/>
      <c r="P880" s="93"/>
      <c r="Q880" s="93"/>
      <c r="R880" s="93"/>
      <c r="S880" s="93"/>
      <c r="T880" s="93"/>
      <c r="U880" s="93"/>
      <c r="V880" s="93"/>
      <c r="W880" s="93"/>
    </row>
    <row r="881" spans="2:23" s="14" customFormat="1" ht="17.100000000000001" customHeight="1">
      <c r="B881" s="89"/>
      <c r="C881" s="90"/>
      <c r="D881" s="91"/>
      <c r="E881" s="92"/>
      <c r="F881" s="89"/>
      <c r="G881" s="89"/>
      <c r="H881" s="89"/>
      <c r="I881" s="89"/>
      <c r="J881" s="89"/>
      <c r="K881" s="89"/>
      <c r="L881" s="93"/>
      <c r="M881" s="93"/>
      <c r="N881" s="93"/>
      <c r="O881" s="93"/>
      <c r="P881" s="93"/>
      <c r="Q881" s="93"/>
      <c r="R881" s="93"/>
      <c r="S881" s="93"/>
      <c r="T881" s="93"/>
      <c r="U881" s="93"/>
      <c r="V881" s="93"/>
      <c r="W881" s="93"/>
    </row>
    <row r="882" spans="2:23" s="14" customFormat="1" ht="17.100000000000001" customHeight="1">
      <c r="B882" s="89"/>
      <c r="C882" s="90"/>
      <c r="D882" s="91"/>
      <c r="E882" s="92"/>
      <c r="F882" s="89"/>
      <c r="G882" s="89"/>
      <c r="H882" s="89"/>
      <c r="I882" s="89"/>
      <c r="J882" s="89"/>
      <c r="K882" s="89"/>
      <c r="L882" s="93"/>
      <c r="M882" s="93"/>
      <c r="N882" s="93"/>
      <c r="O882" s="93"/>
      <c r="P882" s="93"/>
      <c r="Q882" s="93"/>
      <c r="R882" s="93"/>
      <c r="S882" s="93"/>
      <c r="T882" s="93"/>
      <c r="U882" s="93"/>
      <c r="V882" s="93"/>
      <c r="W882" s="93"/>
    </row>
    <row r="883" spans="2:23" s="14" customFormat="1" ht="17.100000000000001" customHeight="1">
      <c r="B883" s="89"/>
      <c r="C883" s="90"/>
      <c r="D883" s="91"/>
      <c r="E883" s="92"/>
      <c r="F883" s="89"/>
      <c r="G883" s="89"/>
      <c r="H883" s="89"/>
      <c r="I883" s="89"/>
      <c r="J883" s="89"/>
      <c r="K883" s="89"/>
      <c r="L883" s="93"/>
      <c r="M883" s="93"/>
      <c r="N883" s="93"/>
      <c r="O883" s="93"/>
      <c r="P883" s="93"/>
      <c r="Q883" s="93"/>
      <c r="R883" s="93"/>
      <c r="S883" s="93"/>
      <c r="T883" s="93"/>
      <c r="U883" s="93"/>
      <c r="V883" s="93"/>
      <c r="W883" s="93"/>
    </row>
    <row r="884" spans="2:23" s="14" customFormat="1" ht="17.100000000000001" customHeight="1">
      <c r="B884" s="89"/>
      <c r="C884" s="90"/>
      <c r="D884" s="91"/>
      <c r="E884" s="92"/>
      <c r="F884" s="89"/>
      <c r="G884" s="89"/>
      <c r="H884" s="89"/>
      <c r="I884" s="89"/>
      <c r="J884" s="89"/>
      <c r="K884" s="89"/>
      <c r="L884" s="93"/>
      <c r="M884" s="93"/>
      <c r="N884" s="93"/>
      <c r="O884" s="93"/>
      <c r="P884" s="93"/>
      <c r="Q884" s="93"/>
      <c r="R884" s="93"/>
      <c r="S884" s="93"/>
      <c r="T884" s="93"/>
      <c r="U884" s="93"/>
      <c r="V884" s="93"/>
      <c r="W884" s="93"/>
    </row>
    <row r="885" spans="2:23" s="14" customFormat="1" ht="17.100000000000001" customHeight="1">
      <c r="B885" s="89"/>
      <c r="C885" s="90"/>
      <c r="D885" s="91"/>
      <c r="E885" s="92"/>
      <c r="F885" s="89"/>
      <c r="G885" s="89"/>
      <c r="H885" s="89"/>
      <c r="I885" s="89"/>
      <c r="J885" s="89"/>
      <c r="K885" s="89"/>
      <c r="L885" s="93"/>
      <c r="M885" s="93"/>
      <c r="N885" s="93"/>
      <c r="O885" s="93"/>
      <c r="P885" s="93"/>
      <c r="Q885" s="93"/>
      <c r="R885" s="93"/>
      <c r="S885" s="93"/>
      <c r="T885" s="93"/>
      <c r="U885" s="93"/>
      <c r="V885" s="93"/>
      <c r="W885" s="93"/>
    </row>
    <row r="886" spans="2:23" s="14" customFormat="1" ht="17.100000000000001" customHeight="1">
      <c r="B886" s="89"/>
      <c r="C886" s="90"/>
      <c r="D886" s="91"/>
      <c r="E886" s="92"/>
      <c r="F886" s="89"/>
      <c r="G886" s="89"/>
      <c r="H886" s="89"/>
      <c r="I886" s="89"/>
      <c r="J886" s="89"/>
      <c r="K886" s="89"/>
      <c r="L886" s="93"/>
      <c r="M886" s="93"/>
      <c r="N886" s="93"/>
      <c r="O886" s="93"/>
      <c r="P886" s="93"/>
      <c r="Q886" s="93"/>
      <c r="R886" s="93"/>
      <c r="S886" s="93"/>
      <c r="T886" s="93"/>
      <c r="U886" s="93"/>
      <c r="V886" s="93"/>
      <c r="W886" s="93"/>
    </row>
    <row r="887" spans="2:23" s="14" customFormat="1" ht="17.100000000000001" customHeight="1">
      <c r="B887" s="89"/>
      <c r="C887" s="90"/>
      <c r="D887" s="91"/>
      <c r="E887" s="92"/>
      <c r="F887" s="89"/>
      <c r="G887" s="89"/>
      <c r="H887" s="89"/>
      <c r="I887" s="89"/>
      <c r="J887" s="89"/>
      <c r="K887" s="89"/>
      <c r="L887" s="93"/>
      <c r="M887" s="93"/>
      <c r="N887" s="93"/>
      <c r="O887" s="93"/>
      <c r="P887" s="93"/>
      <c r="Q887" s="93"/>
      <c r="R887" s="93"/>
      <c r="S887" s="93"/>
      <c r="T887" s="93"/>
      <c r="U887" s="93"/>
      <c r="V887" s="93"/>
      <c r="W887" s="93"/>
    </row>
    <row r="888" spans="2:23" s="14" customFormat="1" ht="17.100000000000001" customHeight="1">
      <c r="B888" s="89"/>
      <c r="C888" s="90"/>
      <c r="D888" s="91"/>
      <c r="E888" s="92"/>
      <c r="F888" s="89"/>
      <c r="G888" s="89"/>
      <c r="H888" s="89"/>
      <c r="I888" s="89"/>
      <c r="J888" s="89"/>
      <c r="K888" s="89"/>
      <c r="L888" s="93"/>
      <c r="M888" s="93"/>
      <c r="N888" s="93"/>
      <c r="O888" s="93"/>
      <c r="P888" s="93"/>
      <c r="Q888" s="93"/>
      <c r="R888" s="93"/>
      <c r="S888" s="93"/>
      <c r="T888" s="93"/>
      <c r="U888" s="93"/>
      <c r="V888" s="93"/>
      <c r="W888" s="93"/>
    </row>
    <row r="889" spans="2:23" s="14" customFormat="1" ht="17.100000000000001" customHeight="1">
      <c r="B889" s="89"/>
      <c r="C889" s="90"/>
      <c r="D889" s="91"/>
      <c r="E889" s="92"/>
      <c r="F889" s="89"/>
      <c r="G889" s="89"/>
      <c r="H889" s="89"/>
      <c r="I889" s="89"/>
      <c r="J889" s="89"/>
      <c r="K889" s="89"/>
      <c r="L889" s="93"/>
      <c r="M889" s="93"/>
      <c r="N889" s="93"/>
      <c r="O889" s="93"/>
      <c r="P889" s="93"/>
      <c r="Q889" s="93"/>
      <c r="R889" s="93"/>
      <c r="S889" s="93"/>
      <c r="T889" s="93"/>
      <c r="U889" s="93"/>
      <c r="V889" s="93"/>
      <c r="W889" s="93"/>
    </row>
    <row r="890" spans="2:23" s="14" customFormat="1" ht="17.100000000000001" customHeight="1">
      <c r="B890" s="89"/>
      <c r="C890" s="90"/>
      <c r="D890" s="91"/>
      <c r="E890" s="92"/>
      <c r="F890" s="89"/>
      <c r="G890" s="89"/>
      <c r="H890" s="89"/>
      <c r="I890" s="89"/>
      <c r="J890" s="89"/>
      <c r="K890" s="89"/>
      <c r="L890" s="93"/>
      <c r="M890" s="93"/>
      <c r="N890" s="93"/>
      <c r="O890" s="93"/>
      <c r="P890" s="93"/>
      <c r="Q890" s="93"/>
      <c r="R890" s="93"/>
      <c r="S890" s="93"/>
      <c r="T890" s="93"/>
      <c r="U890" s="93"/>
      <c r="V890" s="93"/>
      <c r="W890" s="93"/>
    </row>
    <row r="891" spans="2:23" s="14" customFormat="1" ht="17.100000000000001" customHeight="1">
      <c r="B891" s="89"/>
      <c r="C891" s="90"/>
      <c r="D891" s="91"/>
      <c r="E891" s="92"/>
      <c r="F891" s="89"/>
      <c r="G891" s="89"/>
      <c r="H891" s="89"/>
      <c r="I891" s="89"/>
      <c r="J891" s="89"/>
      <c r="K891" s="89"/>
      <c r="L891" s="93"/>
      <c r="M891" s="93"/>
      <c r="N891" s="93"/>
      <c r="O891" s="93"/>
      <c r="P891" s="93"/>
      <c r="Q891" s="93"/>
      <c r="R891" s="93"/>
      <c r="S891" s="93"/>
      <c r="T891" s="93"/>
      <c r="U891" s="93"/>
      <c r="V891" s="93"/>
      <c r="W891" s="93"/>
    </row>
    <row r="892" spans="2:23" s="14" customFormat="1" ht="17.100000000000001" customHeight="1">
      <c r="B892" s="89"/>
      <c r="C892" s="90"/>
      <c r="D892" s="91"/>
      <c r="E892" s="92"/>
      <c r="F892" s="89"/>
      <c r="G892" s="89"/>
      <c r="H892" s="89"/>
      <c r="I892" s="89"/>
      <c r="J892" s="89"/>
      <c r="K892" s="89"/>
      <c r="L892" s="93"/>
      <c r="M892" s="93"/>
      <c r="N892" s="93"/>
      <c r="O892" s="93"/>
      <c r="P892" s="93"/>
      <c r="Q892" s="93"/>
      <c r="R892" s="93"/>
      <c r="S892" s="93"/>
      <c r="T892" s="93"/>
      <c r="U892" s="93"/>
      <c r="V892" s="93"/>
      <c r="W892" s="93"/>
    </row>
    <row r="893" spans="2:23" s="14" customFormat="1" ht="17.100000000000001" customHeight="1">
      <c r="B893" s="89"/>
      <c r="C893" s="90"/>
      <c r="D893" s="91"/>
      <c r="E893" s="92"/>
      <c r="F893" s="89"/>
      <c r="G893" s="89"/>
      <c r="H893" s="89"/>
      <c r="I893" s="89"/>
      <c r="J893" s="89"/>
      <c r="K893" s="89"/>
      <c r="L893" s="93"/>
      <c r="M893" s="93"/>
      <c r="N893" s="93"/>
      <c r="O893" s="93"/>
      <c r="P893" s="93"/>
      <c r="Q893" s="93"/>
      <c r="R893" s="93"/>
      <c r="S893" s="93"/>
      <c r="T893" s="93"/>
      <c r="U893" s="93"/>
      <c r="V893" s="93"/>
      <c r="W893" s="93"/>
    </row>
    <row r="894" spans="2:23" s="14" customFormat="1" ht="17.100000000000001" customHeight="1">
      <c r="B894" s="89"/>
      <c r="C894" s="90"/>
      <c r="D894" s="91"/>
      <c r="E894" s="92"/>
      <c r="F894" s="89"/>
      <c r="G894" s="89"/>
      <c r="H894" s="89"/>
      <c r="I894" s="89"/>
      <c r="J894" s="89"/>
      <c r="K894" s="89"/>
      <c r="L894" s="93"/>
      <c r="M894" s="93"/>
      <c r="N894" s="93"/>
      <c r="O894" s="93"/>
      <c r="P894" s="93"/>
      <c r="Q894" s="93"/>
      <c r="R894" s="93"/>
      <c r="S894" s="93"/>
      <c r="T894" s="93"/>
      <c r="U894" s="93"/>
      <c r="V894" s="93"/>
      <c r="W894" s="93"/>
    </row>
    <row r="895" spans="2:23" s="14" customFormat="1" ht="17.100000000000001" customHeight="1">
      <c r="B895" s="89"/>
      <c r="C895" s="90"/>
      <c r="D895" s="91"/>
      <c r="E895" s="92"/>
      <c r="F895" s="89"/>
      <c r="G895" s="89"/>
      <c r="H895" s="89"/>
      <c r="I895" s="89"/>
      <c r="J895" s="89"/>
      <c r="K895" s="89"/>
      <c r="L895" s="93"/>
      <c r="M895" s="93"/>
      <c r="N895" s="93"/>
      <c r="O895" s="93"/>
      <c r="P895" s="93"/>
      <c r="Q895" s="93"/>
      <c r="R895" s="93"/>
      <c r="S895" s="93"/>
      <c r="T895" s="93"/>
      <c r="U895" s="93"/>
      <c r="V895" s="93"/>
      <c r="W895" s="93"/>
    </row>
    <row r="896" spans="2:23" s="14" customFormat="1" ht="17.100000000000001" customHeight="1">
      <c r="B896" s="89"/>
      <c r="C896" s="90"/>
      <c r="D896" s="91"/>
      <c r="E896" s="92"/>
      <c r="F896" s="89"/>
      <c r="G896" s="89"/>
      <c r="H896" s="89"/>
      <c r="I896" s="89"/>
      <c r="J896" s="89"/>
      <c r="K896" s="89"/>
      <c r="L896" s="93"/>
      <c r="M896" s="93"/>
      <c r="N896" s="93"/>
      <c r="O896" s="93"/>
      <c r="P896" s="93"/>
      <c r="Q896" s="93"/>
      <c r="R896" s="93"/>
      <c r="S896" s="93"/>
      <c r="T896" s="93"/>
      <c r="U896" s="93"/>
      <c r="V896" s="93"/>
      <c r="W896" s="93"/>
    </row>
    <row r="897" spans="2:23" s="14" customFormat="1" ht="17.100000000000001" customHeight="1">
      <c r="B897" s="89"/>
      <c r="C897" s="90"/>
      <c r="D897" s="91"/>
      <c r="E897" s="92"/>
      <c r="F897" s="89"/>
      <c r="G897" s="89"/>
      <c r="H897" s="89"/>
      <c r="I897" s="89"/>
      <c r="J897" s="89"/>
      <c r="K897" s="89"/>
      <c r="L897" s="93"/>
      <c r="M897" s="93"/>
      <c r="N897" s="93"/>
      <c r="O897" s="93"/>
      <c r="P897" s="93"/>
      <c r="Q897" s="93"/>
      <c r="R897" s="93"/>
      <c r="S897" s="93"/>
      <c r="T897" s="93"/>
      <c r="U897" s="93"/>
      <c r="V897" s="93"/>
      <c r="W897" s="93"/>
    </row>
    <row r="898" spans="2:23" s="14" customFormat="1" ht="17.100000000000001" customHeight="1">
      <c r="B898" s="89"/>
      <c r="C898" s="90"/>
      <c r="D898" s="91"/>
      <c r="E898" s="92"/>
      <c r="F898" s="89"/>
      <c r="G898" s="89"/>
      <c r="H898" s="89"/>
      <c r="I898" s="89"/>
      <c r="J898" s="89"/>
      <c r="K898" s="89"/>
      <c r="L898" s="93"/>
      <c r="M898" s="93"/>
      <c r="N898" s="93"/>
      <c r="O898" s="93"/>
      <c r="P898" s="93"/>
      <c r="Q898" s="93"/>
      <c r="R898" s="93"/>
      <c r="S898" s="93"/>
      <c r="T898" s="93"/>
      <c r="U898" s="93"/>
      <c r="V898" s="93"/>
      <c r="W898" s="93"/>
    </row>
    <row r="899" spans="2:23" s="14" customFormat="1" ht="17.100000000000001" customHeight="1">
      <c r="B899" s="89"/>
      <c r="C899" s="90"/>
      <c r="D899" s="91"/>
      <c r="E899" s="92"/>
      <c r="F899" s="89"/>
      <c r="G899" s="89"/>
      <c r="H899" s="89"/>
      <c r="I899" s="89"/>
      <c r="J899" s="89"/>
      <c r="K899" s="89"/>
      <c r="L899" s="93"/>
      <c r="M899" s="93"/>
      <c r="N899" s="93"/>
      <c r="O899" s="93"/>
      <c r="P899" s="93"/>
      <c r="Q899" s="93"/>
      <c r="R899" s="93"/>
      <c r="S899" s="93"/>
      <c r="T899" s="93"/>
      <c r="U899" s="93"/>
      <c r="V899" s="93"/>
      <c r="W899" s="93"/>
    </row>
    <row r="900" spans="2:23" s="14" customFormat="1" ht="17.100000000000001" customHeight="1">
      <c r="B900" s="89"/>
      <c r="C900" s="90"/>
      <c r="D900" s="91"/>
      <c r="E900" s="92"/>
      <c r="F900" s="89"/>
      <c r="G900" s="89"/>
      <c r="H900" s="89"/>
      <c r="I900" s="89"/>
      <c r="J900" s="89"/>
      <c r="K900" s="89"/>
      <c r="L900" s="93"/>
      <c r="M900" s="93"/>
      <c r="N900" s="93"/>
      <c r="O900" s="93"/>
      <c r="P900" s="93"/>
      <c r="Q900" s="93"/>
      <c r="R900" s="93"/>
      <c r="S900" s="93"/>
      <c r="T900" s="93"/>
      <c r="U900" s="93"/>
      <c r="V900" s="93"/>
      <c r="W900" s="93"/>
    </row>
    <row r="901" spans="2:23" s="14" customFormat="1" ht="17.100000000000001" customHeight="1">
      <c r="B901" s="89"/>
      <c r="C901" s="90"/>
      <c r="D901" s="91"/>
      <c r="E901" s="92"/>
      <c r="F901" s="89"/>
      <c r="G901" s="89"/>
      <c r="H901" s="89"/>
      <c r="I901" s="89"/>
      <c r="J901" s="89"/>
      <c r="K901" s="89"/>
      <c r="L901" s="93"/>
      <c r="M901" s="93"/>
      <c r="N901" s="93"/>
      <c r="O901" s="93"/>
      <c r="P901" s="93"/>
      <c r="Q901" s="93"/>
      <c r="R901" s="93"/>
      <c r="S901" s="93"/>
      <c r="T901" s="93"/>
      <c r="U901" s="93"/>
      <c r="V901" s="93"/>
      <c r="W901" s="93"/>
    </row>
    <row r="902" spans="2:23" s="14" customFormat="1" ht="17.100000000000001" customHeight="1">
      <c r="B902" s="89"/>
      <c r="C902" s="90"/>
      <c r="D902" s="91"/>
      <c r="E902" s="92"/>
      <c r="F902" s="89"/>
      <c r="G902" s="89"/>
      <c r="H902" s="89"/>
      <c r="I902" s="89"/>
      <c r="J902" s="89"/>
      <c r="K902" s="89"/>
      <c r="L902" s="93"/>
      <c r="M902" s="93"/>
      <c r="N902" s="93"/>
      <c r="O902" s="93"/>
      <c r="P902" s="93"/>
      <c r="Q902" s="93"/>
      <c r="R902" s="93"/>
      <c r="S902" s="93"/>
      <c r="T902" s="93"/>
      <c r="U902" s="93"/>
      <c r="V902" s="93"/>
      <c r="W902" s="93"/>
    </row>
    <row r="903" spans="2:23" s="14" customFormat="1" ht="17.100000000000001" customHeight="1">
      <c r="B903" s="89"/>
      <c r="C903" s="90"/>
      <c r="D903" s="91"/>
      <c r="E903" s="92"/>
      <c r="F903" s="89"/>
      <c r="G903" s="89"/>
      <c r="H903" s="89"/>
      <c r="I903" s="89"/>
      <c r="J903" s="89"/>
      <c r="K903" s="89"/>
      <c r="L903" s="93"/>
      <c r="M903" s="93"/>
      <c r="N903" s="93"/>
      <c r="O903" s="93"/>
      <c r="P903" s="93"/>
      <c r="Q903" s="93"/>
      <c r="R903" s="93"/>
      <c r="S903" s="93"/>
      <c r="T903" s="93"/>
      <c r="U903" s="93"/>
      <c r="V903" s="93"/>
      <c r="W903" s="93"/>
    </row>
    <row r="904" spans="2:23" s="14" customFormat="1" ht="17.100000000000001" customHeight="1">
      <c r="B904" s="89"/>
      <c r="C904" s="90"/>
      <c r="D904" s="91"/>
      <c r="E904" s="92"/>
      <c r="F904" s="89"/>
      <c r="G904" s="89"/>
      <c r="H904" s="89"/>
      <c r="I904" s="89"/>
      <c r="J904" s="89"/>
      <c r="K904" s="89"/>
      <c r="L904" s="93"/>
      <c r="M904" s="93"/>
      <c r="N904" s="93"/>
      <c r="O904" s="93"/>
      <c r="P904" s="93"/>
      <c r="Q904" s="93"/>
      <c r="R904" s="93"/>
      <c r="S904" s="93"/>
      <c r="T904" s="93"/>
      <c r="U904" s="93"/>
      <c r="V904" s="93"/>
      <c r="W904" s="93"/>
    </row>
    <row r="905" spans="2:23" s="14" customFormat="1" ht="17.100000000000001" customHeight="1">
      <c r="B905" s="89"/>
      <c r="C905" s="90"/>
      <c r="D905" s="91"/>
      <c r="E905" s="92"/>
      <c r="F905" s="89"/>
      <c r="G905" s="89"/>
      <c r="H905" s="89"/>
      <c r="I905" s="89"/>
      <c r="J905" s="89"/>
      <c r="K905" s="89"/>
      <c r="L905" s="93"/>
      <c r="M905" s="93"/>
      <c r="N905" s="93"/>
      <c r="O905" s="93"/>
      <c r="P905" s="93"/>
      <c r="Q905" s="93"/>
      <c r="R905" s="93"/>
      <c r="S905" s="93"/>
      <c r="T905" s="93"/>
      <c r="U905" s="93"/>
      <c r="V905" s="93"/>
      <c r="W905" s="93"/>
    </row>
    <row r="906" spans="2:23" s="14" customFormat="1" ht="17.100000000000001" customHeight="1">
      <c r="B906" s="89"/>
      <c r="C906" s="90"/>
      <c r="D906" s="91"/>
      <c r="E906" s="92"/>
      <c r="F906" s="89"/>
      <c r="G906" s="89"/>
      <c r="H906" s="89"/>
      <c r="I906" s="89"/>
      <c r="J906" s="89"/>
      <c r="K906" s="89"/>
      <c r="L906" s="93"/>
      <c r="M906" s="93"/>
      <c r="N906" s="93"/>
      <c r="O906" s="93"/>
      <c r="P906" s="93"/>
      <c r="Q906" s="93"/>
      <c r="R906" s="93"/>
      <c r="S906" s="93"/>
      <c r="T906" s="93"/>
      <c r="U906" s="93"/>
      <c r="V906" s="93"/>
      <c r="W906" s="93"/>
    </row>
    <row r="907" spans="2:23" s="14" customFormat="1" ht="17.100000000000001" customHeight="1">
      <c r="B907" s="89"/>
      <c r="C907" s="90"/>
      <c r="D907" s="91"/>
      <c r="E907" s="92"/>
      <c r="F907" s="89"/>
      <c r="G907" s="89"/>
      <c r="H907" s="89"/>
      <c r="I907" s="89"/>
      <c r="J907" s="89"/>
      <c r="K907" s="89"/>
      <c r="L907" s="93"/>
      <c r="M907" s="93"/>
      <c r="N907" s="93"/>
      <c r="O907" s="93"/>
      <c r="P907" s="93"/>
      <c r="Q907" s="93"/>
      <c r="R907" s="93"/>
      <c r="S907" s="93"/>
      <c r="T907" s="93"/>
      <c r="U907" s="93"/>
      <c r="V907" s="93"/>
      <c r="W907" s="93"/>
    </row>
    <row r="908" spans="2:23" s="14" customFormat="1" ht="17.100000000000001" customHeight="1">
      <c r="B908" s="89"/>
      <c r="C908" s="90"/>
      <c r="D908" s="91"/>
      <c r="E908" s="92"/>
      <c r="F908" s="89"/>
      <c r="G908" s="89"/>
      <c r="H908" s="89"/>
      <c r="I908" s="89"/>
      <c r="J908" s="89"/>
      <c r="K908" s="89"/>
      <c r="L908" s="93"/>
      <c r="M908" s="93"/>
      <c r="N908" s="93"/>
      <c r="O908" s="93"/>
      <c r="P908" s="93"/>
      <c r="Q908" s="93"/>
      <c r="R908" s="93"/>
      <c r="S908" s="93"/>
      <c r="T908" s="93"/>
      <c r="U908" s="93"/>
      <c r="V908" s="93"/>
      <c r="W908" s="93"/>
    </row>
    <row r="909" spans="2:23" s="14" customFormat="1" ht="17.100000000000001" customHeight="1">
      <c r="B909" s="89"/>
      <c r="C909" s="90"/>
      <c r="D909" s="91"/>
      <c r="E909" s="92"/>
      <c r="F909" s="89"/>
      <c r="G909" s="89"/>
      <c r="H909" s="89"/>
      <c r="I909" s="89"/>
      <c r="J909" s="89"/>
      <c r="K909" s="89"/>
      <c r="L909" s="93"/>
      <c r="M909" s="93"/>
      <c r="N909" s="93"/>
      <c r="O909" s="93"/>
      <c r="P909" s="93"/>
      <c r="Q909" s="93"/>
      <c r="R909" s="93"/>
      <c r="S909" s="93"/>
      <c r="T909" s="93"/>
      <c r="U909" s="93"/>
      <c r="V909" s="93"/>
      <c r="W909" s="93"/>
    </row>
    <row r="910" spans="2:23" s="14" customFormat="1" ht="17.100000000000001" customHeight="1">
      <c r="B910" s="89"/>
      <c r="C910" s="90"/>
      <c r="D910" s="91"/>
      <c r="E910" s="92"/>
      <c r="F910" s="89"/>
      <c r="G910" s="89"/>
      <c r="H910" s="89"/>
      <c r="I910" s="89"/>
      <c r="J910" s="89"/>
      <c r="K910" s="89"/>
      <c r="L910" s="93"/>
      <c r="M910" s="93"/>
      <c r="N910" s="93"/>
      <c r="O910" s="93"/>
      <c r="P910" s="93"/>
      <c r="Q910" s="93"/>
      <c r="R910" s="93"/>
      <c r="S910" s="93"/>
      <c r="T910" s="93"/>
      <c r="U910" s="93"/>
      <c r="V910" s="93"/>
      <c r="W910" s="93"/>
    </row>
    <row r="911" spans="2:23" s="14" customFormat="1" ht="17.100000000000001" customHeight="1">
      <c r="B911" s="89"/>
      <c r="C911" s="90"/>
      <c r="D911" s="91"/>
      <c r="E911" s="92"/>
      <c r="F911" s="89"/>
      <c r="G911" s="89"/>
      <c r="H911" s="89"/>
      <c r="I911" s="89"/>
      <c r="J911" s="89"/>
      <c r="K911" s="89"/>
      <c r="L911" s="93"/>
      <c r="M911" s="93"/>
      <c r="N911" s="93"/>
      <c r="O911" s="93"/>
      <c r="P911" s="93"/>
      <c r="Q911" s="93"/>
      <c r="R911" s="93"/>
      <c r="S911" s="93"/>
      <c r="T911" s="93"/>
      <c r="U911" s="93"/>
      <c r="V911" s="93"/>
      <c r="W911" s="93"/>
    </row>
    <row r="912" spans="2:23" s="14" customFormat="1" ht="17.100000000000001" customHeight="1">
      <c r="B912" s="89"/>
      <c r="C912" s="90"/>
      <c r="D912" s="91"/>
      <c r="E912" s="92"/>
      <c r="F912" s="89"/>
      <c r="G912" s="89"/>
      <c r="H912" s="89"/>
      <c r="I912" s="89"/>
      <c r="J912" s="89"/>
      <c r="K912" s="89"/>
      <c r="L912" s="93"/>
      <c r="M912" s="93"/>
      <c r="N912" s="93"/>
      <c r="O912" s="93"/>
      <c r="P912" s="93"/>
      <c r="Q912" s="93"/>
      <c r="R912" s="93"/>
      <c r="S912" s="93"/>
      <c r="T912" s="93"/>
      <c r="U912" s="93"/>
      <c r="V912" s="93"/>
      <c r="W912" s="93"/>
    </row>
    <row r="913" spans="2:23" s="14" customFormat="1" ht="17.100000000000001" customHeight="1">
      <c r="B913" s="89"/>
      <c r="C913" s="90"/>
      <c r="D913" s="91"/>
      <c r="E913" s="92"/>
      <c r="F913" s="89"/>
      <c r="G913" s="89"/>
      <c r="H913" s="89"/>
      <c r="I913" s="89"/>
      <c r="J913" s="89"/>
      <c r="K913" s="89"/>
      <c r="L913" s="93"/>
      <c r="M913" s="93"/>
      <c r="N913" s="93"/>
      <c r="O913" s="93"/>
      <c r="P913" s="93"/>
      <c r="Q913" s="93"/>
      <c r="R913" s="93"/>
      <c r="S913" s="93"/>
      <c r="T913" s="93"/>
      <c r="U913" s="93"/>
      <c r="V913" s="93"/>
      <c r="W913" s="93"/>
    </row>
    <row r="914" spans="2:23" s="14" customFormat="1" ht="17.100000000000001" customHeight="1">
      <c r="B914" s="89"/>
      <c r="C914" s="90"/>
      <c r="D914" s="91"/>
      <c r="E914" s="92"/>
      <c r="F914" s="89"/>
      <c r="G914" s="89"/>
      <c r="H914" s="89"/>
      <c r="I914" s="89"/>
      <c r="J914" s="89"/>
      <c r="K914" s="89"/>
      <c r="L914" s="93"/>
      <c r="M914" s="93"/>
      <c r="N914" s="93"/>
      <c r="O914" s="93"/>
      <c r="P914" s="93"/>
      <c r="Q914" s="93"/>
      <c r="R914" s="93"/>
      <c r="S914" s="93"/>
      <c r="T914" s="93"/>
      <c r="U914" s="93"/>
      <c r="V914" s="93"/>
      <c r="W914" s="93"/>
    </row>
    <row r="915" spans="2:23" s="14" customFormat="1" ht="17.100000000000001" customHeight="1">
      <c r="B915" s="89"/>
      <c r="C915" s="90"/>
      <c r="D915" s="91"/>
      <c r="E915" s="92"/>
      <c r="F915" s="89"/>
      <c r="G915" s="89"/>
      <c r="H915" s="89"/>
      <c r="I915" s="89"/>
      <c r="J915" s="89"/>
      <c r="K915" s="89"/>
      <c r="L915" s="93"/>
      <c r="M915" s="93"/>
      <c r="N915" s="93"/>
      <c r="O915" s="93"/>
      <c r="P915" s="93"/>
      <c r="Q915" s="93"/>
      <c r="R915" s="93"/>
      <c r="S915" s="93"/>
      <c r="T915" s="93"/>
      <c r="U915" s="93"/>
      <c r="V915" s="93"/>
      <c r="W915" s="93"/>
    </row>
    <row r="916" spans="2:23" s="14" customFormat="1" ht="17.100000000000001" customHeight="1">
      <c r="B916" s="89"/>
      <c r="C916" s="90"/>
      <c r="D916" s="91"/>
      <c r="E916" s="92"/>
      <c r="F916" s="89"/>
      <c r="G916" s="89"/>
      <c r="H916" s="89"/>
      <c r="I916" s="89"/>
      <c r="J916" s="89"/>
      <c r="K916" s="89"/>
      <c r="L916" s="93"/>
      <c r="M916" s="93"/>
      <c r="N916" s="93"/>
      <c r="O916" s="93"/>
      <c r="P916" s="93"/>
      <c r="Q916" s="93"/>
      <c r="R916" s="93"/>
      <c r="S916" s="93"/>
      <c r="T916" s="93"/>
      <c r="U916" s="93"/>
      <c r="V916" s="93"/>
      <c r="W916" s="93"/>
    </row>
    <row r="917" spans="2:23" s="14" customFormat="1" ht="17.100000000000001" customHeight="1">
      <c r="B917" s="89"/>
      <c r="C917" s="90"/>
      <c r="D917" s="91"/>
      <c r="E917" s="92"/>
      <c r="F917" s="89"/>
      <c r="G917" s="89"/>
      <c r="H917" s="89"/>
      <c r="I917" s="89"/>
      <c r="J917" s="89"/>
      <c r="K917" s="89"/>
      <c r="L917" s="93"/>
      <c r="M917" s="93"/>
      <c r="N917" s="93"/>
      <c r="O917" s="93"/>
      <c r="P917" s="93"/>
      <c r="Q917" s="93"/>
      <c r="R917" s="93"/>
      <c r="S917" s="93"/>
      <c r="T917" s="93"/>
      <c r="U917" s="93"/>
      <c r="V917" s="93"/>
      <c r="W917" s="93"/>
    </row>
    <row r="918" spans="2:23" s="14" customFormat="1" ht="17.100000000000001" customHeight="1">
      <c r="B918" s="89"/>
      <c r="C918" s="90"/>
      <c r="D918" s="91"/>
      <c r="E918" s="92"/>
      <c r="F918" s="89"/>
      <c r="G918" s="89"/>
      <c r="H918" s="89"/>
      <c r="I918" s="89"/>
      <c r="J918" s="89"/>
      <c r="K918" s="89"/>
      <c r="L918" s="93"/>
      <c r="M918" s="93"/>
      <c r="N918" s="93"/>
      <c r="O918" s="93"/>
      <c r="P918" s="93"/>
      <c r="Q918" s="93"/>
      <c r="R918" s="93"/>
      <c r="S918" s="93"/>
      <c r="T918" s="93"/>
      <c r="U918" s="93"/>
      <c r="V918" s="93"/>
      <c r="W918" s="93"/>
    </row>
    <row r="919" spans="2:23" s="14" customFormat="1" ht="17.100000000000001" customHeight="1">
      <c r="B919" s="89"/>
      <c r="C919" s="90"/>
      <c r="D919" s="91"/>
      <c r="E919" s="92"/>
      <c r="F919" s="89"/>
      <c r="G919" s="89"/>
      <c r="H919" s="89"/>
      <c r="I919" s="89"/>
      <c r="J919" s="89"/>
      <c r="K919" s="89"/>
      <c r="L919" s="93"/>
      <c r="M919" s="93"/>
      <c r="N919" s="93"/>
      <c r="O919" s="93"/>
      <c r="P919" s="93"/>
      <c r="Q919" s="93"/>
      <c r="R919" s="93"/>
      <c r="S919" s="93"/>
      <c r="T919" s="93"/>
      <c r="U919" s="93"/>
      <c r="V919" s="93"/>
      <c r="W919" s="93"/>
    </row>
    <row r="920" spans="2:23" s="14" customFormat="1" ht="17.100000000000001" customHeight="1">
      <c r="B920" s="89"/>
      <c r="C920" s="90"/>
      <c r="D920" s="91"/>
      <c r="E920" s="92"/>
      <c r="F920" s="89"/>
      <c r="G920" s="89"/>
      <c r="H920" s="89"/>
      <c r="I920" s="89"/>
      <c r="J920" s="89"/>
      <c r="K920" s="89"/>
      <c r="L920" s="93"/>
      <c r="M920" s="93"/>
      <c r="N920" s="93"/>
      <c r="O920" s="93"/>
      <c r="P920" s="93"/>
      <c r="Q920" s="93"/>
      <c r="R920" s="93"/>
      <c r="S920" s="93"/>
      <c r="T920" s="93"/>
      <c r="U920" s="93"/>
      <c r="V920" s="93"/>
      <c r="W920" s="93"/>
    </row>
    <row r="921" spans="2:23" s="14" customFormat="1" ht="17.100000000000001" customHeight="1">
      <c r="B921" s="89"/>
      <c r="C921" s="90"/>
      <c r="D921" s="91"/>
      <c r="E921" s="92"/>
      <c r="F921" s="89"/>
      <c r="G921" s="89"/>
      <c r="H921" s="89"/>
      <c r="I921" s="89"/>
      <c r="J921" s="89"/>
      <c r="K921" s="89"/>
      <c r="L921" s="93"/>
      <c r="M921" s="93"/>
      <c r="N921" s="93"/>
      <c r="O921" s="93"/>
      <c r="P921" s="93"/>
      <c r="Q921" s="93"/>
      <c r="R921" s="93"/>
      <c r="S921" s="93"/>
      <c r="T921" s="93"/>
      <c r="U921" s="93"/>
      <c r="V921" s="93"/>
      <c r="W921" s="93"/>
    </row>
    <row r="922" spans="2:23" s="14" customFormat="1" ht="17.100000000000001" customHeight="1">
      <c r="B922" s="89"/>
      <c r="C922" s="90"/>
      <c r="D922" s="91"/>
      <c r="E922" s="92"/>
      <c r="F922" s="89"/>
      <c r="G922" s="89"/>
      <c r="H922" s="89"/>
      <c r="I922" s="89"/>
      <c r="J922" s="89"/>
      <c r="K922" s="89"/>
      <c r="L922" s="93"/>
      <c r="M922" s="93"/>
      <c r="N922" s="93"/>
      <c r="O922" s="93"/>
      <c r="P922" s="93"/>
      <c r="Q922" s="93"/>
      <c r="R922" s="93"/>
      <c r="S922" s="93"/>
      <c r="T922" s="93"/>
      <c r="U922" s="93"/>
      <c r="V922" s="93"/>
      <c r="W922" s="93"/>
    </row>
    <row r="923" spans="2:23" s="14" customFormat="1" ht="17.100000000000001" customHeight="1">
      <c r="B923" s="89"/>
      <c r="C923" s="90"/>
      <c r="D923" s="91"/>
      <c r="E923" s="92"/>
      <c r="F923" s="89"/>
      <c r="G923" s="89"/>
      <c r="H923" s="89"/>
      <c r="I923" s="89"/>
      <c r="J923" s="89"/>
      <c r="K923" s="89"/>
      <c r="L923" s="93"/>
      <c r="M923" s="93"/>
      <c r="N923" s="93"/>
      <c r="O923" s="93"/>
      <c r="P923" s="93"/>
      <c r="Q923" s="93"/>
      <c r="R923" s="93"/>
      <c r="S923" s="93"/>
      <c r="T923" s="93"/>
      <c r="U923" s="93"/>
      <c r="V923" s="93"/>
      <c r="W923" s="93"/>
    </row>
    <row r="924" spans="2:23" s="14" customFormat="1" ht="17.100000000000001" customHeight="1">
      <c r="B924" s="89"/>
      <c r="C924" s="90"/>
      <c r="D924" s="91"/>
      <c r="E924" s="92"/>
      <c r="F924" s="89"/>
      <c r="G924" s="89"/>
      <c r="H924" s="89"/>
      <c r="I924" s="89"/>
      <c r="J924" s="89"/>
      <c r="K924" s="89"/>
      <c r="L924" s="93"/>
      <c r="M924" s="93"/>
      <c r="N924" s="93"/>
      <c r="O924" s="93"/>
      <c r="P924" s="93"/>
      <c r="Q924" s="93"/>
      <c r="R924" s="93"/>
      <c r="S924" s="93"/>
      <c r="T924" s="93"/>
      <c r="U924" s="93"/>
      <c r="V924" s="93"/>
      <c r="W924" s="93"/>
    </row>
    <row r="925" spans="2:23" s="14" customFormat="1" ht="17.100000000000001" customHeight="1">
      <c r="B925" s="89"/>
      <c r="C925" s="90"/>
      <c r="D925" s="91"/>
      <c r="E925" s="92"/>
      <c r="F925" s="89"/>
      <c r="G925" s="89"/>
      <c r="H925" s="89"/>
      <c r="I925" s="89"/>
      <c r="J925" s="89"/>
      <c r="K925" s="89"/>
      <c r="L925" s="93"/>
      <c r="M925" s="93"/>
      <c r="N925" s="93"/>
      <c r="O925" s="93"/>
      <c r="P925" s="93"/>
      <c r="Q925" s="93"/>
      <c r="R925" s="93"/>
      <c r="S925" s="93"/>
      <c r="T925" s="93"/>
      <c r="U925" s="93"/>
      <c r="V925" s="93"/>
      <c r="W925" s="93"/>
    </row>
    <row r="926" spans="2:23" s="14" customFormat="1" ht="17.100000000000001" customHeight="1">
      <c r="B926" s="89"/>
      <c r="C926" s="90"/>
      <c r="D926" s="91"/>
      <c r="E926" s="92"/>
      <c r="F926" s="89"/>
      <c r="G926" s="89"/>
      <c r="H926" s="89"/>
      <c r="I926" s="89"/>
      <c r="J926" s="89"/>
      <c r="K926" s="89"/>
      <c r="L926" s="93"/>
      <c r="M926" s="93"/>
      <c r="N926" s="93"/>
      <c r="O926" s="93"/>
      <c r="P926" s="93"/>
      <c r="Q926" s="93"/>
      <c r="R926" s="93"/>
      <c r="S926" s="93"/>
      <c r="T926" s="93"/>
      <c r="U926" s="93"/>
      <c r="V926" s="93"/>
      <c r="W926" s="93"/>
    </row>
    <row r="927" spans="2:23" s="14" customFormat="1" ht="17.100000000000001" customHeight="1">
      <c r="B927" s="89"/>
      <c r="C927" s="90"/>
      <c r="D927" s="91"/>
      <c r="E927" s="92"/>
      <c r="F927" s="89"/>
      <c r="G927" s="89"/>
      <c r="H927" s="89"/>
      <c r="I927" s="89"/>
      <c r="J927" s="89"/>
      <c r="K927" s="89"/>
      <c r="L927" s="93"/>
      <c r="M927" s="93"/>
      <c r="N927" s="93"/>
      <c r="O927" s="93"/>
      <c r="P927" s="93"/>
      <c r="Q927" s="93"/>
      <c r="R927" s="93"/>
      <c r="S927" s="93"/>
      <c r="T927" s="93"/>
      <c r="U927" s="93"/>
      <c r="V927" s="93"/>
      <c r="W927" s="93"/>
    </row>
    <row r="928" spans="2:23" s="14" customFormat="1" ht="17.100000000000001" customHeight="1">
      <c r="B928" s="89"/>
      <c r="C928" s="90"/>
      <c r="D928" s="91"/>
      <c r="E928" s="92"/>
      <c r="F928" s="89"/>
      <c r="G928" s="89"/>
      <c r="H928" s="89"/>
      <c r="I928" s="89"/>
      <c r="J928" s="89"/>
      <c r="K928" s="89"/>
      <c r="L928" s="93"/>
      <c r="M928" s="93"/>
      <c r="N928" s="93"/>
      <c r="O928" s="93"/>
      <c r="P928" s="93"/>
      <c r="Q928" s="93"/>
      <c r="R928" s="93"/>
      <c r="S928" s="93"/>
      <c r="T928" s="93"/>
      <c r="U928" s="93"/>
      <c r="V928" s="93"/>
      <c r="W928" s="93"/>
    </row>
    <row r="929" spans="2:23" s="14" customFormat="1" ht="17.100000000000001" customHeight="1">
      <c r="B929" s="89"/>
      <c r="C929" s="90"/>
      <c r="D929" s="91"/>
      <c r="E929" s="92"/>
      <c r="F929" s="89"/>
      <c r="G929" s="89"/>
      <c r="H929" s="89"/>
      <c r="I929" s="89"/>
      <c r="J929" s="89"/>
      <c r="K929" s="89"/>
      <c r="L929" s="93"/>
      <c r="M929" s="93"/>
      <c r="N929" s="93"/>
      <c r="O929" s="93"/>
      <c r="P929" s="93"/>
      <c r="Q929" s="93"/>
      <c r="R929" s="93"/>
      <c r="S929" s="93"/>
      <c r="T929" s="93"/>
      <c r="U929" s="93"/>
      <c r="V929" s="93"/>
      <c r="W929" s="93"/>
    </row>
    <row r="930" spans="2:23" s="14" customFormat="1" ht="17.100000000000001" customHeight="1">
      <c r="B930" s="89"/>
      <c r="C930" s="90"/>
      <c r="D930" s="91"/>
      <c r="E930" s="92"/>
      <c r="F930" s="89"/>
      <c r="G930" s="89"/>
      <c r="H930" s="89"/>
      <c r="I930" s="89"/>
      <c r="J930" s="89"/>
      <c r="K930" s="89"/>
      <c r="L930" s="93"/>
      <c r="M930" s="93"/>
      <c r="N930" s="93"/>
      <c r="O930" s="93"/>
      <c r="P930" s="93"/>
      <c r="Q930" s="93"/>
      <c r="R930" s="93"/>
      <c r="S930" s="93"/>
      <c r="T930" s="93"/>
      <c r="U930" s="93"/>
      <c r="V930" s="93"/>
      <c r="W930" s="93"/>
    </row>
    <row r="931" spans="2:23" s="14" customFormat="1" ht="17.100000000000001" customHeight="1">
      <c r="B931" s="89"/>
      <c r="C931" s="90"/>
      <c r="D931" s="91"/>
      <c r="E931" s="92"/>
      <c r="F931" s="89"/>
      <c r="G931" s="89"/>
      <c r="H931" s="89"/>
      <c r="I931" s="89"/>
      <c r="J931" s="89"/>
      <c r="K931" s="89"/>
      <c r="L931" s="93"/>
      <c r="M931" s="93"/>
      <c r="N931" s="93"/>
      <c r="O931" s="93"/>
      <c r="P931" s="93"/>
      <c r="Q931" s="93"/>
      <c r="R931" s="93"/>
      <c r="S931" s="93"/>
      <c r="T931" s="93"/>
      <c r="U931" s="93"/>
      <c r="V931" s="93"/>
      <c r="W931" s="93"/>
    </row>
    <row r="932" spans="2:23" s="14" customFormat="1" ht="17.100000000000001" customHeight="1">
      <c r="B932" s="89"/>
      <c r="C932" s="90"/>
      <c r="D932" s="91"/>
      <c r="E932" s="92"/>
      <c r="F932" s="89"/>
      <c r="G932" s="89"/>
      <c r="H932" s="89"/>
      <c r="I932" s="89"/>
      <c r="J932" s="89"/>
      <c r="K932" s="89"/>
      <c r="L932" s="93"/>
      <c r="M932" s="93"/>
      <c r="N932" s="93"/>
      <c r="O932" s="93"/>
      <c r="P932" s="93"/>
      <c r="Q932" s="93"/>
      <c r="R932" s="93"/>
      <c r="S932" s="93"/>
      <c r="T932" s="93"/>
      <c r="U932" s="93"/>
      <c r="V932" s="93"/>
      <c r="W932" s="93"/>
    </row>
    <row r="933" spans="2:23" s="14" customFormat="1" ht="17.100000000000001" customHeight="1">
      <c r="B933" s="89"/>
      <c r="C933" s="90"/>
      <c r="D933" s="91"/>
      <c r="E933" s="92"/>
      <c r="F933" s="89"/>
      <c r="G933" s="89"/>
      <c r="H933" s="89"/>
      <c r="I933" s="89"/>
      <c r="J933" s="89"/>
      <c r="K933" s="89"/>
      <c r="L933" s="93"/>
      <c r="M933" s="93"/>
      <c r="N933" s="93"/>
      <c r="O933" s="93"/>
      <c r="P933" s="93"/>
      <c r="Q933" s="93"/>
      <c r="R933" s="93"/>
      <c r="S933" s="93"/>
      <c r="T933" s="93"/>
      <c r="U933" s="93"/>
      <c r="V933" s="93"/>
      <c r="W933" s="93"/>
    </row>
    <row r="934" spans="2:23" s="14" customFormat="1" ht="17.100000000000001" customHeight="1">
      <c r="B934" s="89"/>
      <c r="C934" s="90"/>
      <c r="D934" s="91"/>
      <c r="E934" s="92"/>
      <c r="F934" s="89"/>
      <c r="G934" s="89"/>
      <c r="H934" s="89"/>
      <c r="I934" s="89"/>
      <c r="J934" s="89"/>
      <c r="K934" s="89"/>
      <c r="L934" s="93"/>
      <c r="M934" s="93"/>
      <c r="N934" s="93"/>
      <c r="O934" s="93"/>
      <c r="P934" s="93"/>
      <c r="Q934" s="93"/>
      <c r="R934" s="93"/>
      <c r="S934" s="93"/>
      <c r="T934" s="93"/>
      <c r="U934" s="93"/>
      <c r="V934" s="93"/>
      <c r="W934" s="93"/>
    </row>
    <row r="935" spans="2:23" s="14" customFormat="1" ht="17.100000000000001" customHeight="1">
      <c r="B935" s="89"/>
      <c r="C935" s="90"/>
      <c r="D935" s="91"/>
      <c r="E935" s="92"/>
      <c r="F935" s="89"/>
      <c r="G935" s="89"/>
      <c r="H935" s="89"/>
      <c r="I935" s="89"/>
      <c r="J935" s="89"/>
      <c r="K935" s="89"/>
      <c r="L935" s="93"/>
      <c r="M935" s="93"/>
      <c r="N935" s="93"/>
      <c r="O935" s="93"/>
      <c r="P935" s="93"/>
      <c r="Q935" s="93"/>
      <c r="R935" s="93"/>
      <c r="S935" s="93"/>
      <c r="T935" s="93"/>
      <c r="U935" s="93"/>
      <c r="V935" s="93"/>
      <c r="W935" s="93"/>
    </row>
    <row r="936" spans="2:23" s="14" customFormat="1" ht="17.100000000000001" customHeight="1">
      <c r="B936" s="89"/>
      <c r="C936" s="90"/>
      <c r="D936" s="91"/>
      <c r="E936" s="92"/>
      <c r="F936" s="89"/>
      <c r="G936" s="89"/>
      <c r="H936" s="89"/>
      <c r="I936" s="89"/>
      <c r="J936" s="89"/>
      <c r="K936" s="89"/>
      <c r="L936" s="93"/>
      <c r="M936" s="93"/>
      <c r="N936" s="93"/>
      <c r="O936" s="93"/>
      <c r="P936" s="93"/>
      <c r="Q936" s="93"/>
      <c r="R936" s="93"/>
      <c r="S936" s="93"/>
      <c r="T936" s="93"/>
      <c r="U936" s="93"/>
      <c r="V936" s="93"/>
      <c r="W936" s="93"/>
    </row>
    <row r="937" spans="2:23" s="14" customFormat="1" ht="17.100000000000001" customHeight="1">
      <c r="B937" s="89"/>
      <c r="C937" s="90"/>
      <c r="D937" s="91"/>
      <c r="E937" s="92"/>
      <c r="F937" s="89"/>
      <c r="G937" s="89"/>
      <c r="H937" s="89"/>
      <c r="I937" s="89"/>
      <c r="J937" s="89"/>
      <c r="K937" s="89"/>
      <c r="L937" s="93"/>
      <c r="M937" s="93"/>
      <c r="N937" s="93"/>
      <c r="O937" s="93"/>
      <c r="P937" s="93"/>
      <c r="Q937" s="93"/>
      <c r="R937" s="93"/>
      <c r="S937" s="93"/>
      <c r="T937" s="93"/>
      <c r="U937" s="93"/>
      <c r="V937" s="93"/>
      <c r="W937" s="93"/>
    </row>
    <row r="938" spans="2:23" s="14" customFormat="1" ht="17.100000000000001" customHeight="1">
      <c r="B938" s="89"/>
      <c r="C938" s="90"/>
      <c r="D938" s="91"/>
      <c r="E938" s="92"/>
      <c r="F938" s="89"/>
      <c r="G938" s="89"/>
      <c r="H938" s="89"/>
      <c r="I938" s="89"/>
      <c r="J938" s="89"/>
      <c r="K938" s="89"/>
      <c r="L938" s="93"/>
      <c r="M938" s="93"/>
      <c r="N938" s="93"/>
      <c r="O938" s="93"/>
      <c r="P938" s="93"/>
      <c r="Q938" s="93"/>
      <c r="R938" s="93"/>
      <c r="S938" s="93"/>
      <c r="T938" s="93"/>
      <c r="U938" s="93"/>
      <c r="V938" s="93"/>
      <c r="W938" s="93"/>
    </row>
    <row r="939" spans="2:23" s="14" customFormat="1" ht="17.100000000000001" customHeight="1">
      <c r="B939" s="89"/>
      <c r="C939" s="90"/>
      <c r="D939" s="91"/>
      <c r="E939" s="92"/>
      <c r="F939" s="89"/>
      <c r="G939" s="89"/>
      <c r="H939" s="89"/>
      <c r="I939" s="89"/>
      <c r="J939" s="89"/>
      <c r="K939" s="89"/>
      <c r="L939" s="93"/>
      <c r="M939" s="93"/>
      <c r="N939" s="93"/>
      <c r="O939" s="93"/>
      <c r="P939" s="93"/>
      <c r="Q939" s="93"/>
      <c r="R939" s="93"/>
      <c r="S939" s="93"/>
      <c r="T939" s="93"/>
      <c r="U939" s="93"/>
      <c r="V939" s="93"/>
      <c r="W939" s="93"/>
    </row>
    <row r="940" spans="2:23" s="14" customFormat="1" ht="17.100000000000001" customHeight="1">
      <c r="B940" s="89"/>
      <c r="C940" s="90"/>
      <c r="D940" s="91"/>
      <c r="E940" s="92"/>
      <c r="F940" s="89"/>
      <c r="G940" s="89"/>
      <c r="H940" s="89"/>
      <c r="I940" s="89"/>
      <c r="J940" s="89"/>
      <c r="K940" s="89"/>
      <c r="L940" s="93"/>
      <c r="M940" s="93"/>
      <c r="N940" s="93"/>
      <c r="O940" s="93"/>
      <c r="P940" s="93"/>
      <c r="Q940" s="93"/>
      <c r="R940" s="93"/>
      <c r="S940" s="93"/>
      <c r="T940" s="93"/>
      <c r="U940" s="93"/>
      <c r="V940" s="93"/>
      <c r="W940" s="93"/>
    </row>
    <row r="941" spans="2:23" s="14" customFormat="1" ht="17.100000000000001" customHeight="1">
      <c r="B941" s="89"/>
      <c r="C941" s="90"/>
      <c r="D941" s="91"/>
      <c r="E941" s="92"/>
      <c r="F941" s="89"/>
      <c r="G941" s="89"/>
      <c r="H941" s="89"/>
      <c r="I941" s="89"/>
      <c r="J941" s="89"/>
      <c r="K941" s="89"/>
      <c r="L941" s="93"/>
      <c r="M941" s="93"/>
      <c r="N941" s="93"/>
      <c r="O941" s="93"/>
      <c r="P941" s="93"/>
      <c r="Q941" s="93"/>
      <c r="R941" s="93"/>
      <c r="S941" s="93"/>
      <c r="T941" s="93"/>
      <c r="U941" s="93"/>
      <c r="V941" s="93"/>
      <c r="W941" s="93"/>
    </row>
    <row r="942" spans="2:23" s="14" customFormat="1" ht="17.100000000000001" customHeight="1">
      <c r="B942" s="89"/>
      <c r="C942" s="90"/>
      <c r="D942" s="91"/>
      <c r="E942" s="92"/>
      <c r="F942" s="89"/>
      <c r="G942" s="89"/>
      <c r="H942" s="89"/>
      <c r="I942" s="89"/>
      <c r="J942" s="89"/>
      <c r="K942" s="89"/>
      <c r="L942" s="93"/>
      <c r="M942" s="93"/>
      <c r="N942" s="93"/>
      <c r="O942" s="93"/>
      <c r="P942" s="93"/>
      <c r="Q942" s="93"/>
      <c r="R942" s="93"/>
      <c r="S942" s="93"/>
      <c r="T942" s="93"/>
      <c r="U942" s="93"/>
      <c r="V942" s="93"/>
      <c r="W942" s="93"/>
    </row>
    <row r="943" spans="2:23" s="14" customFormat="1" ht="17.100000000000001" customHeight="1">
      <c r="B943" s="89"/>
      <c r="C943" s="90"/>
      <c r="D943" s="91"/>
      <c r="E943" s="92"/>
      <c r="F943" s="89"/>
      <c r="G943" s="89"/>
      <c r="H943" s="89"/>
      <c r="I943" s="89"/>
      <c r="J943" s="89"/>
      <c r="K943" s="89"/>
      <c r="L943" s="93"/>
      <c r="M943" s="93"/>
      <c r="N943" s="93"/>
      <c r="O943" s="93"/>
      <c r="P943" s="93"/>
      <c r="Q943" s="93"/>
      <c r="R943" s="93"/>
      <c r="S943" s="93"/>
      <c r="T943" s="93"/>
      <c r="U943" s="93"/>
      <c r="V943" s="93"/>
      <c r="W943" s="93"/>
    </row>
    <row r="944" spans="2:23" s="14" customFormat="1" ht="17.100000000000001" customHeight="1">
      <c r="B944" s="89"/>
      <c r="C944" s="90"/>
      <c r="D944" s="91"/>
      <c r="E944" s="92"/>
      <c r="F944" s="89"/>
      <c r="G944" s="89"/>
      <c r="H944" s="89"/>
      <c r="I944" s="89"/>
      <c r="J944" s="89"/>
      <c r="K944" s="89"/>
      <c r="L944" s="93"/>
      <c r="M944" s="93"/>
      <c r="N944" s="93"/>
      <c r="O944" s="93"/>
      <c r="P944" s="93"/>
      <c r="Q944" s="93"/>
      <c r="R944" s="93"/>
      <c r="S944" s="93"/>
      <c r="T944" s="93"/>
      <c r="U944" s="93"/>
      <c r="V944" s="93"/>
      <c r="W944" s="93"/>
    </row>
    <row r="945" spans="2:23" s="14" customFormat="1" ht="17.100000000000001" customHeight="1">
      <c r="B945" s="89"/>
      <c r="C945" s="90"/>
      <c r="D945" s="91"/>
      <c r="E945" s="92"/>
      <c r="F945" s="89"/>
      <c r="G945" s="89"/>
      <c r="H945" s="89"/>
      <c r="I945" s="89"/>
      <c r="J945" s="89"/>
      <c r="K945" s="89"/>
      <c r="L945" s="93"/>
      <c r="M945" s="93"/>
      <c r="N945" s="93"/>
      <c r="O945" s="93"/>
      <c r="P945" s="93"/>
      <c r="Q945" s="93"/>
      <c r="R945" s="93"/>
      <c r="S945" s="93"/>
      <c r="T945" s="93"/>
      <c r="U945" s="93"/>
      <c r="V945" s="93"/>
      <c r="W945" s="93"/>
    </row>
    <row r="946" spans="2:23" s="14" customFormat="1" ht="17.100000000000001" customHeight="1">
      <c r="B946" s="89"/>
      <c r="C946" s="90"/>
      <c r="D946" s="91"/>
      <c r="E946" s="92"/>
      <c r="F946" s="89"/>
      <c r="G946" s="89"/>
      <c r="H946" s="89"/>
      <c r="I946" s="89"/>
      <c r="J946" s="89"/>
      <c r="K946" s="89"/>
      <c r="L946" s="93"/>
      <c r="M946" s="93"/>
      <c r="N946" s="93"/>
      <c r="O946" s="93"/>
      <c r="P946" s="93"/>
      <c r="Q946" s="93"/>
      <c r="R946" s="93"/>
      <c r="S946" s="93"/>
      <c r="T946" s="93"/>
      <c r="U946" s="93"/>
      <c r="V946" s="93"/>
      <c r="W946" s="93"/>
    </row>
    <row r="947" spans="2:23" s="14" customFormat="1" ht="17.100000000000001" customHeight="1">
      <c r="B947" s="89"/>
      <c r="C947" s="90"/>
      <c r="D947" s="91"/>
      <c r="E947" s="92"/>
      <c r="F947" s="89"/>
      <c r="G947" s="89"/>
      <c r="H947" s="89"/>
      <c r="I947" s="89"/>
      <c r="J947" s="89"/>
      <c r="K947" s="89"/>
      <c r="L947" s="93"/>
      <c r="M947" s="93"/>
      <c r="N947" s="93"/>
      <c r="O947" s="93"/>
      <c r="P947" s="93"/>
      <c r="Q947" s="93"/>
      <c r="R947" s="93"/>
      <c r="S947" s="93"/>
      <c r="T947" s="93"/>
      <c r="U947" s="93"/>
      <c r="V947" s="93"/>
      <c r="W947" s="93"/>
    </row>
    <row r="948" spans="2:23" s="14" customFormat="1" ht="17.100000000000001" customHeight="1">
      <c r="B948" s="89"/>
      <c r="C948" s="90"/>
      <c r="D948" s="91"/>
      <c r="E948" s="92"/>
      <c r="F948" s="89"/>
      <c r="G948" s="89"/>
      <c r="H948" s="89"/>
      <c r="I948" s="89"/>
      <c r="J948" s="89"/>
      <c r="K948" s="89"/>
      <c r="L948" s="93"/>
      <c r="M948" s="93"/>
      <c r="N948" s="93"/>
      <c r="O948" s="93"/>
      <c r="P948" s="93"/>
      <c r="Q948" s="93"/>
      <c r="R948" s="93"/>
      <c r="S948" s="93"/>
      <c r="T948" s="93"/>
      <c r="U948" s="93"/>
      <c r="V948" s="93"/>
      <c r="W948" s="93"/>
    </row>
    <row r="949" spans="2:23" s="14" customFormat="1" ht="17.100000000000001" customHeight="1">
      <c r="B949" s="89"/>
      <c r="C949" s="90"/>
      <c r="D949" s="91"/>
      <c r="E949" s="92"/>
      <c r="F949" s="89"/>
      <c r="G949" s="89"/>
      <c r="H949" s="89"/>
      <c r="I949" s="89"/>
      <c r="J949" s="89"/>
      <c r="K949" s="89"/>
      <c r="L949" s="93"/>
      <c r="M949" s="93"/>
      <c r="N949" s="93"/>
      <c r="O949" s="93"/>
      <c r="P949" s="93"/>
      <c r="Q949" s="93"/>
      <c r="R949" s="93"/>
      <c r="S949" s="93"/>
      <c r="T949" s="93"/>
      <c r="U949" s="93"/>
      <c r="V949" s="93"/>
      <c r="W949" s="93"/>
    </row>
    <row r="950" spans="2:23" s="14" customFormat="1" ht="17.100000000000001" customHeight="1">
      <c r="B950" s="89"/>
      <c r="C950" s="90"/>
      <c r="D950" s="91"/>
      <c r="E950" s="92"/>
      <c r="F950" s="89"/>
      <c r="G950" s="89"/>
      <c r="H950" s="89"/>
      <c r="I950" s="89"/>
      <c r="J950" s="89"/>
      <c r="K950" s="89"/>
      <c r="L950" s="93"/>
      <c r="M950" s="93"/>
      <c r="N950" s="93"/>
      <c r="O950" s="93"/>
      <c r="P950" s="93"/>
      <c r="Q950" s="93"/>
      <c r="R950" s="93"/>
      <c r="S950" s="93"/>
      <c r="T950" s="93"/>
      <c r="U950" s="93"/>
      <c r="V950" s="93"/>
      <c r="W950" s="93"/>
    </row>
    <row r="951" spans="2:23" s="14" customFormat="1" ht="17.100000000000001" customHeight="1">
      <c r="B951" s="89"/>
      <c r="C951" s="90"/>
      <c r="D951" s="91"/>
      <c r="E951" s="92"/>
      <c r="F951" s="89"/>
      <c r="G951" s="89"/>
      <c r="H951" s="89"/>
      <c r="I951" s="89"/>
      <c r="J951" s="89"/>
      <c r="K951" s="89"/>
      <c r="L951" s="93"/>
      <c r="M951" s="93"/>
      <c r="N951" s="93"/>
      <c r="O951" s="93"/>
      <c r="P951" s="93"/>
      <c r="Q951" s="93"/>
      <c r="R951" s="93"/>
      <c r="S951" s="93"/>
      <c r="T951" s="93"/>
      <c r="U951" s="93"/>
      <c r="V951" s="93"/>
      <c r="W951" s="93"/>
    </row>
    <row r="952" spans="2:23" s="14" customFormat="1" ht="17.100000000000001" customHeight="1">
      <c r="B952" s="89"/>
      <c r="C952" s="90"/>
      <c r="D952" s="91"/>
      <c r="E952" s="92"/>
      <c r="F952" s="89"/>
      <c r="G952" s="89"/>
      <c r="H952" s="89"/>
      <c r="I952" s="89"/>
      <c r="J952" s="89"/>
      <c r="K952" s="89"/>
      <c r="L952" s="93"/>
      <c r="M952" s="93"/>
      <c r="N952" s="93"/>
      <c r="O952" s="93"/>
      <c r="P952" s="93"/>
      <c r="Q952" s="93"/>
      <c r="R952" s="93"/>
      <c r="S952" s="93"/>
      <c r="T952" s="93"/>
      <c r="U952" s="93"/>
      <c r="V952" s="93"/>
      <c r="W952" s="93"/>
    </row>
    <row r="953" spans="2:23" s="14" customFormat="1" ht="17.100000000000001" customHeight="1">
      <c r="B953" s="89"/>
      <c r="C953" s="90"/>
      <c r="D953" s="91"/>
      <c r="E953" s="92"/>
      <c r="F953" s="89"/>
      <c r="G953" s="89"/>
      <c r="H953" s="89"/>
      <c r="I953" s="89"/>
      <c r="J953" s="89"/>
      <c r="K953" s="89"/>
      <c r="L953" s="93"/>
      <c r="M953" s="93"/>
      <c r="N953" s="93"/>
      <c r="O953" s="93"/>
      <c r="P953" s="93"/>
      <c r="Q953" s="93"/>
      <c r="R953" s="93"/>
      <c r="S953" s="93"/>
      <c r="T953" s="93"/>
      <c r="U953" s="93"/>
      <c r="V953" s="93"/>
      <c r="W953" s="93"/>
    </row>
    <row r="954" spans="2:23" s="14" customFormat="1" ht="17.100000000000001" customHeight="1">
      <c r="B954" s="89"/>
      <c r="C954" s="90"/>
      <c r="D954" s="91"/>
      <c r="E954" s="92"/>
      <c r="F954" s="89"/>
      <c r="G954" s="89"/>
      <c r="H954" s="89"/>
      <c r="I954" s="89"/>
      <c r="J954" s="89"/>
      <c r="K954" s="89"/>
      <c r="L954" s="93"/>
      <c r="M954" s="93"/>
      <c r="N954" s="93"/>
      <c r="O954" s="93"/>
      <c r="P954" s="93"/>
      <c r="Q954" s="93"/>
      <c r="R954" s="93"/>
      <c r="S954" s="93"/>
      <c r="T954" s="93"/>
      <c r="U954" s="93"/>
      <c r="V954" s="93"/>
      <c r="W954" s="93"/>
    </row>
    <row r="955" spans="2:23" s="14" customFormat="1" ht="17.100000000000001" customHeight="1">
      <c r="B955" s="89"/>
      <c r="C955" s="90"/>
      <c r="D955" s="91"/>
      <c r="E955" s="92"/>
      <c r="F955" s="89"/>
      <c r="G955" s="89"/>
      <c r="H955" s="89"/>
      <c r="I955" s="89"/>
      <c r="J955" s="89"/>
      <c r="K955" s="89"/>
      <c r="L955" s="93"/>
      <c r="M955" s="93"/>
      <c r="N955" s="93"/>
      <c r="O955" s="93"/>
      <c r="P955" s="93"/>
      <c r="Q955" s="93"/>
      <c r="R955" s="93"/>
      <c r="S955" s="93"/>
      <c r="T955" s="93"/>
      <c r="U955" s="93"/>
      <c r="V955" s="93"/>
      <c r="W955" s="93"/>
    </row>
    <row r="956" spans="2:23" s="14" customFormat="1" ht="17.100000000000001" customHeight="1">
      <c r="B956" s="89"/>
      <c r="C956" s="90"/>
      <c r="D956" s="91"/>
      <c r="E956" s="92"/>
      <c r="F956" s="89"/>
      <c r="G956" s="89"/>
      <c r="H956" s="89"/>
      <c r="I956" s="89"/>
      <c r="J956" s="89"/>
      <c r="K956" s="89"/>
      <c r="L956" s="93"/>
      <c r="M956" s="93"/>
      <c r="N956" s="93"/>
      <c r="O956" s="93"/>
      <c r="P956" s="93"/>
      <c r="Q956" s="93"/>
      <c r="R956" s="93"/>
      <c r="S956" s="93"/>
      <c r="T956" s="93"/>
      <c r="U956" s="93"/>
      <c r="V956" s="93"/>
      <c r="W956" s="93"/>
    </row>
    <row r="957" spans="2:23" s="14" customFormat="1" ht="17.100000000000001" customHeight="1">
      <c r="B957" s="89"/>
      <c r="C957" s="90"/>
      <c r="D957" s="91"/>
      <c r="E957" s="92"/>
      <c r="F957" s="89"/>
      <c r="G957" s="89"/>
      <c r="H957" s="89"/>
      <c r="I957" s="89"/>
      <c r="J957" s="89"/>
      <c r="K957" s="89"/>
      <c r="L957" s="93"/>
      <c r="M957" s="93"/>
      <c r="N957" s="93"/>
      <c r="O957" s="93"/>
      <c r="P957" s="93"/>
      <c r="Q957" s="93"/>
      <c r="R957" s="93"/>
      <c r="S957" s="93"/>
      <c r="T957" s="93"/>
      <c r="U957" s="93"/>
      <c r="V957" s="93"/>
      <c r="W957" s="93"/>
    </row>
    <row r="958" spans="2:23" s="14" customFormat="1" ht="17.100000000000001" customHeight="1">
      <c r="B958" s="89"/>
      <c r="C958" s="90"/>
      <c r="D958" s="91"/>
      <c r="E958" s="92"/>
      <c r="F958" s="89"/>
      <c r="G958" s="89"/>
      <c r="H958" s="89"/>
      <c r="I958" s="89"/>
      <c r="J958" s="89"/>
      <c r="K958" s="89"/>
      <c r="L958" s="93"/>
      <c r="M958" s="93"/>
      <c r="N958" s="93"/>
      <c r="O958" s="93"/>
      <c r="P958" s="93"/>
      <c r="Q958" s="93"/>
      <c r="R958" s="93"/>
      <c r="S958" s="93"/>
      <c r="T958" s="93"/>
      <c r="U958" s="93"/>
      <c r="V958" s="93"/>
      <c r="W958" s="93"/>
    </row>
    <row r="959" spans="2:23" s="14" customFormat="1" ht="17.100000000000001" customHeight="1">
      <c r="B959" s="89"/>
      <c r="C959" s="90"/>
      <c r="D959" s="91"/>
      <c r="E959" s="92"/>
      <c r="F959" s="89"/>
      <c r="G959" s="89"/>
      <c r="H959" s="89"/>
      <c r="I959" s="89"/>
      <c r="J959" s="89"/>
      <c r="K959" s="89"/>
      <c r="L959" s="93"/>
      <c r="M959" s="93"/>
      <c r="N959" s="93"/>
      <c r="O959" s="93"/>
      <c r="P959" s="93"/>
      <c r="Q959" s="93"/>
      <c r="R959" s="93"/>
      <c r="S959" s="93"/>
      <c r="T959" s="93"/>
      <c r="U959" s="93"/>
      <c r="V959" s="93"/>
      <c r="W959" s="93"/>
    </row>
    <row r="960" spans="2:23" s="14" customFormat="1" ht="17.100000000000001" customHeight="1">
      <c r="B960" s="89"/>
      <c r="C960" s="90"/>
      <c r="D960" s="91"/>
      <c r="E960" s="92"/>
      <c r="F960" s="89"/>
      <c r="G960" s="89"/>
      <c r="H960" s="89"/>
      <c r="I960" s="89"/>
      <c r="J960" s="89"/>
      <c r="K960" s="89"/>
      <c r="L960" s="93"/>
      <c r="M960" s="93"/>
      <c r="N960" s="93"/>
      <c r="O960" s="93"/>
      <c r="P960" s="93"/>
      <c r="Q960" s="93"/>
      <c r="R960" s="93"/>
      <c r="S960" s="93"/>
      <c r="T960" s="93"/>
      <c r="U960" s="93"/>
      <c r="V960" s="93"/>
      <c r="W960" s="93"/>
    </row>
    <row r="961" spans="2:23" s="14" customFormat="1" ht="17.100000000000001" customHeight="1">
      <c r="B961" s="89"/>
      <c r="C961" s="90"/>
      <c r="D961" s="91"/>
      <c r="E961" s="92"/>
      <c r="F961" s="89"/>
      <c r="G961" s="89"/>
      <c r="H961" s="89"/>
      <c r="I961" s="89"/>
      <c r="J961" s="89"/>
      <c r="K961" s="89"/>
      <c r="L961" s="93"/>
      <c r="M961" s="93"/>
      <c r="N961" s="93"/>
      <c r="O961" s="93"/>
      <c r="P961" s="93"/>
      <c r="Q961" s="93"/>
      <c r="R961" s="93"/>
      <c r="S961" s="93"/>
      <c r="T961" s="93"/>
      <c r="U961" s="93"/>
      <c r="V961" s="93"/>
      <c r="W961" s="93"/>
    </row>
    <row r="962" spans="2:23" s="14" customFormat="1" ht="17.100000000000001" customHeight="1">
      <c r="B962" s="89"/>
      <c r="C962" s="90"/>
      <c r="D962" s="91"/>
      <c r="E962" s="92"/>
      <c r="F962" s="89"/>
      <c r="G962" s="89"/>
      <c r="H962" s="89"/>
      <c r="I962" s="89"/>
      <c r="J962" s="89"/>
      <c r="K962" s="89"/>
      <c r="L962" s="93"/>
      <c r="M962" s="93"/>
      <c r="N962" s="93"/>
      <c r="O962" s="93"/>
      <c r="P962" s="93"/>
      <c r="Q962" s="93"/>
      <c r="R962" s="93"/>
      <c r="S962" s="93"/>
      <c r="T962" s="93"/>
      <c r="U962" s="93"/>
      <c r="V962" s="93"/>
      <c r="W962" s="93"/>
    </row>
    <row r="963" spans="2:23" s="14" customFormat="1" ht="17.100000000000001" customHeight="1">
      <c r="B963" s="89"/>
      <c r="C963" s="90"/>
      <c r="D963" s="91"/>
      <c r="E963" s="92"/>
      <c r="F963" s="89"/>
      <c r="G963" s="89"/>
      <c r="H963" s="89"/>
      <c r="I963" s="89"/>
      <c r="J963" s="89"/>
      <c r="K963" s="89"/>
      <c r="L963" s="93"/>
      <c r="M963" s="93"/>
      <c r="N963" s="93"/>
      <c r="O963" s="93"/>
      <c r="P963" s="93"/>
      <c r="Q963" s="93"/>
      <c r="R963" s="93"/>
      <c r="S963" s="93"/>
      <c r="T963" s="93"/>
      <c r="U963" s="93"/>
      <c r="V963" s="93"/>
      <c r="W963" s="93"/>
    </row>
    <row r="964" spans="2:23" s="14" customFormat="1" ht="17.100000000000001" customHeight="1">
      <c r="B964" s="89"/>
      <c r="C964" s="90"/>
      <c r="D964" s="91"/>
      <c r="E964" s="92"/>
      <c r="F964" s="89"/>
      <c r="G964" s="89"/>
      <c r="H964" s="89"/>
      <c r="I964" s="89"/>
      <c r="J964" s="89"/>
      <c r="K964" s="89"/>
      <c r="L964" s="93"/>
      <c r="M964" s="93"/>
      <c r="N964" s="93"/>
      <c r="O964" s="93"/>
      <c r="P964" s="93"/>
      <c r="Q964" s="93"/>
      <c r="R964" s="93"/>
      <c r="S964" s="93"/>
      <c r="T964" s="93"/>
      <c r="U964" s="93"/>
      <c r="V964" s="93"/>
      <c r="W964" s="93"/>
    </row>
    <row r="965" spans="2:23" s="14" customFormat="1" ht="17.100000000000001" customHeight="1">
      <c r="B965" s="89"/>
      <c r="C965" s="90"/>
      <c r="D965" s="91"/>
      <c r="E965" s="92"/>
      <c r="F965" s="89"/>
      <c r="G965" s="89"/>
      <c r="H965" s="89"/>
      <c r="I965" s="89"/>
      <c r="J965" s="89"/>
      <c r="K965" s="89"/>
      <c r="L965" s="93"/>
      <c r="M965" s="93"/>
      <c r="N965" s="93"/>
      <c r="O965" s="93"/>
      <c r="P965" s="93"/>
      <c r="Q965" s="93"/>
      <c r="R965" s="93"/>
      <c r="S965" s="93"/>
      <c r="T965" s="93"/>
      <c r="U965" s="93"/>
      <c r="V965" s="93"/>
      <c r="W965" s="93"/>
    </row>
    <row r="966" spans="2:23" s="14" customFormat="1" ht="17.100000000000001" customHeight="1">
      <c r="B966" s="89"/>
      <c r="C966" s="90"/>
      <c r="D966" s="91"/>
      <c r="E966" s="92"/>
      <c r="F966" s="89"/>
      <c r="G966" s="89"/>
      <c r="H966" s="89"/>
      <c r="I966" s="89"/>
      <c r="J966" s="89"/>
      <c r="K966" s="89"/>
      <c r="L966" s="93"/>
      <c r="M966" s="93"/>
      <c r="N966" s="93"/>
      <c r="O966" s="93"/>
      <c r="P966" s="93"/>
      <c r="Q966" s="93"/>
      <c r="R966" s="93"/>
      <c r="S966" s="93"/>
      <c r="T966" s="93"/>
      <c r="U966" s="93"/>
      <c r="V966" s="93"/>
      <c r="W966" s="93"/>
    </row>
    <row r="967" spans="2:23" s="14" customFormat="1" ht="17.100000000000001" customHeight="1">
      <c r="B967" s="89"/>
      <c r="C967" s="90"/>
      <c r="D967" s="91"/>
      <c r="E967" s="92"/>
      <c r="F967" s="89"/>
      <c r="G967" s="89"/>
      <c r="H967" s="89"/>
      <c r="I967" s="89"/>
      <c r="J967" s="89"/>
      <c r="K967" s="89"/>
      <c r="L967" s="93"/>
      <c r="M967" s="93"/>
      <c r="N967" s="93"/>
      <c r="O967" s="93"/>
      <c r="P967" s="93"/>
      <c r="Q967" s="93"/>
      <c r="R967" s="93"/>
      <c r="S967" s="93"/>
      <c r="T967" s="93"/>
      <c r="U967" s="93"/>
      <c r="V967" s="93"/>
      <c r="W967" s="93"/>
    </row>
    <row r="968" spans="2:23" s="14" customFormat="1" ht="17.100000000000001" customHeight="1">
      <c r="B968" s="89"/>
      <c r="C968" s="90"/>
      <c r="D968" s="91"/>
      <c r="E968" s="92"/>
      <c r="F968" s="89"/>
      <c r="G968" s="89"/>
      <c r="H968" s="89"/>
      <c r="I968" s="89"/>
      <c r="J968" s="89"/>
      <c r="K968" s="89"/>
      <c r="L968" s="93"/>
      <c r="M968" s="93"/>
      <c r="N968" s="93"/>
      <c r="O968" s="93"/>
      <c r="P968" s="93"/>
      <c r="Q968" s="93"/>
      <c r="R968" s="93"/>
      <c r="S968" s="93"/>
      <c r="T968" s="93"/>
      <c r="U968" s="93"/>
      <c r="V968" s="93"/>
      <c r="W968" s="93"/>
    </row>
    <row r="969" spans="2:23" s="14" customFormat="1" ht="17.100000000000001" customHeight="1">
      <c r="B969" s="89"/>
      <c r="C969" s="90"/>
      <c r="D969" s="91"/>
      <c r="E969" s="92"/>
      <c r="F969" s="89"/>
      <c r="G969" s="89"/>
      <c r="H969" s="89"/>
      <c r="I969" s="89"/>
      <c r="J969" s="89"/>
      <c r="K969" s="89"/>
      <c r="L969" s="93"/>
      <c r="M969" s="93"/>
      <c r="N969" s="93"/>
      <c r="O969" s="93"/>
      <c r="P969" s="93"/>
      <c r="Q969" s="93"/>
      <c r="R969" s="93"/>
      <c r="S969" s="93"/>
      <c r="T969" s="93"/>
      <c r="U969" s="93"/>
      <c r="V969" s="93"/>
      <c r="W969" s="93"/>
    </row>
    <row r="970" spans="2:23" s="14" customFormat="1" ht="17.100000000000001" customHeight="1">
      <c r="B970" s="89"/>
      <c r="C970" s="90"/>
      <c r="D970" s="91"/>
      <c r="E970" s="92"/>
      <c r="F970" s="89"/>
      <c r="G970" s="89"/>
      <c r="H970" s="89"/>
      <c r="I970" s="89"/>
      <c r="J970" s="89"/>
      <c r="K970" s="89"/>
      <c r="L970" s="93"/>
      <c r="M970" s="93"/>
      <c r="N970" s="93"/>
      <c r="O970" s="93"/>
      <c r="P970" s="93"/>
      <c r="Q970" s="93"/>
      <c r="R970" s="93"/>
      <c r="S970" s="93"/>
      <c r="T970" s="93"/>
      <c r="U970" s="93"/>
      <c r="V970" s="93"/>
      <c r="W970" s="93"/>
    </row>
    <row r="971" spans="2:23" s="14" customFormat="1" ht="17.100000000000001" customHeight="1">
      <c r="B971" s="89"/>
      <c r="C971" s="90"/>
      <c r="D971" s="91"/>
      <c r="E971" s="92"/>
      <c r="F971" s="89"/>
      <c r="G971" s="89"/>
      <c r="H971" s="89"/>
      <c r="I971" s="89"/>
      <c r="J971" s="89"/>
      <c r="K971" s="89"/>
      <c r="L971" s="93"/>
      <c r="M971" s="93"/>
      <c r="N971" s="93"/>
      <c r="O971" s="93"/>
      <c r="P971" s="93"/>
      <c r="Q971" s="93"/>
      <c r="R971" s="93"/>
      <c r="S971" s="93"/>
      <c r="T971" s="93"/>
      <c r="U971" s="93"/>
      <c r="V971" s="93"/>
      <c r="W971" s="93"/>
    </row>
    <row r="972" spans="2:23" s="14" customFormat="1" ht="17.100000000000001" customHeight="1">
      <c r="B972" s="89"/>
      <c r="C972" s="90"/>
      <c r="D972" s="91"/>
      <c r="E972" s="92"/>
      <c r="F972" s="89"/>
      <c r="G972" s="89"/>
      <c r="H972" s="89"/>
      <c r="I972" s="89"/>
      <c r="J972" s="89"/>
      <c r="K972" s="89"/>
      <c r="L972" s="93"/>
      <c r="M972" s="93"/>
      <c r="N972" s="93"/>
      <c r="O972" s="93"/>
      <c r="P972" s="93"/>
      <c r="Q972" s="93"/>
      <c r="R972" s="93"/>
      <c r="S972" s="93"/>
      <c r="T972" s="93"/>
      <c r="U972" s="93"/>
      <c r="V972" s="93"/>
      <c r="W972" s="93"/>
    </row>
    <row r="973" spans="2:23" s="14" customFormat="1" ht="17.100000000000001" customHeight="1">
      <c r="B973" s="89"/>
      <c r="C973" s="90"/>
      <c r="D973" s="91"/>
      <c r="E973" s="92"/>
      <c r="F973" s="89"/>
      <c r="G973" s="89"/>
      <c r="H973" s="89"/>
      <c r="I973" s="89"/>
      <c r="J973" s="89"/>
      <c r="K973" s="89"/>
      <c r="L973" s="93"/>
      <c r="M973" s="93"/>
      <c r="N973" s="93"/>
      <c r="O973" s="93"/>
      <c r="P973" s="93"/>
      <c r="Q973" s="93"/>
      <c r="R973" s="93"/>
      <c r="S973" s="93"/>
      <c r="T973" s="93"/>
      <c r="U973" s="93"/>
      <c r="V973" s="93"/>
      <c r="W973" s="93"/>
    </row>
    <row r="974" spans="2:23" s="14" customFormat="1" ht="17.100000000000001" customHeight="1">
      <c r="B974" s="89"/>
      <c r="C974" s="90"/>
      <c r="D974" s="91"/>
      <c r="E974" s="92"/>
      <c r="F974" s="89"/>
      <c r="G974" s="89"/>
      <c r="H974" s="89"/>
      <c r="I974" s="89"/>
      <c r="J974" s="89"/>
      <c r="K974" s="89"/>
      <c r="L974" s="93"/>
      <c r="M974" s="93"/>
      <c r="N974" s="93"/>
      <c r="O974" s="93"/>
      <c r="P974" s="93"/>
      <c r="Q974" s="93"/>
      <c r="R974" s="93"/>
      <c r="S974" s="93"/>
      <c r="T974" s="93"/>
      <c r="U974" s="93"/>
      <c r="V974" s="93"/>
      <c r="W974" s="93"/>
    </row>
    <row r="975" spans="2:23" s="14" customFormat="1" ht="17.100000000000001" customHeight="1">
      <c r="B975" s="89"/>
      <c r="C975" s="90"/>
      <c r="D975" s="91"/>
      <c r="E975" s="92"/>
      <c r="F975" s="89"/>
      <c r="G975" s="89"/>
      <c r="H975" s="89"/>
      <c r="I975" s="89"/>
      <c r="J975" s="89"/>
      <c r="K975" s="89"/>
      <c r="L975" s="93"/>
      <c r="M975" s="93"/>
      <c r="N975" s="93"/>
      <c r="O975" s="93"/>
      <c r="P975" s="93"/>
      <c r="Q975" s="93"/>
      <c r="R975" s="93"/>
      <c r="S975" s="93"/>
      <c r="T975" s="93"/>
      <c r="U975" s="93"/>
      <c r="V975" s="93"/>
      <c r="W975" s="93"/>
    </row>
    <row r="976" spans="2:23" s="14" customFormat="1" ht="17.100000000000001" customHeight="1">
      <c r="B976" s="89"/>
      <c r="C976" s="90"/>
      <c r="D976" s="91"/>
      <c r="E976" s="92"/>
      <c r="F976" s="89"/>
      <c r="G976" s="89"/>
      <c r="H976" s="89"/>
      <c r="I976" s="89"/>
      <c r="J976" s="89"/>
      <c r="K976" s="89"/>
      <c r="L976" s="93"/>
      <c r="M976" s="93"/>
      <c r="N976" s="93"/>
      <c r="O976" s="93"/>
      <c r="P976" s="93"/>
      <c r="Q976" s="93"/>
      <c r="R976" s="93"/>
      <c r="S976" s="93"/>
      <c r="T976" s="93"/>
      <c r="U976" s="93"/>
      <c r="V976" s="93"/>
      <c r="W976" s="93"/>
    </row>
    <row r="977" spans="2:23" s="14" customFormat="1" ht="17.100000000000001" customHeight="1">
      <c r="B977" s="89"/>
      <c r="C977" s="90"/>
      <c r="D977" s="91"/>
      <c r="E977" s="92"/>
      <c r="F977" s="89"/>
      <c r="G977" s="89"/>
      <c r="H977" s="89"/>
      <c r="I977" s="89"/>
      <c r="J977" s="89"/>
      <c r="K977" s="89"/>
      <c r="L977" s="93"/>
      <c r="M977" s="93"/>
      <c r="N977" s="93"/>
      <c r="O977" s="93"/>
      <c r="P977" s="93"/>
      <c r="Q977" s="93"/>
      <c r="R977" s="93"/>
      <c r="S977" s="93"/>
      <c r="T977" s="93"/>
      <c r="U977" s="93"/>
      <c r="V977" s="93"/>
      <c r="W977" s="93"/>
    </row>
    <row r="978" spans="2:23" s="14" customFormat="1" ht="17.100000000000001" customHeight="1">
      <c r="B978" s="89"/>
      <c r="C978" s="90"/>
      <c r="D978" s="91"/>
      <c r="E978" s="92"/>
      <c r="F978" s="89"/>
      <c r="G978" s="89"/>
      <c r="H978" s="89"/>
      <c r="I978" s="89"/>
      <c r="J978" s="89"/>
      <c r="K978" s="89"/>
      <c r="L978" s="93"/>
      <c r="M978" s="93"/>
      <c r="N978" s="93"/>
      <c r="O978" s="93"/>
      <c r="P978" s="93"/>
      <c r="Q978" s="93"/>
      <c r="R978" s="93"/>
      <c r="S978" s="93"/>
      <c r="T978" s="93"/>
      <c r="U978" s="93"/>
      <c r="V978" s="93"/>
      <c r="W978" s="93"/>
    </row>
    <row r="979" spans="2:23" s="14" customFormat="1" ht="17.100000000000001" customHeight="1">
      <c r="B979" s="89"/>
      <c r="C979" s="90"/>
      <c r="D979" s="91"/>
      <c r="E979" s="92"/>
      <c r="F979" s="89"/>
      <c r="G979" s="89"/>
      <c r="H979" s="89"/>
      <c r="I979" s="89"/>
      <c r="J979" s="89"/>
      <c r="K979" s="89"/>
      <c r="L979" s="93"/>
      <c r="M979" s="93"/>
      <c r="N979" s="93"/>
      <c r="O979" s="93"/>
      <c r="P979" s="93"/>
      <c r="Q979" s="93"/>
      <c r="R979" s="93"/>
      <c r="S979" s="93"/>
      <c r="T979" s="93"/>
      <c r="U979" s="93"/>
      <c r="V979" s="93"/>
      <c r="W979" s="93"/>
    </row>
    <row r="980" spans="2:23" s="14" customFormat="1" ht="17.100000000000001" customHeight="1">
      <c r="B980" s="89"/>
      <c r="C980" s="90"/>
      <c r="D980" s="91"/>
      <c r="E980" s="92"/>
      <c r="F980" s="89"/>
      <c r="G980" s="89"/>
      <c r="H980" s="89"/>
      <c r="I980" s="89"/>
      <c r="J980" s="89"/>
      <c r="K980" s="89"/>
      <c r="L980" s="93"/>
      <c r="M980" s="93"/>
      <c r="N980" s="93"/>
      <c r="O980" s="93"/>
      <c r="P980" s="93"/>
      <c r="Q980" s="93"/>
      <c r="R980" s="93"/>
      <c r="S980" s="93"/>
      <c r="T980" s="93"/>
      <c r="U980" s="93"/>
      <c r="V980" s="93"/>
      <c r="W980" s="93"/>
    </row>
    <row r="981" spans="2:23" s="14" customFormat="1" ht="17.100000000000001" customHeight="1">
      <c r="B981" s="89"/>
      <c r="C981" s="90"/>
      <c r="D981" s="91"/>
      <c r="E981" s="92"/>
      <c r="F981" s="89"/>
      <c r="G981" s="89"/>
      <c r="H981" s="89"/>
      <c r="I981" s="89"/>
      <c r="J981" s="89"/>
      <c r="K981" s="89"/>
      <c r="L981" s="93"/>
      <c r="M981" s="93"/>
      <c r="N981" s="93"/>
      <c r="O981" s="93"/>
      <c r="P981" s="93"/>
      <c r="Q981" s="93"/>
      <c r="R981" s="93"/>
      <c r="S981" s="93"/>
      <c r="T981" s="93"/>
      <c r="U981" s="93"/>
      <c r="V981" s="93"/>
      <c r="W981" s="93"/>
    </row>
    <row r="982" spans="2:23" s="14" customFormat="1" ht="17.100000000000001" customHeight="1">
      <c r="B982" s="89"/>
      <c r="C982" s="90"/>
      <c r="D982" s="91"/>
      <c r="E982" s="92"/>
      <c r="F982" s="89"/>
      <c r="G982" s="89"/>
      <c r="H982" s="89"/>
      <c r="I982" s="89"/>
      <c r="J982" s="89"/>
      <c r="K982" s="89"/>
      <c r="L982" s="93"/>
      <c r="M982" s="93"/>
      <c r="N982" s="93"/>
      <c r="O982" s="93"/>
      <c r="P982" s="93"/>
      <c r="Q982" s="93"/>
      <c r="R982" s="93"/>
      <c r="S982" s="93"/>
      <c r="T982" s="93"/>
      <c r="U982" s="93"/>
      <c r="V982" s="93"/>
      <c r="W982" s="93"/>
    </row>
    <row r="983" spans="2:23" s="14" customFormat="1" ht="17.100000000000001" customHeight="1">
      <c r="B983" s="89"/>
      <c r="C983" s="90"/>
      <c r="D983" s="91"/>
      <c r="E983" s="92"/>
      <c r="F983" s="89"/>
      <c r="G983" s="89"/>
      <c r="H983" s="89"/>
      <c r="I983" s="89"/>
      <c r="J983" s="89"/>
      <c r="K983" s="89"/>
      <c r="L983" s="93"/>
      <c r="M983" s="93"/>
      <c r="N983" s="93"/>
      <c r="O983" s="93"/>
      <c r="P983" s="93"/>
      <c r="Q983" s="93"/>
      <c r="R983" s="93"/>
      <c r="S983" s="93"/>
      <c r="T983" s="93"/>
      <c r="U983" s="93"/>
      <c r="V983" s="93"/>
      <c r="W983" s="93"/>
    </row>
    <row r="984" spans="2:23" s="14" customFormat="1" ht="17.100000000000001" customHeight="1">
      <c r="B984" s="89"/>
      <c r="C984" s="90"/>
      <c r="D984" s="91"/>
      <c r="E984" s="92"/>
      <c r="F984" s="89"/>
      <c r="G984" s="89"/>
      <c r="H984" s="89"/>
      <c r="I984" s="89"/>
      <c r="J984" s="89"/>
      <c r="K984" s="89"/>
      <c r="L984" s="93"/>
      <c r="M984" s="93"/>
      <c r="N984" s="93"/>
      <c r="O984" s="93"/>
      <c r="P984" s="93"/>
      <c r="Q984" s="93"/>
      <c r="R984" s="93"/>
      <c r="S984" s="93"/>
      <c r="T984" s="93"/>
      <c r="U984" s="93"/>
      <c r="V984" s="93"/>
      <c r="W984" s="93"/>
    </row>
    <row r="985" spans="2:23" s="14" customFormat="1" ht="17.100000000000001" customHeight="1">
      <c r="B985" s="89"/>
      <c r="C985" s="90"/>
      <c r="D985" s="91"/>
      <c r="E985" s="92"/>
      <c r="F985" s="89"/>
      <c r="G985" s="89"/>
      <c r="H985" s="89"/>
      <c r="I985" s="89"/>
      <c r="J985" s="89"/>
      <c r="K985" s="89"/>
      <c r="L985" s="93"/>
      <c r="M985" s="93"/>
      <c r="N985" s="93"/>
      <c r="O985" s="93"/>
      <c r="P985" s="93"/>
      <c r="Q985" s="93"/>
      <c r="R985" s="93"/>
      <c r="S985" s="93"/>
      <c r="T985" s="93"/>
      <c r="U985" s="93"/>
      <c r="V985" s="93"/>
      <c r="W985" s="93"/>
    </row>
    <row r="986" spans="2:23" s="14" customFormat="1" ht="17.100000000000001" customHeight="1">
      <c r="B986" s="89"/>
      <c r="C986" s="90"/>
      <c r="D986" s="91"/>
      <c r="E986" s="92"/>
      <c r="F986" s="89"/>
      <c r="G986" s="89"/>
      <c r="H986" s="89"/>
      <c r="I986" s="89"/>
      <c r="J986" s="89"/>
      <c r="K986" s="89"/>
      <c r="L986" s="93"/>
      <c r="M986" s="93"/>
      <c r="N986" s="93"/>
      <c r="O986" s="93"/>
      <c r="P986" s="93"/>
      <c r="Q986" s="93"/>
      <c r="R986" s="93"/>
      <c r="S986" s="93"/>
      <c r="T986" s="93"/>
      <c r="U986" s="93"/>
      <c r="V986" s="93"/>
      <c r="W986" s="93"/>
    </row>
    <row r="987" spans="2:23" s="14" customFormat="1" ht="17.100000000000001" customHeight="1">
      <c r="B987" s="89"/>
      <c r="C987" s="90"/>
      <c r="D987" s="91"/>
      <c r="E987" s="92"/>
      <c r="F987" s="89"/>
      <c r="G987" s="89"/>
      <c r="H987" s="89"/>
      <c r="I987" s="89"/>
      <c r="J987" s="89"/>
      <c r="K987" s="89"/>
      <c r="L987" s="93"/>
      <c r="M987" s="93"/>
      <c r="N987" s="93"/>
      <c r="O987" s="93"/>
      <c r="P987" s="93"/>
      <c r="Q987" s="93"/>
      <c r="R987" s="93"/>
      <c r="S987" s="93"/>
      <c r="T987" s="93"/>
      <c r="U987" s="93"/>
      <c r="V987" s="93"/>
      <c r="W987" s="93"/>
    </row>
    <row r="988" spans="2:23" s="14" customFormat="1" ht="17.100000000000001" customHeight="1">
      <c r="B988" s="89"/>
      <c r="C988" s="90"/>
      <c r="D988" s="91"/>
      <c r="E988" s="92"/>
      <c r="F988" s="89"/>
      <c r="G988" s="89"/>
      <c r="H988" s="89"/>
      <c r="I988" s="89"/>
      <c r="J988" s="89"/>
      <c r="K988" s="89"/>
      <c r="L988" s="93"/>
      <c r="M988" s="93"/>
      <c r="N988" s="93"/>
      <c r="O988" s="93"/>
      <c r="P988" s="93"/>
      <c r="Q988" s="93"/>
      <c r="R988" s="93"/>
      <c r="S988" s="93"/>
      <c r="T988" s="93"/>
      <c r="U988" s="93"/>
      <c r="V988" s="93"/>
      <c r="W988" s="93"/>
    </row>
    <row r="989" spans="2:23" s="14" customFormat="1" ht="17.100000000000001" customHeight="1">
      <c r="B989" s="89"/>
      <c r="C989" s="90"/>
      <c r="D989" s="91"/>
      <c r="E989" s="92"/>
      <c r="F989" s="89"/>
      <c r="G989" s="89"/>
      <c r="H989" s="89"/>
      <c r="I989" s="89"/>
      <c r="J989" s="89"/>
      <c r="K989" s="89"/>
      <c r="L989" s="93"/>
      <c r="M989" s="93"/>
      <c r="N989" s="93"/>
      <c r="O989" s="93"/>
      <c r="P989" s="93"/>
      <c r="Q989" s="93"/>
      <c r="R989" s="93"/>
      <c r="S989" s="93"/>
      <c r="T989" s="93"/>
      <c r="U989" s="93"/>
      <c r="V989" s="93"/>
      <c r="W989" s="93"/>
    </row>
    <row r="990" spans="2:23" s="14" customFormat="1" ht="17.100000000000001" customHeight="1">
      <c r="B990" s="89"/>
      <c r="C990" s="90"/>
      <c r="D990" s="91"/>
      <c r="E990" s="92"/>
      <c r="F990" s="89"/>
      <c r="G990" s="89"/>
      <c r="H990" s="89"/>
      <c r="I990" s="89"/>
      <c r="J990" s="89"/>
      <c r="K990" s="89"/>
      <c r="L990" s="93"/>
      <c r="M990" s="93"/>
      <c r="N990" s="93"/>
      <c r="O990" s="93"/>
      <c r="P990" s="93"/>
      <c r="Q990" s="93"/>
      <c r="R990" s="93"/>
      <c r="S990" s="93"/>
      <c r="T990" s="93"/>
      <c r="U990" s="93"/>
      <c r="V990" s="93"/>
      <c r="W990" s="93"/>
    </row>
    <row r="991" spans="2:23" s="14" customFormat="1" ht="17.100000000000001" customHeight="1">
      <c r="B991" s="89"/>
      <c r="C991" s="90"/>
      <c r="D991" s="91"/>
      <c r="E991" s="92"/>
      <c r="F991" s="89"/>
      <c r="G991" s="89"/>
      <c r="H991" s="89"/>
      <c r="I991" s="89"/>
      <c r="J991" s="89"/>
      <c r="K991" s="89"/>
      <c r="L991" s="93"/>
      <c r="M991" s="93"/>
      <c r="N991" s="93"/>
      <c r="O991" s="93"/>
      <c r="P991" s="93"/>
      <c r="Q991" s="93"/>
      <c r="R991" s="93"/>
      <c r="S991" s="93"/>
      <c r="T991" s="93"/>
      <c r="U991" s="93"/>
      <c r="V991" s="93"/>
      <c r="W991" s="93"/>
    </row>
    <row r="992" spans="2:23" s="14" customFormat="1" ht="17.100000000000001" customHeight="1">
      <c r="B992" s="89"/>
      <c r="C992" s="90"/>
      <c r="D992" s="91"/>
      <c r="E992" s="92"/>
      <c r="F992" s="89"/>
      <c r="G992" s="89"/>
      <c r="H992" s="89"/>
      <c r="I992" s="89"/>
      <c r="J992" s="89"/>
      <c r="K992" s="89"/>
      <c r="L992" s="93"/>
      <c r="M992" s="93"/>
      <c r="N992" s="93"/>
      <c r="O992" s="93"/>
      <c r="P992" s="93"/>
      <c r="Q992" s="93"/>
      <c r="R992" s="93"/>
      <c r="S992" s="93"/>
      <c r="T992" s="93"/>
      <c r="U992" s="93"/>
      <c r="V992" s="93"/>
      <c r="W992" s="93"/>
    </row>
    <row r="993" spans="2:23" s="14" customFormat="1" ht="17.100000000000001" customHeight="1">
      <c r="B993" s="89"/>
      <c r="C993" s="90"/>
      <c r="D993" s="91"/>
      <c r="E993" s="92"/>
      <c r="F993" s="89"/>
      <c r="G993" s="89"/>
      <c r="H993" s="89"/>
      <c r="I993" s="89"/>
      <c r="J993" s="89"/>
      <c r="K993" s="89"/>
      <c r="L993" s="93"/>
      <c r="M993" s="93"/>
      <c r="N993" s="93"/>
      <c r="O993" s="93"/>
      <c r="P993" s="93"/>
      <c r="Q993" s="93"/>
      <c r="R993" s="93"/>
      <c r="S993" s="93"/>
      <c r="T993" s="93"/>
      <c r="U993" s="93"/>
      <c r="V993" s="93"/>
      <c r="W993" s="93"/>
    </row>
    <row r="994" spans="2:23" s="14" customFormat="1" ht="17.100000000000001" customHeight="1">
      <c r="B994" s="89"/>
      <c r="C994" s="90"/>
      <c r="D994" s="91"/>
      <c r="E994" s="92"/>
      <c r="F994" s="89"/>
      <c r="G994" s="89"/>
      <c r="H994" s="89"/>
      <c r="I994" s="89"/>
      <c r="J994" s="89"/>
      <c r="K994" s="89"/>
      <c r="L994" s="93"/>
      <c r="M994" s="93"/>
      <c r="N994" s="93"/>
      <c r="O994" s="93"/>
      <c r="P994" s="93"/>
      <c r="Q994" s="93"/>
      <c r="R994" s="93"/>
      <c r="S994" s="93"/>
      <c r="T994" s="93"/>
      <c r="U994" s="93"/>
      <c r="V994" s="93"/>
      <c r="W994" s="93"/>
    </row>
    <row r="995" spans="2:23" s="14" customFormat="1" ht="17.100000000000001" customHeight="1">
      <c r="B995" s="89"/>
      <c r="C995" s="90"/>
      <c r="D995" s="91"/>
      <c r="E995" s="92"/>
      <c r="F995" s="89"/>
      <c r="G995" s="89"/>
      <c r="H995" s="89"/>
      <c r="I995" s="89"/>
      <c r="J995" s="89"/>
      <c r="K995" s="89"/>
      <c r="L995" s="93"/>
      <c r="M995" s="93"/>
      <c r="N995" s="93"/>
      <c r="O995" s="93"/>
      <c r="P995" s="93"/>
      <c r="Q995" s="93"/>
      <c r="R995" s="93"/>
      <c r="S995" s="93"/>
      <c r="T995" s="93"/>
      <c r="U995" s="93"/>
      <c r="V995" s="93"/>
      <c r="W995" s="93"/>
    </row>
    <row r="996" spans="2:23" s="14" customFormat="1" ht="17.100000000000001" customHeight="1">
      <c r="B996" s="89"/>
      <c r="C996" s="90"/>
      <c r="D996" s="91"/>
      <c r="E996" s="92"/>
      <c r="F996" s="89"/>
      <c r="G996" s="89"/>
      <c r="H996" s="89"/>
      <c r="I996" s="89"/>
      <c r="J996" s="89"/>
      <c r="K996" s="89"/>
      <c r="L996" s="93"/>
      <c r="M996" s="93"/>
      <c r="N996" s="93"/>
      <c r="O996" s="93"/>
      <c r="P996" s="93"/>
      <c r="Q996" s="93"/>
      <c r="R996" s="93"/>
      <c r="S996" s="93"/>
      <c r="T996" s="93"/>
      <c r="U996" s="93"/>
      <c r="V996" s="93"/>
      <c r="W996" s="93"/>
    </row>
    <row r="997" spans="2:23" s="14" customFormat="1" ht="17.100000000000001" customHeight="1">
      <c r="B997" s="89"/>
      <c r="C997" s="90"/>
      <c r="D997" s="91"/>
      <c r="E997" s="92"/>
      <c r="F997" s="89"/>
      <c r="G997" s="89"/>
      <c r="H997" s="89"/>
      <c r="I997" s="89"/>
      <c r="J997" s="89"/>
      <c r="K997" s="89"/>
      <c r="L997" s="93"/>
      <c r="M997" s="93"/>
      <c r="N997" s="93"/>
      <c r="O997" s="93"/>
      <c r="P997" s="93"/>
      <c r="Q997" s="93"/>
      <c r="R997" s="93"/>
      <c r="S997" s="93"/>
      <c r="T997" s="93"/>
      <c r="U997" s="93"/>
      <c r="V997" s="93"/>
      <c r="W997" s="93"/>
    </row>
    <row r="998" spans="2:23" s="14" customFormat="1" ht="17.100000000000001" customHeight="1">
      <c r="B998" s="89"/>
      <c r="C998" s="90"/>
      <c r="D998" s="91"/>
      <c r="E998" s="92"/>
      <c r="F998" s="89"/>
      <c r="G998" s="89"/>
      <c r="H998" s="89"/>
      <c r="I998" s="89"/>
      <c r="J998" s="89"/>
      <c r="K998" s="89"/>
      <c r="L998" s="93"/>
      <c r="M998" s="93"/>
      <c r="N998" s="93"/>
      <c r="O998" s="93"/>
      <c r="P998" s="93"/>
      <c r="Q998" s="93"/>
      <c r="R998" s="93"/>
      <c r="S998" s="93"/>
      <c r="T998" s="93"/>
      <c r="U998" s="93"/>
      <c r="V998" s="93"/>
      <c r="W998" s="93"/>
    </row>
    <row r="999" spans="2:23" s="14" customFormat="1" ht="17.100000000000001" customHeight="1">
      <c r="B999" s="89"/>
      <c r="C999" s="90"/>
      <c r="D999" s="91"/>
      <c r="E999" s="92"/>
      <c r="F999" s="89"/>
      <c r="G999" s="89"/>
      <c r="H999" s="89"/>
      <c r="I999" s="89"/>
      <c r="J999" s="89"/>
      <c r="K999" s="89"/>
      <c r="L999" s="93"/>
      <c r="M999" s="93"/>
      <c r="N999" s="93"/>
      <c r="O999" s="93"/>
      <c r="P999" s="93"/>
      <c r="Q999" s="93"/>
      <c r="R999" s="93"/>
      <c r="S999" s="93"/>
      <c r="T999" s="93"/>
      <c r="U999" s="93"/>
      <c r="V999" s="93"/>
      <c r="W999" s="93"/>
    </row>
    <row r="1000" spans="2:23" s="14" customFormat="1" ht="17.100000000000001" customHeight="1">
      <c r="B1000" s="89"/>
      <c r="C1000" s="90"/>
      <c r="D1000" s="91"/>
      <c r="E1000" s="92"/>
      <c r="F1000" s="89"/>
      <c r="G1000" s="89"/>
      <c r="H1000" s="89"/>
      <c r="I1000" s="89"/>
      <c r="J1000" s="89"/>
      <c r="K1000" s="89"/>
      <c r="L1000" s="93"/>
      <c r="M1000" s="93"/>
      <c r="N1000" s="93"/>
      <c r="O1000" s="93"/>
      <c r="P1000" s="93"/>
      <c r="Q1000" s="93"/>
      <c r="R1000" s="93"/>
      <c r="S1000" s="93"/>
      <c r="T1000" s="93"/>
      <c r="U1000" s="93"/>
      <c r="V1000" s="93"/>
      <c r="W1000" s="93"/>
    </row>
    <row r="1001" spans="2:23" s="14" customFormat="1" ht="17.100000000000001" customHeight="1">
      <c r="B1001" s="89"/>
      <c r="C1001" s="90"/>
      <c r="D1001" s="91"/>
      <c r="E1001" s="92"/>
      <c r="F1001" s="89"/>
      <c r="G1001" s="89"/>
      <c r="H1001" s="89"/>
      <c r="I1001" s="89"/>
      <c r="J1001" s="89"/>
      <c r="K1001" s="89"/>
      <c r="L1001" s="93"/>
      <c r="M1001" s="93"/>
      <c r="N1001" s="93"/>
      <c r="O1001" s="93"/>
      <c r="P1001" s="93"/>
      <c r="Q1001" s="93"/>
      <c r="R1001" s="93"/>
      <c r="S1001" s="93"/>
      <c r="T1001" s="93"/>
      <c r="U1001" s="93"/>
      <c r="V1001" s="93"/>
      <c r="W1001" s="93"/>
    </row>
    <row r="1002" spans="2:23" s="14" customFormat="1" ht="17.100000000000001" customHeight="1">
      <c r="B1002" s="89"/>
      <c r="C1002" s="90"/>
      <c r="D1002" s="91"/>
      <c r="E1002" s="92"/>
      <c r="F1002" s="89"/>
      <c r="G1002" s="89"/>
      <c r="H1002" s="89"/>
      <c r="I1002" s="89"/>
      <c r="J1002" s="89"/>
      <c r="K1002" s="89"/>
      <c r="L1002" s="93"/>
      <c r="M1002" s="93"/>
      <c r="N1002" s="93"/>
      <c r="O1002" s="93"/>
      <c r="P1002" s="93"/>
      <c r="Q1002" s="93"/>
      <c r="R1002" s="93"/>
      <c r="S1002" s="93"/>
      <c r="T1002" s="93"/>
      <c r="U1002" s="93"/>
      <c r="V1002" s="93"/>
      <c r="W1002" s="93"/>
    </row>
    <row r="1003" spans="2:23" s="14" customFormat="1" ht="17.100000000000001" customHeight="1">
      <c r="B1003" s="89"/>
      <c r="C1003" s="90"/>
      <c r="D1003" s="91"/>
      <c r="E1003" s="92"/>
      <c r="F1003" s="89"/>
      <c r="G1003" s="89"/>
      <c r="H1003" s="89"/>
      <c r="I1003" s="89"/>
      <c r="J1003" s="89"/>
      <c r="K1003" s="89"/>
      <c r="L1003" s="93"/>
      <c r="M1003" s="93"/>
      <c r="N1003" s="93"/>
      <c r="O1003" s="93"/>
      <c r="P1003" s="93"/>
      <c r="Q1003" s="93"/>
      <c r="R1003" s="93"/>
      <c r="S1003" s="93"/>
      <c r="T1003" s="93"/>
      <c r="U1003" s="93"/>
      <c r="V1003" s="93"/>
      <c r="W1003" s="93"/>
    </row>
    <row r="1004" spans="2:23" s="14" customFormat="1" ht="17.100000000000001" customHeight="1">
      <c r="B1004" s="89"/>
      <c r="C1004" s="90"/>
      <c r="D1004" s="91"/>
      <c r="E1004" s="92"/>
      <c r="F1004" s="89"/>
      <c r="G1004" s="89"/>
      <c r="H1004" s="89"/>
      <c r="I1004" s="89"/>
      <c r="J1004" s="89"/>
      <c r="K1004" s="89"/>
      <c r="L1004" s="93"/>
      <c r="M1004" s="93"/>
      <c r="N1004" s="93"/>
      <c r="O1004" s="93"/>
      <c r="P1004" s="93"/>
      <c r="Q1004" s="93"/>
      <c r="R1004" s="93"/>
      <c r="S1004" s="93"/>
      <c r="T1004" s="93"/>
      <c r="U1004" s="93"/>
      <c r="V1004" s="93"/>
      <c r="W1004" s="93"/>
    </row>
    <row r="1005" spans="2:23" s="14" customFormat="1" ht="17.100000000000001" customHeight="1">
      <c r="B1005" s="89"/>
      <c r="C1005" s="90"/>
      <c r="D1005" s="91"/>
      <c r="E1005" s="92"/>
      <c r="F1005" s="89"/>
      <c r="G1005" s="89"/>
      <c r="H1005" s="89"/>
      <c r="I1005" s="89"/>
      <c r="J1005" s="89"/>
      <c r="K1005" s="89"/>
      <c r="L1005" s="93"/>
      <c r="M1005" s="93"/>
      <c r="N1005" s="93"/>
      <c r="O1005" s="93"/>
      <c r="P1005" s="93"/>
      <c r="Q1005" s="93"/>
      <c r="R1005" s="93"/>
      <c r="S1005" s="93"/>
      <c r="T1005" s="93"/>
      <c r="U1005" s="93"/>
      <c r="V1005" s="93"/>
      <c r="W1005" s="93"/>
    </row>
    <row r="1006" spans="2:23" s="14" customFormat="1" ht="17.100000000000001" customHeight="1">
      <c r="B1006" s="89"/>
      <c r="C1006" s="90"/>
      <c r="D1006" s="91"/>
      <c r="E1006" s="92"/>
      <c r="F1006" s="89"/>
      <c r="G1006" s="89"/>
      <c r="H1006" s="89"/>
      <c r="I1006" s="89"/>
      <c r="J1006" s="89"/>
      <c r="K1006" s="89"/>
      <c r="L1006" s="93"/>
      <c r="M1006" s="93"/>
      <c r="N1006" s="93"/>
      <c r="O1006" s="93"/>
      <c r="P1006" s="93"/>
      <c r="Q1006" s="93"/>
      <c r="R1006" s="93"/>
      <c r="S1006" s="93"/>
      <c r="T1006" s="93"/>
      <c r="U1006" s="93"/>
      <c r="V1006" s="93"/>
      <c r="W1006" s="93"/>
    </row>
    <row r="1007" spans="2:23" s="14" customFormat="1" ht="17.100000000000001" customHeight="1">
      <c r="B1007" s="89"/>
      <c r="C1007" s="90"/>
      <c r="D1007" s="91"/>
      <c r="E1007" s="92"/>
      <c r="F1007" s="89"/>
      <c r="G1007" s="89"/>
      <c r="H1007" s="89"/>
      <c r="I1007" s="89"/>
      <c r="J1007" s="89"/>
      <c r="K1007" s="89"/>
      <c r="L1007" s="93"/>
      <c r="M1007" s="93"/>
      <c r="N1007" s="93"/>
      <c r="O1007" s="93"/>
      <c r="P1007" s="93"/>
      <c r="Q1007" s="93"/>
      <c r="R1007" s="93"/>
      <c r="S1007" s="93"/>
      <c r="T1007" s="93"/>
      <c r="U1007" s="93"/>
      <c r="V1007" s="93"/>
      <c r="W1007" s="93"/>
    </row>
    <row r="1008" spans="2:23" s="14" customFormat="1" ht="17.100000000000001" customHeight="1">
      <c r="B1008" s="89"/>
      <c r="C1008" s="90"/>
      <c r="D1008" s="91"/>
      <c r="E1008" s="92"/>
      <c r="F1008" s="89"/>
      <c r="G1008" s="89"/>
      <c r="H1008" s="89"/>
      <c r="I1008" s="89"/>
      <c r="J1008" s="89"/>
      <c r="K1008" s="89"/>
      <c r="L1008" s="93"/>
      <c r="M1008" s="93"/>
      <c r="N1008" s="93"/>
      <c r="O1008" s="93"/>
      <c r="P1008" s="93"/>
      <c r="Q1008" s="93"/>
      <c r="R1008" s="93"/>
      <c r="S1008" s="93"/>
      <c r="T1008" s="93"/>
      <c r="U1008" s="93"/>
      <c r="V1008" s="93"/>
      <c r="W1008" s="93"/>
    </row>
    <row r="1009" spans="2:23" s="14" customFormat="1" ht="17.100000000000001" customHeight="1">
      <c r="B1009" s="89"/>
      <c r="C1009" s="90"/>
      <c r="D1009" s="91"/>
      <c r="E1009" s="92"/>
      <c r="F1009" s="89"/>
      <c r="G1009" s="89"/>
      <c r="H1009" s="89"/>
      <c r="I1009" s="89"/>
      <c r="J1009" s="89"/>
      <c r="K1009" s="89"/>
      <c r="L1009" s="93"/>
      <c r="M1009" s="93"/>
      <c r="N1009" s="93"/>
      <c r="O1009" s="93"/>
      <c r="P1009" s="93"/>
      <c r="Q1009" s="93"/>
      <c r="R1009" s="93"/>
      <c r="S1009" s="93"/>
      <c r="T1009" s="93"/>
      <c r="U1009" s="93"/>
      <c r="V1009" s="93"/>
      <c r="W1009" s="93"/>
    </row>
    <row r="1010" spans="2:23" s="14" customFormat="1" ht="17.100000000000001" customHeight="1">
      <c r="B1010" s="89"/>
      <c r="C1010" s="90"/>
      <c r="D1010" s="91"/>
      <c r="E1010" s="92"/>
      <c r="F1010" s="89"/>
      <c r="G1010" s="89"/>
      <c r="H1010" s="89"/>
      <c r="I1010" s="89"/>
      <c r="J1010" s="89"/>
      <c r="K1010" s="89"/>
      <c r="L1010" s="93"/>
      <c r="M1010" s="93"/>
      <c r="N1010" s="93"/>
      <c r="O1010" s="93"/>
      <c r="P1010" s="93"/>
      <c r="Q1010" s="93"/>
      <c r="R1010" s="93"/>
      <c r="S1010" s="93"/>
      <c r="T1010" s="93"/>
      <c r="U1010" s="93"/>
      <c r="V1010" s="93"/>
      <c r="W1010" s="93"/>
    </row>
    <row r="1011" spans="2:23" s="14" customFormat="1" ht="17.100000000000001" customHeight="1">
      <c r="B1011" s="89"/>
      <c r="C1011" s="90"/>
      <c r="D1011" s="91"/>
      <c r="E1011" s="92"/>
      <c r="F1011" s="89"/>
      <c r="G1011" s="89"/>
      <c r="H1011" s="89"/>
      <c r="I1011" s="89"/>
      <c r="J1011" s="89"/>
      <c r="K1011" s="89"/>
      <c r="L1011" s="93"/>
      <c r="M1011" s="93"/>
      <c r="N1011" s="93"/>
      <c r="O1011" s="93"/>
      <c r="P1011" s="93"/>
      <c r="Q1011" s="93"/>
      <c r="R1011" s="93"/>
      <c r="S1011" s="93"/>
      <c r="T1011" s="93"/>
      <c r="U1011" s="93"/>
      <c r="V1011" s="93"/>
      <c r="W1011" s="93"/>
    </row>
    <row r="1012" spans="2:23" s="14" customFormat="1" ht="17.100000000000001" customHeight="1">
      <c r="B1012" s="89"/>
      <c r="C1012" s="90"/>
      <c r="D1012" s="91"/>
      <c r="E1012" s="92"/>
      <c r="F1012" s="89"/>
      <c r="G1012" s="89"/>
      <c r="H1012" s="89"/>
      <c r="I1012" s="89"/>
      <c r="J1012" s="89"/>
      <c r="K1012" s="89"/>
      <c r="L1012" s="93"/>
      <c r="M1012" s="93"/>
      <c r="N1012" s="93"/>
      <c r="O1012" s="93"/>
      <c r="P1012" s="93"/>
      <c r="Q1012" s="93"/>
      <c r="R1012" s="93"/>
      <c r="S1012" s="93"/>
      <c r="T1012" s="93"/>
      <c r="U1012" s="93"/>
      <c r="V1012" s="93"/>
      <c r="W1012" s="93"/>
    </row>
    <row r="1013" spans="2:23" s="14" customFormat="1" ht="17.100000000000001" customHeight="1">
      <c r="B1013" s="89"/>
      <c r="C1013" s="90"/>
      <c r="D1013" s="91"/>
      <c r="E1013" s="92"/>
      <c r="F1013" s="89"/>
      <c r="G1013" s="89"/>
      <c r="H1013" s="89"/>
      <c r="I1013" s="89"/>
      <c r="J1013" s="89"/>
      <c r="K1013" s="89"/>
      <c r="L1013" s="93"/>
      <c r="M1013" s="93"/>
      <c r="N1013" s="93"/>
      <c r="O1013" s="93"/>
      <c r="P1013" s="93"/>
      <c r="Q1013" s="93"/>
      <c r="R1013" s="93"/>
      <c r="S1013" s="93"/>
      <c r="T1013" s="93"/>
      <c r="U1013" s="93"/>
      <c r="V1013" s="93"/>
      <c r="W1013" s="93"/>
    </row>
    <row r="1014" spans="2:23" s="14" customFormat="1" ht="17.100000000000001" customHeight="1">
      <c r="B1014" s="89"/>
      <c r="C1014" s="90"/>
      <c r="D1014" s="91"/>
      <c r="E1014" s="92"/>
      <c r="F1014" s="89"/>
      <c r="G1014" s="89"/>
      <c r="H1014" s="89"/>
      <c r="I1014" s="89"/>
      <c r="J1014" s="89"/>
      <c r="K1014" s="89"/>
      <c r="L1014" s="93"/>
      <c r="M1014" s="93"/>
      <c r="N1014" s="93"/>
      <c r="O1014" s="93"/>
      <c r="P1014" s="93"/>
      <c r="Q1014" s="93"/>
      <c r="R1014" s="93"/>
      <c r="S1014" s="93"/>
      <c r="T1014" s="93"/>
      <c r="U1014" s="93"/>
      <c r="V1014" s="93"/>
      <c r="W1014" s="93"/>
    </row>
    <row r="1015" spans="2:23" s="14" customFormat="1" ht="17.100000000000001" customHeight="1">
      <c r="B1015" s="89"/>
      <c r="C1015" s="90"/>
      <c r="D1015" s="91"/>
      <c r="E1015" s="92"/>
      <c r="F1015" s="89"/>
      <c r="G1015" s="89"/>
      <c r="H1015" s="89"/>
      <c r="I1015" s="89"/>
      <c r="J1015" s="89"/>
      <c r="K1015" s="89"/>
      <c r="L1015" s="93"/>
      <c r="M1015" s="93"/>
      <c r="N1015" s="93"/>
      <c r="O1015" s="93"/>
      <c r="P1015" s="93"/>
      <c r="Q1015" s="93"/>
      <c r="R1015" s="93"/>
      <c r="S1015" s="93"/>
      <c r="T1015" s="93"/>
      <c r="U1015" s="93"/>
      <c r="V1015" s="93"/>
      <c r="W1015" s="93"/>
    </row>
    <row r="1016" spans="2:23" s="14" customFormat="1" ht="17.100000000000001" customHeight="1">
      <c r="B1016" s="89"/>
      <c r="C1016" s="90"/>
      <c r="D1016" s="91"/>
      <c r="E1016" s="92"/>
      <c r="F1016" s="89"/>
      <c r="G1016" s="89"/>
      <c r="H1016" s="89"/>
      <c r="I1016" s="89"/>
      <c r="J1016" s="89"/>
      <c r="K1016" s="89"/>
      <c r="L1016" s="93"/>
      <c r="M1016" s="93"/>
      <c r="N1016" s="93"/>
      <c r="O1016" s="93"/>
      <c r="P1016" s="93"/>
      <c r="Q1016" s="93"/>
      <c r="R1016" s="93"/>
      <c r="S1016" s="93"/>
      <c r="T1016" s="93"/>
      <c r="U1016" s="93"/>
      <c r="V1016" s="93"/>
      <c r="W1016" s="93"/>
    </row>
    <row r="1017" spans="2:23" s="14" customFormat="1" ht="17.100000000000001" customHeight="1">
      <c r="B1017" s="89"/>
      <c r="C1017" s="90"/>
      <c r="D1017" s="91"/>
      <c r="E1017" s="92"/>
      <c r="F1017" s="89"/>
      <c r="G1017" s="89"/>
      <c r="H1017" s="89"/>
      <c r="I1017" s="89"/>
      <c r="J1017" s="89"/>
      <c r="K1017" s="89"/>
      <c r="L1017" s="93"/>
      <c r="M1017" s="93"/>
      <c r="N1017" s="93"/>
      <c r="O1017" s="93"/>
      <c r="P1017" s="93"/>
      <c r="Q1017" s="93"/>
      <c r="R1017" s="93"/>
      <c r="S1017" s="93"/>
      <c r="T1017" s="93"/>
      <c r="U1017" s="93"/>
      <c r="V1017" s="93"/>
      <c r="W1017" s="93"/>
    </row>
    <row r="1018" spans="2:23" s="14" customFormat="1" ht="17.100000000000001" customHeight="1">
      <c r="B1018" s="89"/>
      <c r="C1018" s="90"/>
      <c r="D1018" s="91"/>
      <c r="E1018" s="92"/>
      <c r="F1018" s="89"/>
      <c r="G1018" s="89"/>
      <c r="H1018" s="89"/>
      <c r="I1018" s="89"/>
      <c r="J1018" s="89"/>
      <c r="K1018" s="89"/>
      <c r="L1018" s="93"/>
      <c r="M1018" s="93"/>
      <c r="N1018" s="93"/>
      <c r="O1018" s="93"/>
      <c r="P1018" s="93"/>
      <c r="Q1018" s="93"/>
      <c r="R1018" s="93"/>
      <c r="S1018" s="93"/>
      <c r="T1018" s="93"/>
      <c r="U1018" s="93"/>
      <c r="V1018" s="93"/>
      <c r="W1018" s="93"/>
    </row>
    <row r="1019" spans="2:23" s="14" customFormat="1" ht="17.100000000000001" customHeight="1">
      <c r="B1019" s="89"/>
      <c r="C1019" s="90"/>
      <c r="D1019" s="91"/>
      <c r="E1019" s="92"/>
      <c r="F1019" s="89"/>
      <c r="G1019" s="89"/>
      <c r="H1019" s="89"/>
      <c r="I1019" s="89"/>
      <c r="J1019" s="89"/>
      <c r="K1019" s="89"/>
      <c r="L1019" s="93"/>
      <c r="M1019" s="93"/>
      <c r="N1019" s="93"/>
      <c r="O1019" s="93"/>
      <c r="P1019" s="93"/>
      <c r="Q1019" s="93"/>
      <c r="R1019" s="93"/>
      <c r="S1019" s="93"/>
      <c r="T1019" s="93"/>
      <c r="U1019" s="93"/>
      <c r="V1019" s="93"/>
      <c r="W1019" s="93"/>
    </row>
    <row r="1020" spans="2:23" s="14" customFormat="1" ht="17.100000000000001" customHeight="1">
      <c r="B1020" s="89"/>
      <c r="C1020" s="90"/>
      <c r="D1020" s="91"/>
      <c r="E1020" s="92"/>
      <c r="F1020" s="89"/>
      <c r="G1020" s="89"/>
      <c r="H1020" s="89"/>
      <c r="I1020" s="89"/>
      <c r="J1020" s="89"/>
      <c r="K1020" s="89"/>
      <c r="L1020" s="93"/>
      <c r="M1020" s="93"/>
      <c r="N1020" s="93"/>
      <c r="O1020" s="93"/>
      <c r="P1020" s="93"/>
      <c r="Q1020" s="93"/>
      <c r="R1020" s="93"/>
      <c r="S1020" s="93"/>
      <c r="T1020" s="93"/>
      <c r="U1020" s="93"/>
      <c r="V1020" s="93"/>
      <c r="W1020" s="93"/>
    </row>
    <row r="1021" spans="2:23" s="14" customFormat="1" ht="17.100000000000001" customHeight="1">
      <c r="B1021" s="89"/>
      <c r="C1021" s="90"/>
      <c r="D1021" s="91"/>
      <c r="E1021" s="92"/>
      <c r="F1021" s="89"/>
      <c r="G1021" s="89"/>
      <c r="H1021" s="89"/>
      <c r="I1021" s="89"/>
      <c r="J1021" s="89"/>
      <c r="K1021" s="89"/>
      <c r="L1021" s="93"/>
      <c r="M1021" s="93"/>
      <c r="N1021" s="93"/>
      <c r="O1021" s="93"/>
      <c r="P1021" s="93"/>
      <c r="Q1021" s="93"/>
      <c r="R1021" s="93"/>
      <c r="S1021" s="93"/>
      <c r="T1021" s="93"/>
      <c r="U1021" s="93"/>
      <c r="V1021" s="93"/>
      <c r="W1021" s="93"/>
    </row>
    <row r="1022" spans="2:23" s="14" customFormat="1" ht="17.100000000000001" customHeight="1">
      <c r="B1022" s="89"/>
      <c r="C1022" s="90"/>
      <c r="D1022" s="91"/>
      <c r="E1022" s="92"/>
      <c r="F1022" s="89"/>
      <c r="G1022" s="89"/>
      <c r="H1022" s="89"/>
      <c r="I1022" s="89"/>
      <c r="J1022" s="89"/>
      <c r="K1022" s="89"/>
      <c r="L1022" s="93"/>
      <c r="M1022" s="93"/>
      <c r="N1022" s="93"/>
      <c r="O1022" s="93"/>
      <c r="P1022" s="93"/>
      <c r="Q1022" s="93"/>
      <c r="R1022" s="93"/>
      <c r="S1022" s="93"/>
      <c r="T1022" s="93"/>
      <c r="U1022" s="93"/>
      <c r="V1022" s="93"/>
      <c r="W1022" s="93"/>
    </row>
    <row r="1023" spans="2:23" s="14" customFormat="1" ht="17.100000000000001" customHeight="1">
      <c r="B1023" s="89"/>
      <c r="C1023" s="90"/>
      <c r="D1023" s="91"/>
      <c r="E1023" s="92"/>
      <c r="F1023" s="89"/>
      <c r="G1023" s="89"/>
      <c r="H1023" s="89"/>
      <c r="I1023" s="89"/>
      <c r="J1023" s="89"/>
      <c r="K1023" s="89"/>
      <c r="L1023" s="93"/>
      <c r="M1023" s="93"/>
      <c r="N1023" s="93"/>
      <c r="O1023" s="93"/>
      <c r="P1023" s="93"/>
      <c r="Q1023" s="93"/>
      <c r="R1023" s="93"/>
      <c r="S1023" s="93"/>
      <c r="T1023" s="93"/>
      <c r="U1023" s="93"/>
      <c r="V1023" s="93"/>
      <c r="W1023" s="93"/>
    </row>
    <row r="1024" spans="2:23" s="14" customFormat="1" ht="17.100000000000001" customHeight="1">
      <c r="B1024" s="89"/>
      <c r="C1024" s="90"/>
      <c r="D1024" s="91"/>
      <c r="E1024" s="92"/>
      <c r="F1024" s="89"/>
      <c r="G1024" s="89"/>
      <c r="H1024" s="89"/>
      <c r="I1024" s="89"/>
      <c r="J1024" s="89"/>
      <c r="K1024" s="89"/>
      <c r="L1024" s="93"/>
      <c r="M1024" s="93"/>
      <c r="N1024" s="93"/>
      <c r="O1024" s="93"/>
      <c r="P1024" s="93"/>
      <c r="Q1024" s="93"/>
      <c r="R1024" s="93"/>
      <c r="S1024" s="93"/>
      <c r="T1024" s="93"/>
      <c r="U1024" s="93"/>
      <c r="V1024" s="93"/>
      <c r="W1024" s="93"/>
    </row>
    <row r="1025" spans="2:23" s="14" customFormat="1" ht="17.100000000000001" customHeight="1">
      <c r="B1025" s="89"/>
      <c r="C1025" s="90"/>
      <c r="D1025" s="91"/>
      <c r="E1025" s="92"/>
      <c r="F1025" s="89"/>
      <c r="G1025" s="89"/>
      <c r="H1025" s="89"/>
      <c r="I1025" s="89"/>
      <c r="J1025" s="89"/>
      <c r="K1025" s="89"/>
      <c r="L1025" s="93"/>
      <c r="M1025" s="93"/>
      <c r="N1025" s="93"/>
      <c r="O1025" s="93"/>
      <c r="P1025" s="93"/>
      <c r="Q1025" s="93"/>
      <c r="R1025" s="93"/>
      <c r="S1025" s="93"/>
      <c r="T1025" s="93"/>
      <c r="U1025" s="93"/>
      <c r="V1025" s="93"/>
      <c r="W1025" s="93"/>
    </row>
    <row r="1026" spans="2:23" s="14" customFormat="1" ht="17.100000000000001" customHeight="1">
      <c r="B1026" s="89"/>
      <c r="C1026" s="90"/>
      <c r="D1026" s="91"/>
      <c r="E1026" s="92"/>
      <c r="F1026" s="89"/>
      <c r="G1026" s="89"/>
      <c r="H1026" s="89"/>
      <c r="I1026" s="89"/>
      <c r="J1026" s="89"/>
      <c r="K1026" s="89"/>
      <c r="L1026" s="93"/>
      <c r="M1026" s="93"/>
      <c r="N1026" s="93"/>
      <c r="O1026" s="93"/>
      <c r="P1026" s="93"/>
      <c r="Q1026" s="93"/>
      <c r="R1026" s="93"/>
      <c r="S1026" s="93"/>
      <c r="T1026" s="93"/>
      <c r="U1026" s="93"/>
      <c r="V1026" s="93"/>
      <c r="W1026" s="93"/>
    </row>
    <row r="1027" spans="2:23" s="14" customFormat="1" ht="17.100000000000001" customHeight="1">
      <c r="B1027" s="89"/>
      <c r="C1027" s="90"/>
      <c r="D1027" s="91"/>
      <c r="E1027" s="92"/>
      <c r="F1027" s="89"/>
      <c r="G1027" s="89"/>
      <c r="H1027" s="89"/>
      <c r="I1027" s="89"/>
      <c r="J1027" s="89"/>
      <c r="K1027" s="89"/>
      <c r="L1027" s="93"/>
      <c r="M1027" s="93"/>
      <c r="N1027" s="93"/>
      <c r="O1027" s="93"/>
      <c r="P1027" s="93"/>
      <c r="Q1027" s="93"/>
      <c r="R1027" s="93"/>
      <c r="S1027" s="93"/>
      <c r="T1027" s="93"/>
      <c r="U1027" s="93"/>
      <c r="V1027" s="93"/>
      <c r="W1027" s="93"/>
    </row>
    <row r="1028" spans="2:23" s="14" customFormat="1" ht="17.100000000000001" customHeight="1">
      <c r="B1028" s="89"/>
      <c r="C1028" s="90"/>
      <c r="D1028" s="91"/>
      <c r="E1028" s="92"/>
      <c r="F1028" s="89"/>
      <c r="G1028" s="89"/>
      <c r="H1028" s="89"/>
      <c r="I1028" s="89"/>
      <c r="J1028" s="89"/>
      <c r="K1028" s="89"/>
      <c r="L1028" s="93"/>
      <c r="M1028" s="93"/>
      <c r="N1028" s="93"/>
      <c r="O1028" s="93"/>
      <c r="P1028" s="93"/>
      <c r="Q1028" s="93"/>
      <c r="R1028" s="93"/>
      <c r="S1028" s="93"/>
      <c r="T1028" s="93"/>
      <c r="U1028" s="93"/>
      <c r="V1028" s="93"/>
      <c r="W1028" s="93"/>
    </row>
    <row r="1029" spans="2:23" s="14" customFormat="1" ht="17.100000000000001" customHeight="1">
      <c r="B1029" s="89"/>
      <c r="C1029" s="90"/>
      <c r="D1029" s="91"/>
      <c r="E1029" s="92"/>
      <c r="F1029" s="89"/>
      <c r="G1029" s="89"/>
      <c r="H1029" s="89"/>
      <c r="I1029" s="89"/>
      <c r="J1029" s="89"/>
      <c r="K1029" s="89"/>
      <c r="L1029" s="93"/>
      <c r="M1029" s="93"/>
      <c r="N1029" s="93"/>
      <c r="O1029" s="93"/>
      <c r="P1029" s="93"/>
      <c r="Q1029" s="93"/>
      <c r="R1029" s="93"/>
      <c r="S1029" s="93"/>
      <c r="T1029" s="93"/>
      <c r="U1029" s="93"/>
      <c r="V1029" s="93"/>
      <c r="W1029" s="93"/>
    </row>
    <row r="1030" spans="2:23" s="14" customFormat="1" ht="17.100000000000001" customHeight="1">
      <c r="B1030" s="89"/>
      <c r="C1030" s="90"/>
      <c r="D1030" s="91"/>
      <c r="E1030" s="92"/>
      <c r="F1030" s="89"/>
      <c r="G1030" s="89"/>
      <c r="H1030" s="89"/>
      <c r="I1030" s="89"/>
      <c r="J1030" s="89"/>
      <c r="K1030" s="89"/>
      <c r="L1030" s="93"/>
      <c r="M1030" s="93"/>
      <c r="N1030" s="93"/>
      <c r="O1030" s="93"/>
      <c r="P1030" s="93"/>
      <c r="Q1030" s="93"/>
      <c r="R1030" s="93"/>
      <c r="S1030" s="93"/>
      <c r="T1030" s="93"/>
      <c r="U1030" s="93"/>
      <c r="V1030" s="93"/>
      <c r="W1030" s="93"/>
    </row>
    <row r="1031" spans="2:23" s="14" customFormat="1" ht="17.100000000000001" customHeight="1">
      <c r="B1031" s="89"/>
      <c r="C1031" s="90"/>
      <c r="D1031" s="91"/>
      <c r="E1031" s="92"/>
      <c r="F1031" s="89"/>
      <c r="G1031" s="89"/>
      <c r="H1031" s="89"/>
      <c r="I1031" s="89"/>
      <c r="J1031" s="89"/>
      <c r="K1031" s="89"/>
      <c r="L1031" s="93"/>
      <c r="M1031" s="93"/>
      <c r="N1031" s="93"/>
      <c r="O1031" s="93"/>
      <c r="P1031" s="93"/>
      <c r="Q1031" s="93"/>
      <c r="R1031" s="93"/>
      <c r="S1031" s="93"/>
      <c r="T1031" s="93"/>
      <c r="U1031" s="93"/>
      <c r="V1031" s="93"/>
      <c r="W1031" s="93"/>
    </row>
    <row r="1032" spans="2:23" s="14" customFormat="1" ht="17.100000000000001" customHeight="1">
      <c r="B1032" s="89"/>
      <c r="C1032" s="90"/>
      <c r="D1032" s="91"/>
      <c r="E1032" s="92"/>
      <c r="F1032" s="89"/>
      <c r="G1032" s="89"/>
      <c r="H1032" s="89"/>
      <c r="I1032" s="89"/>
      <c r="J1032" s="89"/>
      <c r="K1032" s="89"/>
      <c r="L1032" s="93"/>
      <c r="M1032" s="93"/>
      <c r="N1032" s="93"/>
      <c r="O1032" s="93"/>
      <c r="P1032" s="93"/>
      <c r="Q1032" s="93"/>
      <c r="R1032" s="93"/>
      <c r="S1032" s="93"/>
      <c r="T1032" s="93"/>
      <c r="U1032" s="93"/>
      <c r="V1032" s="93"/>
      <c r="W1032" s="93"/>
    </row>
    <row r="1033" spans="2:23" s="14" customFormat="1" ht="17.100000000000001" customHeight="1">
      <c r="B1033" s="89"/>
      <c r="C1033" s="90"/>
      <c r="D1033" s="91"/>
      <c r="E1033" s="92"/>
      <c r="F1033" s="89"/>
      <c r="G1033" s="89"/>
      <c r="H1033" s="89"/>
      <c r="I1033" s="89"/>
      <c r="J1033" s="89"/>
      <c r="K1033" s="89"/>
      <c r="L1033" s="93"/>
      <c r="M1033" s="93"/>
      <c r="N1033" s="93"/>
      <c r="O1033" s="93"/>
      <c r="P1033" s="93"/>
      <c r="Q1033" s="93"/>
      <c r="R1033" s="93"/>
      <c r="S1033" s="93"/>
      <c r="T1033" s="93"/>
      <c r="U1033" s="93"/>
      <c r="V1033" s="93"/>
      <c r="W1033" s="93"/>
    </row>
    <row r="1034" spans="2:23" s="14" customFormat="1" ht="17.100000000000001" customHeight="1">
      <c r="B1034" s="89"/>
      <c r="C1034" s="90"/>
      <c r="D1034" s="91"/>
      <c r="E1034" s="92"/>
      <c r="F1034" s="89"/>
      <c r="G1034" s="89"/>
      <c r="H1034" s="89"/>
      <c r="I1034" s="89"/>
      <c r="J1034" s="89"/>
      <c r="K1034" s="89"/>
      <c r="L1034" s="93"/>
      <c r="M1034" s="93"/>
      <c r="N1034" s="93"/>
      <c r="O1034" s="93"/>
      <c r="P1034" s="93"/>
      <c r="Q1034" s="93"/>
      <c r="R1034" s="93"/>
      <c r="S1034" s="93"/>
      <c r="T1034" s="93"/>
      <c r="U1034" s="93"/>
      <c r="V1034" s="93"/>
      <c r="W1034" s="93"/>
    </row>
    <row r="1035" spans="2:23" s="14" customFormat="1" ht="17.100000000000001" customHeight="1">
      <c r="B1035" s="89"/>
      <c r="C1035" s="90"/>
      <c r="D1035" s="91"/>
      <c r="E1035" s="92"/>
      <c r="F1035" s="89"/>
      <c r="G1035" s="89"/>
      <c r="H1035" s="89"/>
      <c r="I1035" s="89"/>
      <c r="J1035" s="89"/>
      <c r="K1035" s="89"/>
      <c r="L1035" s="93"/>
      <c r="M1035" s="93"/>
      <c r="N1035" s="93"/>
      <c r="O1035" s="93"/>
      <c r="P1035" s="93"/>
      <c r="Q1035" s="93"/>
      <c r="R1035" s="93"/>
      <c r="S1035" s="93"/>
      <c r="T1035" s="93"/>
      <c r="U1035" s="93"/>
      <c r="V1035" s="93"/>
      <c r="W1035" s="93"/>
    </row>
    <row r="1036" spans="2:23" s="14" customFormat="1" ht="17.100000000000001" customHeight="1">
      <c r="B1036" s="89"/>
      <c r="C1036" s="90"/>
      <c r="D1036" s="91"/>
      <c r="E1036" s="92"/>
      <c r="F1036" s="89"/>
      <c r="G1036" s="89"/>
      <c r="H1036" s="89"/>
      <c r="I1036" s="89"/>
      <c r="J1036" s="89"/>
      <c r="K1036" s="89"/>
      <c r="L1036" s="93"/>
      <c r="M1036" s="93"/>
      <c r="N1036" s="93"/>
      <c r="O1036" s="93"/>
      <c r="P1036" s="93"/>
      <c r="Q1036" s="93"/>
      <c r="R1036" s="93"/>
      <c r="S1036" s="93"/>
      <c r="T1036" s="93"/>
      <c r="U1036" s="93"/>
      <c r="V1036" s="93"/>
      <c r="W1036" s="93"/>
    </row>
    <row r="1037" spans="2:23" s="14" customFormat="1" ht="17.100000000000001" customHeight="1">
      <c r="B1037" s="89"/>
      <c r="C1037" s="90"/>
      <c r="D1037" s="91"/>
      <c r="E1037" s="92"/>
      <c r="F1037" s="89"/>
      <c r="G1037" s="89"/>
      <c r="H1037" s="89"/>
      <c r="I1037" s="89"/>
      <c r="J1037" s="89"/>
      <c r="K1037" s="89"/>
      <c r="L1037" s="93"/>
      <c r="M1037" s="93"/>
      <c r="N1037" s="93"/>
      <c r="O1037" s="93"/>
      <c r="P1037" s="93"/>
      <c r="Q1037" s="93"/>
      <c r="R1037" s="93"/>
      <c r="S1037" s="93"/>
      <c r="T1037" s="93"/>
      <c r="U1037" s="93"/>
      <c r="V1037" s="93"/>
      <c r="W1037" s="93"/>
    </row>
    <row r="1038" spans="2:23" s="14" customFormat="1" ht="17.100000000000001" customHeight="1">
      <c r="B1038" s="89"/>
      <c r="C1038" s="90"/>
      <c r="D1038" s="91"/>
      <c r="E1038" s="92"/>
      <c r="F1038" s="89"/>
      <c r="G1038" s="89"/>
      <c r="H1038" s="89"/>
      <c r="I1038" s="89"/>
      <c r="J1038" s="89"/>
      <c r="K1038" s="89"/>
      <c r="L1038" s="93"/>
      <c r="M1038" s="93"/>
      <c r="N1038" s="93"/>
      <c r="O1038" s="93"/>
      <c r="P1038" s="93"/>
      <c r="Q1038" s="93"/>
      <c r="R1038" s="93"/>
      <c r="S1038" s="93"/>
      <c r="T1038" s="93"/>
      <c r="U1038" s="93"/>
      <c r="V1038" s="93"/>
      <c r="W1038" s="93"/>
    </row>
    <row r="1039" spans="2:23" s="14" customFormat="1" ht="17.100000000000001" customHeight="1">
      <c r="B1039" s="89"/>
      <c r="C1039" s="90"/>
      <c r="D1039" s="91"/>
      <c r="E1039" s="92"/>
      <c r="F1039" s="89"/>
      <c r="G1039" s="89"/>
      <c r="H1039" s="89"/>
      <c r="I1039" s="89"/>
      <c r="J1039" s="89"/>
      <c r="K1039" s="89"/>
      <c r="L1039" s="93"/>
      <c r="M1039" s="93"/>
      <c r="N1039" s="93"/>
      <c r="O1039" s="93"/>
      <c r="P1039" s="93"/>
      <c r="Q1039" s="93"/>
      <c r="R1039" s="93"/>
      <c r="S1039" s="93"/>
      <c r="T1039" s="93"/>
      <c r="U1039" s="93"/>
      <c r="V1039" s="93"/>
      <c r="W1039" s="93"/>
    </row>
    <row r="1040" spans="2:23" s="14" customFormat="1" ht="17.100000000000001" customHeight="1">
      <c r="B1040" s="89"/>
      <c r="C1040" s="90"/>
      <c r="D1040" s="91"/>
      <c r="E1040" s="92"/>
      <c r="F1040" s="89"/>
      <c r="G1040" s="89"/>
      <c r="H1040" s="89"/>
      <c r="I1040" s="89"/>
      <c r="J1040" s="89"/>
      <c r="K1040" s="89"/>
      <c r="L1040" s="93"/>
      <c r="M1040" s="93"/>
      <c r="N1040" s="93"/>
      <c r="O1040" s="93"/>
      <c r="P1040" s="93"/>
      <c r="Q1040" s="93"/>
      <c r="R1040" s="93"/>
      <c r="S1040" s="93"/>
      <c r="T1040" s="93"/>
      <c r="U1040" s="93"/>
      <c r="V1040" s="93"/>
      <c r="W1040" s="93"/>
    </row>
    <row r="1041" spans="2:23" s="14" customFormat="1" ht="17.100000000000001" customHeight="1">
      <c r="B1041" s="89"/>
      <c r="C1041" s="90"/>
      <c r="D1041" s="91"/>
      <c r="E1041" s="92"/>
      <c r="F1041" s="89"/>
      <c r="G1041" s="89"/>
      <c r="H1041" s="89"/>
      <c r="I1041" s="89"/>
      <c r="J1041" s="89"/>
      <c r="K1041" s="89"/>
      <c r="L1041" s="93"/>
      <c r="M1041" s="93"/>
      <c r="N1041" s="93"/>
      <c r="O1041" s="93"/>
      <c r="P1041" s="93"/>
      <c r="Q1041" s="93"/>
      <c r="R1041" s="93"/>
      <c r="S1041" s="93"/>
      <c r="T1041" s="93"/>
      <c r="U1041" s="93"/>
      <c r="V1041" s="93"/>
      <c r="W1041" s="93"/>
    </row>
    <row r="1042" spans="2:23" s="14" customFormat="1" ht="17.100000000000001" customHeight="1">
      <c r="B1042" s="89"/>
      <c r="C1042" s="90"/>
      <c r="D1042" s="91"/>
      <c r="E1042" s="92"/>
      <c r="F1042" s="89"/>
      <c r="G1042" s="89"/>
      <c r="H1042" s="89"/>
      <c r="I1042" s="89"/>
      <c r="J1042" s="89"/>
      <c r="K1042" s="89"/>
      <c r="L1042" s="93"/>
      <c r="M1042" s="93"/>
      <c r="N1042" s="93"/>
      <c r="O1042" s="93"/>
      <c r="P1042" s="93"/>
      <c r="Q1042" s="93"/>
      <c r="R1042" s="93"/>
      <c r="S1042" s="93"/>
      <c r="T1042" s="93"/>
      <c r="U1042" s="93"/>
      <c r="V1042" s="93"/>
      <c r="W1042" s="93"/>
    </row>
    <row r="1043" spans="2:23" s="14" customFormat="1" ht="17.100000000000001" customHeight="1">
      <c r="B1043" s="89"/>
      <c r="C1043" s="90"/>
      <c r="D1043" s="91"/>
      <c r="E1043" s="92"/>
      <c r="F1043" s="89"/>
      <c r="G1043" s="89"/>
      <c r="H1043" s="89"/>
      <c r="I1043" s="89"/>
      <c r="J1043" s="89"/>
      <c r="K1043" s="89"/>
      <c r="L1043" s="93"/>
      <c r="M1043" s="93"/>
      <c r="N1043" s="93"/>
      <c r="O1043" s="93"/>
      <c r="P1043" s="93"/>
      <c r="Q1043" s="93"/>
      <c r="R1043" s="93"/>
      <c r="S1043" s="93"/>
      <c r="T1043" s="93"/>
      <c r="U1043" s="93"/>
      <c r="V1043" s="93"/>
      <c r="W1043" s="93"/>
    </row>
    <row r="1044" spans="2:23" s="14" customFormat="1" ht="17.100000000000001" customHeight="1">
      <c r="B1044" s="89"/>
      <c r="C1044" s="90"/>
      <c r="D1044" s="91"/>
      <c r="E1044" s="92"/>
      <c r="F1044" s="89"/>
      <c r="G1044" s="89"/>
      <c r="H1044" s="89"/>
      <c r="I1044" s="89"/>
      <c r="J1044" s="89"/>
      <c r="K1044" s="89"/>
      <c r="L1044" s="93"/>
      <c r="M1044" s="93"/>
      <c r="N1044" s="93"/>
      <c r="O1044" s="93"/>
      <c r="P1044" s="93"/>
      <c r="Q1044" s="93"/>
      <c r="R1044" s="93"/>
      <c r="S1044" s="93"/>
      <c r="T1044" s="93"/>
      <c r="U1044" s="93"/>
      <c r="V1044" s="93"/>
      <c r="W1044" s="93"/>
    </row>
    <row r="1045" spans="2:23" s="14" customFormat="1" ht="17.100000000000001" customHeight="1">
      <c r="B1045" s="89"/>
      <c r="C1045" s="90"/>
      <c r="D1045" s="91"/>
      <c r="E1045" s="92"/>
      <c r="F1045" s="89"/>
      <c r="G1045" s="89"/>
      <c r="H1045" s="89"/>
      <c r="I1045" s="89"/>
      <c r="J1045" s="89"/>
      <c r="K1045" s="89"/>
      <c r="L1045" s="93"/>
      <c r="M1045" s="93"/>
      <c r="N1045" s="93"/>
      <c r="O1045" s="93"/>
      <c r="P1045" s="93"/>
      <c r="Q1045" s="93"/>
      <c r="R1045" s="93"/>
      <c r="S1045" s="93"/>
      <c r="T1045" s="93"/>
      <c r="U1045" s="93"/>
      <c r="V1045" s="93"/>
      <c r="W1045" s="93"/>
    </row>
    <row r="1046" spans="2:23" s="14" customFormat="1" ht="17.100000000000001" customHeight="1">
      <c r="B1046" s="89"/>
      <c r="C1046" s="90"/>
      <c r="D1046" s="91"/>
      <c r="E1046" s="92"/>
      <c r="F1046" s="89"/>
      <c r="G1046" s="89"/>
      <c r="H1046" s="89"/>
      <c r="I1046" s="89"/>
      <c r="J1046" s="89"/>
      <c r="K1046" s="89"/>
      <c r="L1046" s="93"/>
      <c r="M1046" s="93"/>
      <c r="N1046" s="93"/>
      <c r="O1046" s="93"/>
      <c r="P1046" s="93"/>
      <c r="Q1046" s="93"/>
      <c r="R1046" s="93"/>
      <c r="S1046" s="93"/>
      <c r="T1046" s="93"/>
      <c r="U1046" s="93"/>
      <c r="V1046" s="93"/>
      <c r="W1046" s="93"/>
    </row>
    <row r="1047" spans="2:23" s="14" customFormat="1" ht="17.100000000000001" customHeight="1">
      <c r="B1047" s="89"/>
      <c r="C1047" s="90"/>
      <c r="D1047" s="91"/>
      <c r="E1047" s="92"/>
      <c r="F1047" s="89"/>
      <c r="G1047" s="89"/>
      <c r="H1047" s="89"/>
      <c r="I1047" s="89"/>
      <c r="J1047" s="89"/>
      <c r="K1047" s="89"/>
      <c r="L1047" s="93"/>
      <c r="M1047" s="93"/>
      <c r="N1047" s="93"/>
      <c r="O1047" s="93"/>
      <c r="P1047" s="93"/>
      <c r="Q1047" s="93"/>
      <c r="R1047" s="93"/>
      <c r="S1047" s="93"/>
      <c r="T1047" s="93"/>
      <c r="U1047" s="93"/>
      <c r="V1047" s="93"/>
      <c r="W1047" s="93"/>
    </row>
    <row r="1048" spans="2:23" s="14" customFormat="1" ht="17.100000000000001" customHeight="1">
      <c r="B1048" s="89"/>
      <c r="C1048" s="90"/>
      <c r="D1048" s="91"/>
      <c r="E1048" s="92"/>
      <c r="F1048" s="89"/>
      <c r="G1048" s="89"/>
      <c r="H1048" s="89"/>
      <c r="I1048" s="89"/>
      <c r="J1048" s="89"/>
      <c r="K1048" s="89"/>
      <c r="L1048" s="93"/>
      <c r="M1048" s="93"/>
      <c r="N1048" s="93"/>
      <c r="O1048" s="93"/>
      <c r="P1048" s="93"/>
      <c r="Q1048" s="93"/>
      <c r="R1048" s="93"/>
      <c r="S1048" s="93"/>
      <c r="T1048" s="93"/>
      <c r="U1048" s="93"/>
      <c r="V1048" s="93"/>
      <c r="W1048" s="93"/>
    </row>
    <row r="1049" spans="2:23" s="14" customFormat="1" ht="17.100000000000001" customHeight="1">
      <c r="B1049" s="89"/>
      <c r="C1049" s="90"/>
      <c r="D1049" s="91"/>
      <c r="E1049" s="92"/>
      <c r="F1049" s="89"/>
      <c r="G1049" s="89"/>
      <c r="H1049" s="89"/>
      <c r="I1049" s="89"/>
      <c r="J1049" s="89"/>
      <c r="K1049" s="89"/>
      <c r="L1049" s="93"/>
      <c r="M1049" s="93"/>
      <c r="N1049" s="93"/>
      <c r="O1049" s="93"/>
      <c r="P1049" s="93"/>
      <c r="Q1049" s="93"/>
      <c r="R1049" s="93"/>
      <c r="S1049" s="93"/>
      <c r="T1049" s="93"/>
      <c r="U1049" s="93"/>
      <c r="V1049" s="93"/>
      <c r="W1049" s="93"/>
    </row>
  </sheetData>
  <dataConsolidate/>
  <mergeCells count="3">
    <mergeCell ref="C5:E5"/>
    <mergeCell ref="C6:E6"/>
    <mergeCell ref="F5:K6"/>
  </mergeCells>
  <phoneticPr fontId="5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5233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34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161925</xdr:rowOff>
                  </from>
                  <to>
                    <xdr:col>4</xdr:col>
                    <xdr:colOff>9525</xdr:colOff>
                    <xdr:row>7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>
      <selection activeCell="J44" sqref="J44"/>
    </sheetView>
  </sheetViews>
  <sheetFormatPr defaultRowHeight="12"/>
  <sheetData/>
  <phoneticPr fontId="5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36"/>
  <sheetViews>
    <sheetView tabSelected="1" zoomScale="85" zoomScaleNormal="85" workbookViewId="0">
      <selection activeCell="B24" sqref="B24"/>
    </sheetView>
  </sheetViews>
  <sheetFormatPr defaultColWidth="9.140625" defaultRowHeight="14.25"/>
  <cols>
    <col min="1" max="1" width="22.5703125" style="151" customWidth="1"/>
    <col min="2" max="2" width="133.28515625" style="147" customWidth="1"/>
    <col min="3" max="16384" width="9.140625" style="147"/>
  </cols>
  <sheetData>
    <row r="1" spans="1:2">
      <c r="A1" s="146" t="s">
        <v>617</v>
      </c>
      <c r="B1" s="145" t="s">
        <v>712</v>
      </c>
    </row>
    <row r="2" spans="1:2">
      <c r="A2" s="146" t="s">
        <v>42</v>
      </c>
      <c r="B2" s="145" t="str">
        <f>GetConnDataByKey(B$1,A2)</f>
        <v>WIN7U-20150705K\R2</v>
      </c>
    </row>
    <row r="3" spans="1:2">
      <c r="A3" s="146" t="s">
        <v>43</v>
      </c>
      <c r="B3" s="145" t="str">
        <f>GetConnDataByKey(B$1,A3)</f>
        <v>auto_code_savedata</v>
      </c>
    </row>
    <row r="4" spans="1:2" s="149" customFormat="1">
      <c r="A4" s="148" t="s">
        <v>618</v>
      </c>
      <c r="B4" s="145" t="s">
        <v>713</v>
      </c>
    </row>
    <row r="5" spans="1:2" s="149" customFormat="1">
      <c r="A5" s="148" t="s">
        <v>42</v>
      </c>
      <c r="B5" s="145" t="str">
        <f>GetConnDataByKey(B$1,A5)</f>
        <v>WIN7U-20150705K\R2</v>
      </c>
    </row>
    <row r="6" spans="1:2" s="149" customFormat="1">
      <c r="A6" s="148" t="s">
        <v>43</v>
      </c>
      <c r="B6" s="145" t="str">
        <f>GetConnDataByKey(B$4,A6)</f>
        <v>auto_code</v>
      </c>
    </row>
    <row r="7" spans="1:2" s="149" customFormat="1">
      <c r="A7" s="153" t="s">
        <v>589</v>
      </c>
      <c r="B7" s="145" t="s">
        <v>709</v>
      </c>
    </row>
    <row r="8" spans="1:2" s="149" customFormat="1">
      <c r="A8" s="153" t="s">
        <v>644</v>
      </c>
      <c r="B8" s="145" t="str">
        <f>B7 &amp; "App_Code\Lixil.SA.BizLogic\"</f>
        <v>F:\ILIKEMAKE2017\AutoCode_SaveData\Web\App_Code\Lixil.SA.BizLogic\</v>
      </c>
    </row>
    <row r="9" spans="1:2" s="149" customFormat="1">
      <c r="A9" s="153" t="s">
        <v>645</v>
      </c>
      <c r="B9" s="145" t="str">
        <f>B7 &amp; "App_Code\Lixil.SA.DataAccess\"</f>
        <v>F:\ILIKEMAKE2017\AutoCode_SaveData\Web\App_Code\Lixil.SA.DataAccess\</v>
      </c>
    </row>
    <row r="10" spans="1:2" s="149" customFormat="1">
      <c r="A10" s="150"/>
      <c r="B10" s="78"/>
    </row>
    <row r="11" spans="1:2" s="149" customFormat="1">
      <c r="A11" s="150"/>
      <c r="B11" s="78"/>
    </row>
    <row r="12" spans="1:2" s="149" customFormat="1">
      <c r="A12" s="150"/>
      <c r="B12" s="78"/>
    </row>
    <row r="13" spans="1:2" s="149" customFormat="1">
      <c r="A13" s="150"/>
      <c r="B13" s="78"/>
    </row>
    <row r="14" spans="1:2" s="149" customFormat="1">
      <c r="A14" s="150"/>
      <c r="B14" s="78"/>
    </row>
    <row r="15" spans="1:2" s="149" customFormat="1">
      <c r="A15" s="150"/>
      <c r="B15" s="78"/>
    </row>
    <row r="16" spans="1:2" s="149" customFormat="1">
      <c r="A16" s="150"/>
      <c r="B16" s="78"/>
    </row>
    <row r="17" spans="1:2" s="149" customFormat="1">
      <c r="A17" s="150"/>
      <c r="B17" s="78"/>
    </row>
    <row r="18" spans="1:2" s="149" customFormat="1">
      <c r="A18" s="150"/>
      <c r="B18" s="78"/>
    </row>
    <row r="19" spans="1:2" s="149" customFormat="1">
      <c r="A19" s="150"/>
      <c r="B19" s="78"/>
    </row>
    <row r="20" spans="1:2" s="149" customFormat="1">
      <c r="A20" s="150"/>
      <c r="B20" s="78"/>
    </row>
    <row r="21" spans="1:2" s="149" customFormat="1">
      <c r="A21" s="150"/>
      <c r="B21" s="78"/>
    </row>
    <row r="22" spans="1:2" s="149" customFormat="1">
      <c r="A22" s="150" t="s">
        <v>549</v>
      </c>
      <c r="B22" s="78"/>
    </row>
    <row r="23" spans="1:2">
      <c r="A23" s="152" t="s">
        <v>550</v>
      </c>
      <c r="B23" s="145" t="s">
        <v>530</v>
      </c>
    </row>
    <row r="24" spans="1:2">
      <c r="A24" s="152" t="s">
        <v>565</v>
      </c>
      <c r="B24" s="145" t="s">
        <v>593</v>
      </c>
    </row>
    <row r="25" spans="1:2">
      <c r="A25" s="152" t="s">
        <v>552</v>
      </c>
      <c r="B25" s="145" t="s">
        <v>551</v>
      </c>
    </row>
    <row r="26" spans="1:2">
      <c r="A26" s="152" t="s">
        <v>564</v>
      </c>
      <c r="B26" s="145" t="s">
        <v>44</v>
      </c>
    </row>
    <row r="27" spans="1:2">
      <c r="A27" s="152" t="s">
        <v>563</v>
      </c>
      <c r="B27" s="145" t="s">
        <v>553</v>
      </c>
    </row>
    <row r="28" spans="1:2">
      <c r="A28" s="153" t="s">
        <v>710</v>
      </c>
      <c r="B28" s="180" t="s">
        <v>714</v>
      </c>
    </row>
    <row r="29" spans="1:2">
      <c r="B29" s="180" t="s">
        <v>713</v>
      </c>
    </row>
    <row r="30" spans="1:2">
      <c r="A30" s="151" t="s">
        <v>676</v>
      </c>
      <c r="B30" s="145" t="s">
        <v>660</v>
      </c>
    </row>
    <row r="31" spans="1:2">
      <c r="B31" s="145"/>
    </row>
    <row r="32" spans="1:2">
      <c r="B32" s="145"/>
    </row>
    <row r="33" spans="1:2">
      <c r="B33" s="145"/>
    </row>
    <row r="34" spans="1:2">
      <c r="A34" s="153" t="s">
        <v>711</v>
      </c>
      <c r="B34" s="145" t="s">
        <v>650</v>
      </c>
    </row>
    <row r="35" spans="1:2">
      <c r="A35" s="153" t="s">
        <v>710</v>
      </c>
      <c r="B35" s="145" t="s">
        <v>709</v>
      </c>
    </row>
    <row r="36" spans="1:2">
      <c r="A36" s="153"/>
      <c r="B36" s="145"/>
    </row>
  </sheetData>
  <phoneticPr fontId="5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8"/>
  <dimension ref="A1:Y46"/>
  <sheetViews>
    <sheetView showGridLines="0" zoomScaleNormal="100" workbookViewId="0">
      <selection activeCell="E29" sqref="E29"/>
    </sheetView>
  </sheetViews>
  <sheetFormatPr defaultColWidth="9.140625" defaultRowHeight="17.100000000000001" customHeight="1"/>
  <cols>
    <col min="1" max="1" width="4.42578125" style="2" customWidth="1"/>
    <col min="2" max="2" width="25.7109375" style="4" bestFit="1" customWidth="1"/>
    <col min="3" max="3" width="19.7109375" style="44" customWidth="1"/>
    <col min="4" max="4" width="10.7109375" style="39" customWidth="1"/>
    <col min="5" max="5" width="7" style="35" customWidth="1"/>
    <col min="6" max="7" width="7.7109375" style="4" customWidth="1"/>
    <col min="8" max="8" width="8.7109375" style="4" customWidth="1"/>
    <col min="9" max="9" width="7.7109375" style="4" customWidth="1"/>
    <col min="10" max="10" width="6.7109375" style="4" customWidth="1"/>
    <col min="11" max="11" width="48.5703125" style="4" customWidth="1"/>
    <col min="12" max="12" width="12.28515625" style="2" bestFit="1" customWidth="1"/>
    <col min="13" max="13" width="14.140625" style="2" bestFit="1" customWidth="1"/>
    <col min="14" max="16384" width="9.140625" style="2"/>
  </cols>
  <sheetData>
    <row r="1" spans="1:25" s="29" customFormat="1" ht="22.5" customHeight="1" thickBot="1">
      <c r="A1" s="121" t="s">
        <v>539</v>
      </c>
      <c r="B1" s="122"/>
      <c r="C1" s="123"/>
      <c r="D1" s="100"/>
      <c r="E1" s="124"/>
      <c r="F1" s="125" t="s">
        <v>543</v>
      </c>
      <c r="G1" s="103"/>
      <c r="H1" s="103"/>
      <c r="I1" s="126" t="s">
        <v>540</v>
      </c>
      <c r="J1" s="105"/>
      <c r="K1" s="127" t="s">
        <v>590</v>
      </c>
    </row>
    <row r="2" spans="1:25" s="29" customFormat="1" ht="17.100000000000001" customHeight="1" thickBot="1">
      <c r="A2" s="128" t="s">
        <v>591</v>
      </c>
      <c r="B2" s="129"/>
      <c r="C2" s="130" t="s">
        <v>541</v>
      </c>
      <c r="D2" s="131"/>
      <c r="E2" s="132"/>
      <c r="F2" s="61"/>
      <c r="G2" s="61"/>
      <c r="H2" s="61"/>
      <c r="I2" s="61"/>
      <c r="J2" s="133"/>
      <c r="K2" s="62"/>
    </row>
    <row r="3" spans="1:2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45"/>
      <c r="M3" s="46"/>
      <c r="N3" s="47"/>
      <c r="O3" s="18"/>
    </row>
    <row r="4" spans="1:25" s="8" customFormat="1" ht="15">
      <c r="A4" s="19" t="s">
        <v>0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8"/>
      <c r="M4" s="49" t="s">
        <v>21</v>
      </c>
      <c r="N4" s="50"/>
    </row>
    <row r="5" spans="1:25" s="8" customFormat="1" ht="13.5">
      <c r="A5" s="19" t="s">
        <v>41</v>
      </c>
      <c r="B5" s="9"/>
      <c r="C5" s="167"/>
      <c r="D5" s="168"/>
      <c r="E5" s="169"/>
      <c r="F5" s="170"/>
      <c r="G5" s="171"/>
      <c r="H5" s="171"/>
      <c r="I5" s="171"/>
      <c r="J5" s="171"/>
      <c r="K5" s="172"/>
      <c r="L5" s="51" t="s">
        <v>22</v>
      </c>
      <c r="M5" s="49" t="s">
        <v>23</v>
      </c>
      <c r="N5" s="52"/>
    </row>
    <row r="6" spans="1:25" s="8" customFormat="1" ht="13.5">
      <c r="A6" s="19" t="s">
        <v>19</v>
      </c>
      <c r="B6" s="9"/>
      <c r="C6" s="176"/>
      <c r="D6" s="177"/>
      <c r="E6" s="178"/>
      <c r="F6" s="173"/>
      <c r="G6" s="174"/>
      <c r="H6" s="174"/>
      <c r="I6" s="174"/>
      <c r="J6" s="174"/>
      <c r="K6" s="175"/>
      <c r="L6" s="49" t="s">
        <v>24</v>
      </c>
      <c r="M6" s="53" t="s">
        <v>25</v>
      </c>
      <c r="N6" s="54">
        <f>N4*N5</f>
        <v>0</v>
      </c>
    </row>
    <row r="7" spans="1:25" s="8" customFormat="1" ht="13.5">
      <c r="A7" s="10"/>
      <c r="B7" s="20" t="s">
        <v>2</v>
      </c>
      <c r="C7" s="42" t="s">
        <v>3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  <c r="L7" s="51" t="s">
        <v>26</v>
      </c>
      <c r="M7" s="53" t="s">
        <v>23</v>
      </c>
      <c r="N7" s="54"/>
    </row>
    <row r="8" spans="1:2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  <c r="L8" s="49" t="s">
        <v>24</v>
      </c>
      <c r="M8" s="53" t="s">
        <v>25</v>
      </c>
      <c r="N8" s="54">
        <f>N4*N7</f>
        <v>0</v>
      </c>
    </row>
    <row r="9" spans="1:25" ht="11.25">
      <c r="A9" s="69"/>
      <c r="B9" s="68"/>
      <c r="C9" s="69"/>
      <c r="D9" s="69"/>
      <c r="E9" s="69"/>
      <c r="F9" s="69"/>
      <c r="G9" s="69"/>
      <c r="H9" s="69"/>
      <c r="I9" s="69"/>
      <c r="J9" s="69"/>
      <c r="K9" s="69"/>
    </row>
    <row r="10" spans="1:25" ht="11.25">
      <c r="A10" s="69"/>
      <c r="B10" s="68"/>
      <c r="C10" s="69"/>
      <c r="D10" s="69"/>
      <c r="E10" s="69"/>
      <c r="F10" s="69"/>
      <c r="G10" s="69"/>
      <c r="H10" s="69"/>
      <c r="I10" s="69"/>
      <c r="J10" s="69"/>
      <c r="K10" s="69"/>
    </row>
    <row r="11" spans="1:25" ht="11.25">
      <c r="A11" s="69"/>
      <c r="B11" s="68"/>
      <c r="C11" s="69"/>
      <c r="D11" s="69"/>
      <c r="E11" s="69"/>
      <c r="F11" s="69"/>
      <c r="G11" s="69"/>
      <c r="H11" s="69"/>
      <c r="I11" s="69"/>
      <c r="J11" s="69"/>
      <c r="K11" s="69"/>
    </row>
    <row r="12" spans="1:25" ht="11.25">
      <c r="A12" s="69"/>
      <c r="B12" s="68"/>
      <c r="C12" s="69"/>
      <c r="D12" s="69"/>
      <c r="E12" s="69"/>
      <c r="F12" s="69"/>
      <c r="G12" s="69"/>
      <c r="H12" s="69"/>
      <c r="I12" s="69"/>
      <c r="J12" s="69"/>
      <c r="K12" s="69"/>
    </row>
    <row r="13" spans="1:25" ht="11.25">
      <c r="A13" s="69"/>
      <c r="B13" s="68"/>
      <c r="C13" s="69"/>
      <c r="D13" s="69"/>
      <c r="E13" s="69"/>
      <c r="F13" s="69"/>
      <c r="G13" s="69"/>
      <c r="H13" s="69"/>
      <c r="I13" s="69"/>
      <c r="J13" s="69"/>
      <c r="K13" s="69"/>
      <c r="L13" s="8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</row>
    <row r="14" spans="1:25" ht="11.25">
      <c r="A14" s="69"/>
      <c r="B14" s="68"/>
      <c r="C14" s="69"/>
      <c r="D14" s="69"/>
      <c r="E14" s="69"/>
      <c r="F14" s="71"/>
      <c r="G14" s="71"/>
      <c r="H14" s="71"/>
      <c r="I14" s="71"/>
      <c r="J14" s="71"/>
      <c r="K14" s="70"/>
      <c r="L14" s="8"/>
      <c r="M14" s="14"/>
      <c r="N14" s="15"/>
    </row>
    <row r="15" spans="1:25" ht="11.25">
      <c r="A15" s="69"/>
      <c r="B15" s="68"/>
      <c r="C15" s="70"/>
      <c r="D15" s="71"/>
      <c r="E15" s="71"/>
      <c r="F15" s="71"/>
      <c r="G15" s="71"/>
      <c r="H15" s="71"/>
      <c r="I15" s="71"/>
      <c r="J15" s="71"/>
      <c r="K15" s="70"/>
      <c r="L15" s="8"/>
    </row>
    <row r="16" spans="1:25" ht="11.25">
      <c r="A16" s="69"/>
      <c r="B16" s="68"/>
      <c r="C16" s="70"/>
      <c r="D16" s="71"/>
      <c r="E16" s="71"/>
      <c r="F16" s="71"/>
      <c r="G16" s="71"/>
      <c r="H16" s="71"/>
      <c r="I16" s="71"/>
      <c r="J16" s="71"/>
      <c r="K16" s="70"/>
      <c r="L16" s="8"/>
      <c r="M16" s="14"/>
      <c r="N16" s="15"/>
    </row>
    <row r="17" spans="1:14" ht="11.25">
      <c r="A17" s="69"/>
      <c r="B17" s="68"/>
      <c r="C17" s="70"/>
      <c r="D17" s="71"/>
      <c r="E17" s="71"/>
      <c r="F17" s="69"/>
      <c r="G17" s="69"/>
      <c r="H17" s="69"/>
      <c r="I17" s="69"/>
      <c r="J17" s="69"/>
      <c r="K17" s="70"/>
      <c r="L17" s="8"/>
      <c r="M17" s="14"/>
      <c r="N17" s="15"/>
    </row>
    <row r="18" spans="1:14" ht="11.25">
      <c r="A18" s="69"/>
      <c r="B18" s="68"/>
      <c r="C18" s="70"/>
      <c r="D18" s="71"/>
      <c r="E18" s="71"/>
      <c r="F18" s="72"/>
      <c r="G18" s="69"/>
      <c r="H18" s="71"/>
      <c r="I18" s="71"/>
      <c r="J18" s="71"/>
      <c r="K18" s="70"/>
      <c r="L18" s="8"/>
      <c r="M18" s="14"/>
      <c r="N18" s="15"/>
    </row>
    <row r="19" spans="1:14" ht="11.25">
      <c r="A19" s="69"/>
      <c r="B19" s="68"/>
      <c r="C19" s="70"/>
      <c r="D19" s="71"/>
      <c r="E19" s="71"/>
      <c r="F19" s="72"/>
      <c r="G19" s="69"/>
      <c r="H19" s="71"/>
      <c r="I19" s="71"/>
      <c r="J19" s="71"/>
      <c r="K19" s="70"/>
      <c r="L19" s="8"/>
    </row>
    <row r="20" spans="1:14" ht="11.25">
      <c r="A20" s="69"/>
      <c r="B20" s="68"/>
      <c r="C20" s="70"/>
      <c r="D20" s="71"/>
      <c r="E20" s="71"/>
      <c r="F20" s="73"/>
      <c r="G20" s="69"/>
      <c r="H20" s="71"/>
      <c r="I20" s="71"/>
      <c r="J20" s="71"/>
      <c r="K20" s="70"/>
      <c r="L20" s="8"/>
      <c r="M20" s="14"/>
      <c r="N20" s="15"/>
    </row>
    <row r="21" spans="1:14" ht="11.25">
      <c r="A21" s="69"/>
      <c r="B21" s="68"/>
      <c r="C21" s="70"/>
      <c r="D21" s="69"/>
      <c r="E21" s="71"/>
      <c r="F21" s="73"/>
      <c r="G21" s="69"/>
      <c r="H21" s="71"/>
      <c r="I21" s="71"/>
      <c r="J21" s="71"/>
      <c r="K21" s="70"/>
      <c r="L21" s="8"/>
      <c r="M21" s="3"/>
      <c r="N21" s="1"/>
    </row>
    <row r="22" spans="1:14" ht="11.25">
      <c r="A22" s="69"/>
      <c r="B22" s="68"/>
      <c r="C22" s="70"/>
      <c r="D22" s="69"/>
      <c r="E22" s="69"/>
      <c r="F22" s="69"/>
      <c r="G22" s="69"/>
      <c r="H22" s="69"/>
      <c r="I22" s="69"/>
      <c r="J22" s="69"/>
      <c r="K22" s="74"/>
      <c r="L22" s="8"/>
    </row>
    <row r="23" spans="1:14" ht="11.25">
      <c r="A23" s="69"/>
      <c r="B23" s="68"/>
      <c r="C23" s="70"/>
      <c r="D23" s="69"/>
      <c r="E23" s="69"/>
      <c r="F23" s="69"/>
      <c r="G23" s="69"/>
      <c r="H23" s="69"/>
      <c r="I23" s="69"/>
      <c r="J23" s="69"/>
      <c r="K23" s="74"/>
      <c r="L23" s="8"/>
    </row>
    <row r="24" spans="1:14" ht="11.25">
      <c r="A24" s="69"/>
      <c r="B24" s="68"/>
      <c r="C24" s="70"/>
      <c r="D24" s="69"/>
      <c r="E24" s="69"/>
      <c r="F24" s="69"/>
      <c r="G24" s="69"/>
      <c r="H24" s="69"/>
      <c r="I24" s="69"/>
      <c r="J24" s="69"/>
      <c r="K24" s="74"/>
      <c r="L24" s="8"/>
    </row>
    <row r="25" spans="1:14" ht="11.25">
      <c r="A25" s="69"/>
      <c r="B25" s="68"/>
      <c r="C25" s="70"/>
      <c r="D25" s="69"/>
      <c r="E25" s="69"/>
      <c r="F25" s="69"/>
      <c r="G25" s="69"/>
      <c r="H25" s="69"/>
      <c r="I25" s="69"/>
      <c r="J25" s="69"/>
      <c r="K25" s="74"/>
      <c r="L25" s="8"/>
    </row>
    <row r="26" spans="1:14" ht="11.25">
      <c r="A26" s="69"/>
      <c r="B26" s="68"/>
      <c r="C26" s="70"/>
      <c r="D26" s="69"/>
      <c r="E26" s="69"/>
      <c r="F26" s="69"/>
      <c r="G26" s="69"/>
      <c r="H26" s="69"/>
      <c r="I26" s="69"/>
      <c r="J26" s="69"/>
      <c r="K26" s="74"/>
      <c r="L26" s="8"/>
    </row>
    <row r="27" spans="1:14" ht="11.25">
      <c r="A27" s="69"/>
      <c r="B27" s="68"/>
      <c r="C27" s="70"/>
      <c r="D27" s="69"/>
      <c r="E27" s="69"/>
      <c r="F27" s="69"/>
      <c r="G27" s="69"/>
      <c r="H27" s="69"/>
      <c r="I27" s="69"/>
      <c r="J27" s="69"/>
      <c r="K27" s="74"/>
      <c r="L27" s="8"/>
    </row>
    <row r="28" spans="1:14" ht="11.25">
      <c r="A28" s="69"/>
      <c r="B28" s="68"/>
      <c r="C28" s="70"/>
      <c r="D28" s="69"/>
      <c r="E28" s="69"/>
      <c r="F28" s="69"/>
      <c r="G28" s="69"/>
      <c r="H28" s="69"/>
      <c r="I28" s="69"/>
      <c r="J28" s="69"/>
      <c r="K28" s="74"/>
      <c r="L28" s="8"/>
    </row>
    <row r="29" spans="1:14" ht="11.25">
      <c r="A29" s="69"/>
      <c r="B29" s="68"/>
      <c r="C29" s="70"/>
      <c r="D29" s="69"/>
      <c r="E29" s="69"/>
      <c r="F29" s="69"/>
      <c r="G29" s="69"/>
      <c r="H29" s="69"/>
      <c r="I29" s="69"/>
      <c r="J29" s="69"/>
      <c r="K29" s="74"/>
      <c r="L29" s="8"/>
    </row>
    <row r="30" spans="1:14" ht="11.25">
      <c r="A30" s="69"/>
      <c r="B30" s="68"/>
      <c r="C30" s="70"/>
      <c r="D30" s="69"/>
      <c r="E30" s="69"/>
      <c r="F30" s="69"/>
      <c r="G30" s="69"/>
      <c r="H30" s="69"/>
      <c r="I30" s="69"/>
      <c r="J30" s="69"/>
      <c r="K30" s="74"/>
      <c r="L30" s="8"/>
    </row>
    <row r="31" spans="1:14" ht="11.25">
      <c r="A31" s="69"/>
      <c r="B31" s="69"/>
      <c r="C31" s="70"/>
      <c r="D31" s="69"/>
      <c r="E31" s="69"/>
      <c r="F31" s="69"/>
      <c r="G31" s="69"/>
      <c r="H31" s="69"/>
      <c r="I31" s="69"/>
      <c r="J31" s="69"/>
      <c r="K31" s="74"/>
      <c r="L31" s="8"/>
    </row>
    <row r="32" spans="1:14" ht="11.25">
      <c r="A32" s="69"/>
      <c r="B32" s="69"/>
      <c r="C32" s="70"/>
      <c r="D32" s="69"/>
      <c r="E32" s="69"/>
      <c r="F32" s="69"/>
      <c r="G32" s="69"/>
      <c r="H32" s="69"/>
      <c r="I32" s="69"/>
      <c r="J32" s="69"/>
      <c r="K32" s="74"/>
      <c r="L32" s="8"/>
    </row>
    <row r="33" spans="1:25" ht="11.25">
      <c r="A33" s="69"/>
      <c r="B33" s="75"/>
      <c r="C33" s="76"/>
      <c r="D33" s="76"/>
      <c r="E33" s="76"/>
      <c r="F33" s="69"/>
      <c r="G33" s="69"/>
      <c r="H33" s="69"/>
      <c r="I33" s="69"/>
      <c r="J33" s="69"/>
      <c r="K33" s="74"/>
      <c r="L33" s="60"/>
    </row>
    <row r="34" spans="1:25" ht="11.25">
      <c r="A34" s="69"/>
      <c r="B34" s="69"/>
      <c r="C34" s="69"/>
      <c r="D34" s="69"/>
      <c r="E34" s="69"/>
      <c r="F34" s="69"/>
      <c r="G34" s="69"/>
      <c r="H34" s="69"/>
      <c r="I34" s="69"/>
      <c r="J34" s="69"/>
      <c r="K34" s="74"/>
      <c r="L34" s="8"/>
    </row>
    <row r="35" spans="1:25" ht="11.25">
      <c r="A35" s="69"/>
      <c r="B35" s="69"/>
      <c r="C35" s="69"/>
      <c r="D35" s="69"/>
      <c r="E35" s="69"/>
      <c r="F35" s="69"/>
      <c r="G35" s="69"/>
      <c r="H35" s="69"/>
      <c r="I35" s="69"/>
      <c r="J35" s="69"/>
      <c r="K35" s="74"/>
      <c r="L35" s="8"/>
    </row>
    <row r="36" spans="1:25" ht="11.25">
      <c r="A36" s="69"/>
      <c r="B36" s="69"/>
      <c r="C36" s="74"/>
      <c r="D36" s="69"/>
      <c r="E36" s="69"/>
      <c r="F36" s="69"/>
      <c r="G36" s="69"/>
      <c r="H36" s="69"/>
      <c r="I36" s="69"/>
      <c r="J36" s="69"/>
      <c r="K36" s="74"/>
      <c r="L36" s="8"/>
    </row>
    <row r="37" spans="1:25" ht="11.25">
      <c r="A37" s="69"/>
      <c r="B37" s="69"/>
      <c r="C37" s="74"/>
      <c r="D37" s="69"/>
      <c r="E37" s="69"/>
      <c r="F37" s="69"/>
      <c r="G37" s="69"/>
      <c r="H37" s="69"/>
      <c r="I37" s="69"/>
      <c r="J37" s="69"/>
      <c r="K37" s="74"/>
      <c r="L37" s="8"/>
    </row>
    <row r="38" spans="1:25" ht="11.25">
      <c r="A38" s="69"/>
      <c r="B38" s="69"/>
      <c r="C38" s="74"/>
      <c r="D38" s="69"/>
      <c r="E38" s="69"/>
      <c r="F38" s="69"/>
      <c r="G38" s="69"/>
      <c r="H38" s="69"/>
      <c r="I38" s="69"/>
      <c r="J38" s="69"/>
      <c r="K38" s="74"/>
      <c r="L38" s="8"/>
    </row>
    <row r="39" spans="1:25" ht="11.25">
      <c r="A39" s="69"/>
      <c r="B39" s="69"/>
      <c r="C39" s="74"/>
      <c r="D39" s="69"/>
      <c r="E39" s="69"/>
      <c r="F39" s="69"/>
      <c r="G39" s="69"/>
      <c r="H39" s="69"/>
      <c r="I39" s="69"/>
      <c r="J39" s="69"/>
      <c r="K39" s="74"/>
      <c r="L39" s="8"/>
    </row>
    <row r="40" spans="1:25" ht="11.25">
      <c r="A40" s="69"/>
      <c r="B40" s="69"/>
      <c r="C40" s="74"/>
      <c r="D40" s="69"/>
      <c r="E40" s="69"/>
      <c r="F40" s="69"/>
      <c r="G40" s="69"/>
      <c r="H40" s="69"/>
      <c r="I40" s="69"/>
      <c r="J40" s="69"/>
      <c r="K40" s="74"/>
      <c r="L40" s="8"/>
    </row>
    <row r="41" spans="1:25" ht="11.25">
      <c r="A41" s="69"/>
      <c r="B41" s="69"/>
      <c r="C41" s="74"/>
      <c r="D41" s="69"/>
      <c r="E41" s="69"/>
      <c r="F41" s="69"/>
      <c r="G41" s="69"/>
      <c r="H41" s="69"/>
      <c r="I41" s="69"/>
      <c r="J41" s="69"/>
      <c r="K41" s="74"/>
      <c r="L41" s="8"/>
    </row>
    <row r="42" spans="1:25" ht="11.25">
      <c r="A42" s="69"/>
      <c r="B42" s="77"/>
      <c r="C42" s="74"/>
      <c r="D42" s="69"/>
      <c r="E42" s="69"/>
      <c r="F42" s="69"/>
      <c r="G42" s="69"/>
      <c r="H42" s="69"/>
      <c r="I42" s="69"/>
      <c r="J42" s="69"/>
      <c r="K42" s="74"/>
      <c r="L42" s="8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</row>
    <row r="43" spans="1:25" ht="11.25">
      <c r="A43" s="69"/>
      <c r="B43" s="77"/>
      <c r="C43" s="74"/>
      <c r="D43" s="69"/>
      <c r="E43" s="69"/>
      <c r="F43" s="69"/>
      <c r="G43" s="69"/>
      <c r="H43" s="69"/>
      <c r="I43" s="69"/>
      <c r="J43" s="69"/>
      <c r="K43" s="74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</row>
    <row r="44" spans="1:25" ht="11.25">
      <c r="A44" s="69"/>
      <c r="B44" s="77"/>
      <c r="C44" s="74"/>
      <c r="D44" s="69"/>
      <c r="E44" s="69"/>
      <c r="F44" s="69"/>
      <c r="G44" s="69"/>
      <c r="H44" s="69"/>
      <c r="I44" s="69"/>
      <c r="J44" s="69"/>
      <c r="K44" s="74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</row>
    <row r="45" spans="1:25" ht="11.25">
      <c r="A45" s="86"/>
      <c r="B45" s="87"/>
      <c r="C45" s="88"/>
      <c r="D45" s="86"/>
      <c r="E45" s="86"/>
      <c r="F45" s="86"/>
      <c r="G45" s="86"/>
      <c r="H45" s="86"/>
      <c r="I45" s="86"/>
      <c r="J45" s="86"/>
      <c r="K45" s="88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</row>
    <row r="46" spans="1:25" s="85" customFormat="1" ht="234.75" customHeight="1">
      <c r="A46" s="79" t="s">
        <v>528</v>
      </c>
      <c r="B46" s="80" t="s">
        <v>529</v>
      </c>
      <c r="C46" s="81"/>
      <c r="D46" s="82"/>
      <c r="E46" s="83"/>
      <c r="F46" s="84"/>
      <c r="G46" s="84"/>
      <c r="H46" s="84"/>
      <c r="I46" s="84"/>
      <c r="J46" s="84"/>
      <c r="K46" s="84"/>
    </row>
  </sheetData>
  <dataConsolidate/>
  <mergeCells count="3">
    <mergeCell ref="C5:E5"/>
    <mergeCell ref="F5:K6"/>
    <mergeCell ref="C6:E6"/>
  </mergeCells>
  <phoneticPr fontId="5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689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0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161925</xdr:rowOff>
                  </from>
                  <to>
                    <xdr:col>4</xdr:col>
                    <xdr:colOff>9525</xdr:colOff>
                    <xdr:row>7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0:B35"/>
  <sheetViews>
    <sheetView workbookViewId="0">
      <selection activeCell="H16" sqref="H16"/>
    </sheetView>
  </sheetViews>
  <sheetFormatPr defaultRowHeight="12"/>
  <sheetData>
    <row r="10" spans="2:2">
      <c r="B10" t="s">
        <v>594</v>
      </c>
    </row>
    <row r="11" spans="2:2">
      <c r="B11" t="s">
        <v>595</v>
      </c>
    </row>
    <row r="12" spans="2:2">
      <c r="B12" t="s">
        <v>547</v>
      </c>
    </row>
    <row r="13" spans="2:2">
      <c r="B13" t="s">
        <v>596</v>
      </c>
    </row>
    <row r="14" spans="2:2">
      <c r="B14" t="s">
        <v>597</v>
      </c>
    </row>
    <row r="15" spans="2:2">
      <c r="B15" t="s">
        <v>598</v>
      </c>
    </row>
    <row r="16" spans="2:2">
      <c r="B16" t="s">
        <v>599</v>
      </c>
    </row>
    <row r="17" spans="2:2">
      <c r="B17" t="s">
        <v>600</v>
      </c>
    </row>
    <row r="18" spans="2:2">
      <c r="B18" t="s">
        <v>601</v>
      </c>
    </row>
    <row r="19" spans="2:2">
      <c r="B19" t="s">
        <v>548</v>
      </c>
    </row>
    <row r="20" spans="2:2">
      <c r="B20" t="s">
        <v>602</v>
      </c>
    </row>
    <row r="21" spans="2:2">
      <c r="B21" t="s">
        <v>584</v>
      </c>
    </row>
    <row r="22" spans="2:2">
      <c r="B22" t="s">
        <v>603</v>
      </c>
    </row>
    <row r="23" spans="2:2">
      <c r="B23" t="s">
        <v>604</v>
      </c>
    </row>
    <row r="24" spans="2:2">
      <c r="B24" t="s">
        <v>605</v>
      </c>
    </row>
    <row r="25" spans="2:2">
      <c r="B25" t="s">
        <v>606</v>
      </c>
    </row>
    <row r="26" spans="2:2">
      <c r="B26" t="s">
        <v>607</v>
      </c>
    </row>
    <row r="27" spans="2:2">
      <c r="B27" t="s">
        <v>608</v>
      </c>
    </row>
    <row r="28" spans="2:2">
      <c r="B28" t="s">
        <v>609</v>
      </c>
    </row>
    <row r="29" spans="2:2">
      <c r="B29" t="s">
        <v>610</v>
      </c>
    </row>
    <row r="30" spans="2:2">
      <c r="B30" t="s">
        <v>611</v>
      </c>
    </row>
    <row r="31" spans="2:2">
      <c r="B31" t="s">
        <v>612</v>
      </c>
    </row>
    <row r="32" spans="2:2">
      <c r="B32" t="s">
        <v>613</v>
      </c>
    </row>
    <row r="33" spans="2:2">
      <c r="B33" t="s">
        <v>614</v>
      </c>
    </row>
    <row r="34" spans="2:2">
      <c r="B34" t="s">
        <v>615</v>
      </c>
    </row>
    <row r="35" spans="2:2">
      <c r="B35" t="s">
        <v>616</v>
      </c>
    </row>
  </sheetData>
  <phoneticPr fontId="5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C1:K442"/>
  <sheetViews>
    <sheetView zoomScale="85" zoomScaleNormal="85" workbookViewId="0">
      <selection activeCell="G7" sqref="G7"/>
    </sheetView>
  </sheetViews>
  <sheetFormatPr defaultRowHeight="12"/>
  <cols>
    <col min="1" max="2" width="4" customWidth="1"/>
    <col min="3" max="3" width="17.5703125" bestFit="1" customWidth="1"/>
    <col min="4" max="4" width="23.28515625" customWidth="1"/>
    <col min="5" max="6" width="2.5703125" customWidth="1"/>
    <col min="7" max="7" width="60.7109375" bestFit="1" customWidth="1"/>
    <col min="8" max="8" width="71.5703125" bestFit="1" customWidth="1"/>
  </cols>
  <sheetData>
    <row r="1" spans="3:11">
      <c r="C1" t="s">
        <v>538</v>
      </c>
    </row>
    <row r="2" spans="3:11">
      <c r="C2" t="s">
        <v>546</v>
      </c>
    </row>
    <row r="10" spans="3:11">
      <c r="C10" s="115" t="s">
        <v>536</v>
      </c>
      <c r="D10" s="115" t="s">
        <v>537</v>
      </c>
      <c r="G10" s="116" t="s">
        <v>544</v>
      </c>
      <c r="H10" s="116" t="s">
        <v>545</v>
      </c>
    </row>
    <row r="11" spans="3:11" ht="13.5">
      <c r="C11" s="135" t="s">
        <v>572</v>
      </c>
      <c r="D11" s="117" t="str">
        <f>C11 &amp; "_lis6_back3"</f>
        <v>t_test_item_info_lis6_back3</v>
      </c>
      <c r="E11" s="94"/>
      <c r="F11" s="94"/>
      <c r="G11" s="94" t="str">
        <f>"SELECT * INTO " &amp; D11 &amp; " FROM " &amp;C11</f>
        <v>SELECT * INTO t_test_item_info_lis6_back3 FROM t_test_item_info</v>
      </c>
      <c r="H11" s="94" t="str">
        <f t="shared" ref="H11:H30" si="0">"INSERT INTO " &amp; C11 &amp; " SELECT * FROM " &amp;D11</f>
        <v>INSERT INTO t_test_item_info SELECT * FROM t_test_item_info_lis6_back3</v>
      </c>
      <c r="J11" t="str">
        <f>"select count(*) from " &amp;C11</f>
        <v>select count(*) from t_test_item_info</v>
      </c>
      <c r="K11" t="str">
        <f>"select count(*) from " &amp;D11</f>
        <v>select count(*) from t_test_item_info_lis6_back3</v>
      </c>
    </row>
    <row r="12" spans="3:11" ht="13.5">
      <c r="C12" s="135" t="s">
        <v>570</v>
      </c>
      <c r="D12" s="117" t="str">
        <f t="shared" ref="D12:D19" si="1">C12 &amp; "_lis6_back3"</f>
        <v>t_test_subject_info_lis6_back3</v>
      </c>
      <c r="E12" s="94"/>
      <c r="F12" s="94"/>
      <c r="G12" s="94" t="str">
        <f>"SELECT * INTO " &amp; D12 &amp; " FROM " &amp;C12</f>
        <v>SELECT * INTO t_test_subject_info_lis6_back3 FROM t_test_subject_info</v>
      </c>
      <c r="H12" s="94" t="str">
        <f t="shared" si="0"/>
        <v>INSERT INTO t_test_subject_info SELECT * FROM t_test_subject_info_lis6_back3</v>
      </c>
      <c r="J12" t="str">
        <f t="shared" ref="J12:J22" si="2">"select count(*) from " &amp;C12</f>
        <v>select count(*) from t_test_subject_info</v>
      </c>
      <c r="K12" t="str">
        <f t="shared" ref="K12:K23" si="3">"select count(*) from " &amp;D12</f>
        <v>select count(*) from t_test_subject_info_lis6_back3</v>
      </c>
    </row>
    <row r="13" spans="3:11" ht="13.5">
      <c r="C13" s="135" t="s">
        <v>574</v>
      </c>
      <c r="D13" s="117" t="str">
        <f t="shared" si="1"/>
        <v>t_test_question_lis6_back3</v>
      </c>
      <c r="E13" s="94"/>
      <c r="F13" s="94"/>
      <c r="G13" s="94" t="str">
        <f t="shared" ref="G13:G45" si="4">"SELECT * INTO " &amp; D13 &amp; " FROM " &amp;C13</f>
        <v>SELECT * INTO t_test_question_lis6_back3 FROM t_test_question</v>
      </c>
      <c r="H13" s="94" t="str">
        <f t="shared" si="0"/>
        <v>INSERT INTO t_test_question SELECT * FROM t_test_question_lis6_back3</v>
      </c>
      <c r="J13" t="str">
        <f t="shared" si="2"/>
        <v>select count(*) from t_test_question</v>
      </c>
      <c r="K13" t="str">
        <f t="shared" si="3"/>
        <v>select count(*) from t_test_question_lis6_back3</v>
      </c>
    </row>
    <row r="14" spans="3:11" ht="13.5">
      <c r="C14" s="135" t="s">
        <v>573</v>
      </c>
      <c r="D14" s="117" t="str">
        <f t="shared" si="1"/>
        <v>t_test_learn_lis6_back3</v>
      </c>
      <c r="E14" s="94"/>
      <c r="F14" s="94"/>
      <c r="G14" s="94" t="str">
        <f t="shared" si="4"/>
        <v>SELECT * INTO t_test_learn_lis6_back3 FROM t_test_learn</v>
      </c>
      <c r="H14" s="94" t="str">
        <f t="shared" si="0"/>
        <v>INSERT INTO t_test_learn SELECT * FROM t_test_learn_lis6_back3</v>
      </c>
      <c r="J14" t="str">
        <f t="shared" si="2"/>
        <v>select count(*) from t_test_learn</v>
      </c>
      <c r="K14" t="str">
        <f t="shared" si="3"/>
        <v>select count(*) from t_test_learn_lis6_back3</v>
      </c>
    </row>
    <row r="15" spans="3:11" ht="13.5">
      <c r="C15" s="135" t="s">
        <v>566</v>
      </c>
      <c r="D15" s="117" t="str">
        <f t="shared" si="1"/>
        <v>t_test_item_confirm_lis6_back3</v>
      </c>
      <c r="E15" s="94"/>
      <c r="F15" s="94"/>
      <c r="G15" s="94" t="str">
        <f t="shared" si="4"/>
        <v>SELECT * INTO t_test_item_confirm_lis6_back3 FROM t_test_item_confirm</v>
      </c>
      <c r="H15" s="94" t="str">
        <f t="shared" si="0"/>
        <v>INSERT INTO t_test_item_confirm SELECT * FROM t_test_item_confirm_lis6_back3</v>
      </c>
      <c r="J15" t="str">
        <f t="shared" si="2"/>
        <v>select count(*) from t_test_item_confirm</v>
      </c>
      <c r="K15" t="str">
        <f t="shared" si="3"/>
        <v>select count(*) from t_test_item_confirm_lis6_back3</v>
      </c>
    </row>
    <row r="16" spans="3:11" ht="13.5">
      <c r="C16" s="135" t="s">
        <v>567</v>
      </c>
      <c r="D16" s="117" t="str">
        <f t="shared" si="1"/>
        <v>t_test_item_answer_lis6_back3</v>
      </c>
      <c r="E16" s="94"/>
      <c r="F16" s="94"/>
      <c r="G16" s="94" t="str">
        <f t="shared" si="4"/>
        <v>SELECT * INTO t_test_item_answer_lis6_back3 FROM t_test_item_answer</v>
      </c>
      <c r="H16" s="94" t="str">
        <f t="shared" si="0"/>
        <v>INSERT INTO t_test_item_answer SELECT * FROM t_test_item_answer_lis6_back3</v>
      </c>
      <c r="J16" t="str">
        <f t="shared" si="2"/>
        <v>select count(*) from t_test_item_answer</v>
      </c>
      <c r="K16" t="str">
        <f t="shared" si="3"/>
        <v>select count(*) from t_test_item_answer_lis6_back3</v>
      </c>
    </row>
    <row r="17" spans="3:11" ht="13.5">
      <c r="C17" s="135" t="s">
        <v>571</v>
      </c>
      <c r="D17" s="117" t="str">
        <f t="shared" si="1"/>
        <v>m_syain_lis6_back3</v>
      </c>
      <c r="E17" s="94"/>
      <c r="F17" s="94"/>
      <c r="G17" s="94" t="str">
        <f t="shared" si="4"/>
        <v>SELECT * INTO m_syain_lis6_back3 FROM m_syain</v>
      </c>
      <c r="H17" s="94" t="str">
        <f t="shared" si="0"/>
        <v>INSERT INTO m_syain SELECT * FROM m_syain_lis6_back3</v>
      </c>
      <c r="J17" t="str">
        <f t="shared" si="2"/>
        <v>select count(*) from m_syain</v>
      </c>
      <c r="K17" t="str">
        <f t="shared" si="3"/>
        <v>select count(*) from m_syain_lis6_back3</v>
      </c>
    </row>
    <row r="18" spans="3:11" ht="13.5">
      <c r="C18" s="135" t="s">
        <v>568</v>
      </c>
      <c r="D18" s="117" t="str">
        <f t="shared" si="1"/>
        <v>t_test_item_judge_lis6_back3</v>
      </c>
      <c r="E18" s="94"/>
      <c r="F18" s="94"/>
      <c r="G18" s="94" t="str">
        <f t="shared" si="4"/>
        <v>SELECT * INTO t_test_item_judge_lis6_back3 FROM t_test_item_judge</v>
      </c>
      <c r="H18" s="94" t="str">
        <f t="shared" si="0"/>
        <v>INSERT INTO t_test_item_judge SELECT * FROM t_test_item_judge_lis6_back3</v>
      </c>
      <c r="J18" t="str">
        <f t="shared" si="2"/>
        <v>select count(*) from t_test_item_judge</v>
      </c>
      <c r="K18" t="str">
        <f t="shared" si="3"/>
        <v>select count(*) from t_test_item_judge_lis6_back3</v>
      </c>
    </row>
    <row r="19" spans="3:11" ht="13.5">
      <c r="C19" s="135" t="s">
        <v>569</v>
      </c>
      <c r="D19" s="117" t="str">
        <f t="shared" si="1"/>
        <v>t_test_item_learn_cor_lis6_back3</v>
      </c>
      <c r="E19" s="94"/>
      <c r="F19" s="94"/>
      <c r="G19" s="94" t="str">
        <f t="shared" si="4"/>
        <v>SELECT * INTO t_test_item_learn_cor_lis6_back3 FROM t_test_item_learn_cor</v>
      </c>
      <c r="H19" s="94" t="str">
        <f t="shared" si="0"/>
        <v>INSERT INTO t_test_item_learn_cor SELECT * FROM t_test_item_learn_cor_lis6_back3</v>
      </c>
      <c r="J19" t="str">
        <f t="shared" si="2"/>
        <v>select count(*) from t_test_item_learn_cor</v>
      </c>
      <c r="K19" t="str">
        <f>"select count(*) from " &amp;D19</f>
        <v>select count(*) from t_test_item_learn_cor_lis6_back3</v>
      </c>
    </row>
    <row r="20" spans="3:11">
      <c r="C20" s="94"/>
      <c r="D20" s="117" t="str">
        <f t="shared" ref="D20:D68" si="5">C20 &amp; "_lis6_back"</f>
        <v>_lis6_back</v>
      </c>
      <c r="E20" s="94"/>
      <c r="F20" s="94"/>
      <c r="G20" s="94" t="str">
        <f t="shared" si="4"/>
        <v xml:space="preserve">SELECT * INTO _lis6_back FROM </v>
      </c>
      <c r="H20" s="94" t="str">
        <f t="shared" si="0"/>
        <v>INSERT INTO  SELECT * FROM _lis6_back</v>
      </c>
      <c r="J20" t="str">
        <f t="shared" si="2"/>
        <v xml:space="preserve">select count(*) from </v>
      </c>
      <c r="K20" t="str">
        <f t="shared" si="3"/>
        <v>select count(*) from _lis6_back</v>
      </c>
    </row>
    <row r="21" spans="3:11">
      <c r="C21" s="94"/>
      <c r="D21" s="117" t="str">
        <f t="shared" si="5"/>
        <v>_lis6_back</v>
      </c>
      <c r="E21" s="94"/>
      <c r="F21" s="94"/>
      <c r="G21" s="94" t="str">
        <f t="shared" si="4"/>
        <v xml:space="preserve">SELECT * INTO _lis6_back FROM </v>
      </c>
      <c r="H21" s="94" t="str">
        <f t="shared" si="0"/>
        <v>INSERT INTO  SELECT * FROM _lis6_back</v>
      </c>
      <c r="J21" t="str">
        <f t="shared" si="2"/>
        <v xml:space="preserve">select count(*) from </v>
      </c>
      <c r="K21" t="str">
        <f t="shared" si="3"/>
        <v>select count(*) from _lis6_back</v>
      </c>
    </row>
    <row r="22" spans="3:11">
      <c r="C22" s="94"/>
      <c r="D22" s="117" t="str">
        <f t="shared" si="5"/>
        <v>_lis6_back</v>
      </c>
      <c r="E22" s="94"/>
      <c r="F22" s="94"/>
      <c r="G22" s="94" t="str">
        <f t="shared" si="4"/>
        <v xml:space="preserve">SELECT * INTO _lis6_back FROM </v>
      </c>
      <c r="H22" s="94" t="str">
        <f t="shared" si="0"/>
        <v>INSERT INTO  SELECT * FROM _lis6_back</v>
      </c>
      <c r="J22" t="str">
        <f t="shared" si="2"/>
        <v xml:space="preserve">select count(*) from </v>
      </c>
      <c r="K22" t="str">
        <f t="shared" si="3"/>
        <v>select count(*) from _lis6_back</v>
      </c>
    </row>
    <row r="23" spans="3:11">
      <c r="C23" s="94"/>
      <c r="D23" s="117" t="str">
        <f t="shared" si="5"/>
        <v>_lis6_back</v>
      </c>
      <c r="E23" s="94"/>
      <c r="F23" s="94"/>
      <c r="G23" s="94" t="str">
        <f t="shared" si="4"/>
        <v xml:space="preserve">SELECT * INTO _lis6_back FROM </v>
      </c>
      <c r="H23" s="94" t="str">
        <f t="shared" si="0"/>
        <v>INSERT INTO  SELECT * FROM _lis6_back</v>
      </c>
      <c r="K23" t="str">
        <f t="shared" si="3"/>
        <v>select count(*) from _lis6_back</v>
      </c>
    </row>
    <row r="24" spans="3:11">
      <c r="C24" s="94"/>
      <c r="D24" s="117" t="str">
        <f t="shared" si="5"/>
        <v>_lis6_back</v>
      </c>
      <c r="E24" s="94"/>
      <c r="F24" s="94"/>
      <c r="G24" s="94" t="str">
        <f t="shared" si="4"/>
        <v xml:space="preserve">SELECT * INTO _lis6_back FROM </v>
      </c>
      <c r="H24" s="94" t="str">
        <f t="shared" si="0"/>
        <v>INSERT INTO  SELECT * FROM _lis6_back</v>
      </c>
    </row>
    <row r="25" spans="3:11">
      <c r="C25" s="94"/>
      <c r="D25" s="117" t="str">
        <f t="shared" si="5"/>
        <v>_lis6_back</v>
      </c>
      <c r="E25" s="94"/>
      <c r="F25" s="94"/>
      <c r="G25" s="94" t="str">
        <f t="shared" si="4"/>
        <v xml:space="preserve">SELECT * INTO _lis6_back FROM </v>
      </c>
      <c r="H25" s="94" t="str">
        <f t="shared" si="0"/>
        <v>INSERT INTO  SELECT * FROM _lis6_back</v>
      </c>
    </row>
    <row r="26" spans="3:11">
      <c r="C26" s="94"/>
      <c r="D26" s="117" t="str">
        <f t="shared" si="5"/>
        <v>_lis6_back</v>
      </c>
      <c r="E26" s="94"/>
      <c r="F26" s="94"/>
      <c r="G26" s="94" t="str">
        <f t="shared" si="4"/>
        <v xml:space="preserve">SELECT * INTO _lis6_back FROM </v>
      </c>
      <c r="H26" s="94" t="str">
        <f t="shared" si="0"/>
        <v>INSERT INTO  SELECT * FROM _lis6_back</v>
      </c>
    </row>
    <row r="27" spans="3:11">
      <c r="C27" s="94"/>
      <c r="D27" s="117" t="str">
        <f t="shared" si="5"/>
        <v>_lis6_back</v>
      </c>
      <c r="E27" s="94"/>
      <c r="F27" s="94"/>
      <c r="G27" s="94" t="str">
        <f t="shared" si="4"/>
        <v xml:space="preserve">SELECT * INTO _lis6_back FROM </v>
      </c>
      <c r="H27" s="94" t="str">
        <f t="shared" si="0"/>
        <v>INSERT INTO  SELECT * FROM _lis6_back</v>
      </c>
    </row>
    <row r="28" spans="3:11">
      <c r="C28" s="94"/>
      <c r="D28" s="117" t="str">
        <f t="shared" si="5"/>
        <v>_lis6_back</v>
      </c>
      <c r="E28" s="94"/>
      <c r="F28" s="94"/>
      <c r="G28" s="94" t="str">
        <f t="shared" si="4"/>
        <v xml:space="preserve">SELECT * INTO _lis6_back FROM </v>
      </c>
      <c r="H28" s="94" t="str">
        <f t="shared" si="0"/>
        <v>INSERT INTO  SELECT * FROM _lis6_back</v>
      </c>
    </row>
    <row r="29" spans="3:11">
      <c r="C29" s="94"/>
      <c r="D29" s="117" t="str">
        <f t="shared" si="5"/>
        <v>_lis6_back</v>
      </c>
      <c r="E29" s="94"/>
      <c r="F29" s="94"/>
      <c r="G29" s="94" t="str">
        <f t="shared" si="4"/>
        <v xml:space="preserve">SELECT * INTO _lis6_back FROM </v>
      </c>
      <c r="H29" s="94" t="str">
        <f t="shared" si="0"/>
        <v>INSERT INTO  SELECT * FROM _lis6_back</v>
      </c>
    </row>
    <row r="30" spans="3:11">
      <c r="C30" s="94"/>
      <c r="D30" s="117" t="str">
        <f t="shared" si="5"/>
        <v>_lis6_back</v>
      </c>
      <c r="E30" s="94"/>
      <c r="F30" s="94"/>
      <c r="G30" s="94" t="str">
        <f t="shared" si="4"/>
        <v xml:space="preserve">SELECT * INTO _lis6_back FROM </v>
      </c>
      <c r="H30" s="94" t="str">
        <f t="shared" si="0"/>
        <v>INSERT INTO  SELECT * FROM _lis6_back</v>
      </c>
    </row>
    <row r="31" spans="3:11">
      <c r="C31" s="94"/>
      <c r="D31" s="117" t="str">
        <f t="shared" si="5"/>
        <v>_lis6_back</v>
      </c>
      <c r="E31" s="94"/>
      <c r="F31" s="94"/>
      <c r="G31" s="94" t="str">
        <f t="shared" si="4"/>
        <v xml:space="preserve">SELECT * INTO _lis6_back FROM </v>
      </c>
      <c r="H31" s="94"/>
    </row>
    <row r="32" spans="3:11">
      <c r="C32" s="94"/>
      <c r="D32" s="117" t="str">
        <f t="shared" si="5"/>
        <v>_lis6_back</v>
      </c>
      <c r="E32" s="94"/>
      <c r="F32" s="94"/>
      <c r="G32" s="94" t="str">
        <f t="shared" si="4"/>
        <v xml:space="preserve">SELECT * INTO _lis6_back FROM </v>
      </c>
      <c r="H32" s="94"/>
    </row>
    <row r="33" spans="3:8">
      <c r="C33" s="94"/>
      <c r="D33" s="117" t="str">
        <f t="shared" si="5"/>
        <v>_lis6_back</v>
      </c>
      <c r="E33" s="94"/>
      <c r="F33" s="94"/>
      <c r="G33" s="94" t="str">
        <f t="shared" si="4"/>
        <v xml:space="preserve">SELECT * INTO _lis6_back FROM </v>
      </c>
      <c r="H33" s="94"/>
    </row>
    <row r="34" spans="3:8">
      <c r="C34" s="94"/>
      <c r="D34" s="117" t="str">
        <f t="shared" si="5"/>
        <v>_lis6_back</v>
      </c>
      <c r="E34" s="94"/>
      <c r="F34" s="94"/>
      <c r="G34" s="94" t="str">
        <f t="shared" si="4"/>
        <v xml:space="preserve">SELECT * INTO _lis6_back FROM </v>
      </c>
      <c r="H34" s="94"/>
    </row>
    <row r="35" spans="3:8">
      <c r="C35" s="94"/>
      <c r="D35" s="117" t="str">
        <f t="shared" si="5"/>
        <v>_lis6_back</v>
      </c>
      <c r="E35" s="94"/>
      <c r="F35" s="94"/>
      <c r="G35" s="94" t="str">
        <f t="shared" si="4"/>
        <v xml:space="preserve">SELECT * INTO _lis6_back FROM </v>
      </c>
      <c r="H35" s="94"/>
    </row>
    <row r="36" spans="3:8">
      <c r="C36" s="94"/>
      <c r="D36" s="117" t="str">
        <f t="shared" si="5"/>
        <v>_lis6_back</v>
      </c>
      <c r="E36" s="94"/>
      <c r="F36" s="94"/>
      <c r="G36" s="94" t="str">
        <f t="shared" si="4"/>
        <v xml:space="preserve">SELECT * INTO _lis6_back FROM </v>
      </c>
      <c r="H36" s="94"/>
    </row>
    <row r="37" spans="3:8">
      <c r="C37" s="94"/>
      <c r="D37" s="117" t="str">
        <f t="shared" si="5"/>
        <v>_lis6_back</v>
      </c>
      <c r="E37" s="94"/>
      <c r="F37" s="94"/>
      <c r="G37" s="94" t="str">
        <f t="shared" si="4"/>
        <v xml:space="preserve">SELECT * INTO _lis6_back FROM </v>
      </c>
      <c r="H37" s="94"/>
    </row>
    <row r="38" spans="3:8">
      <c r="C38" s="94"/>
      <c r="D38" s="117" t="str">
        <f t="shared" si="5"/>
        <v>_lis6_back</v>
      </c>
      <c r="E38" s="94"/>
      <c r="F38" s="94"/>
      <c r="G38" s="94" t="str">
        <f t="shared" si="4"/>
        <v xml:space="preserve">SELECT * INTO _lis6_back FROM </v>
      </c>
      <c r="H38" s="94"/>
    </row>
    <row r="39" spans="3:8">
      <c r="C39" s="94"/>
      <c r="D39" s="117" t="str">
        <f t="shared" si="5"/>
        <v>_lis6_back</v>
      </c>
      <c r="E39" s="94"/>
      <c r="F39" s="94"/>
      <c r="G39" s="94" t="str">
        <f t="shared" si="4"/>
        <v xml:space="preserve">SELECT * INTO _lis6_back FROM </v>
      </c>
      <c r="H39" s="94"/>
    </row>
    <row r="40" spans="3:8">
      <c r="C40" s="94"/>
      <c r="D40" s="117" t="str">
        <f t="shared" si="5"/>
        <v>_lis6_back</v>
      </c>
      <c r="E40" s="94"/>
      <c r="F40" s="94"/>
      <c r="G40" s="94" t="str">
        <f t="shared" si="4"/>
        <v xml:space="preserve">SELECT * INTO _lis6_back FROM </v>
      </c>
      <c r="H40" s="94"/>
    </row>
    <row r="41" spans="3:8">
      <c r="C41" s="94"/>
      <c r="D41" s="117" t="str">
        <f t="shared" si="5"/>
        <v>_lis6_back</v>
      </c>
      <c r="E41" s="94"/>
      <c r="F41" s="94"/>
      <c r="G41" s="94" t="str">
        <f t="shared" si="4"/>
        <v xml:space="preserve">SELECT * INTO _lis6_back FROM </v>
      </c>
      <c r="H41" s="94"/>
    </row>
    <row r="42" spans="3:8">
      <c r="C42" s="94"/>
      <c r="D42" s="117" t="str">
        <f t="shared" si="5"/>
        <v>_lis6_back</v>
      </c>
      <c r="E42" s="94"/>
      <c r="F42" s="94"/>
      <c r="G42" s="94" t="str">
        <f t="shared" si="4"/>
        <v xml:space="preserve">SELECT * INTO _lis6_back FROM </v>
      </c>
      <c r="H42" s="94"/>
    </row>
    <row r="43" spans="3:8">
      <c r="C43" s="94"/>
      <c r="D43" s="117" t="str">
        <f t="shared" si="5"/>
        <v>_lis6_back</v>
      </c>
      <c r="E43" s="94"/>
      <c r="F43" s="94"/>
      <c r="G43" s="94" t="str">
        <f t="shared" si="4"/>
        <v xml:space="preserve">SELECT * INTO _lis6_back FROM </v>
      </c>
      <c r="H43" s="94"/>
    </row>
    <row r="44" spans="3:8">
      <c r="C44" s="94"/>
      <c r="D44" s="117" t="str">
        <f t="shared" si="5"/>
        <v>_lis6_back</v>
      </c>
      <c r="E44" s="94"/>
      <c r="F44" s="94"/>
      <c r="G44" s="94" t="str">
        <f t="shared" si="4"/>
        <v xml:space="preserve">SELECT * INTO _lis6_back FROM </v>
      </c>
      <c r="H44" s="94"/>
    </row>
    <row r="45" spans="3:8">
      <c r="C45" s="94"/>
      <c r="D45" s="117" t="str">
        <f t="shared" si="5"/>
        <v>_lis6_back</v>
      </c>
      <c r="E45" s="94"/>
      <c r="F45" s="94"/>
      <c r="G45" s="94" t="str">
        <f t="shared" si="4"/>
        <v xml:space="preserve">SELECT * INTO _lis6_back FROM </v>
      </c>
      <c r="H45" s="94"/>
    </row>
    <row r="46" spans="3:8">
      <c r="C46" s="94"/>
      <c r="D46" s="117" t="str">
        <f t="shared" si="5"/>
        <v>_lis6_back</v>
      </c>
      <c r="E46" s="94"/>
      <c r="F46" s="94"/>
      <c r="G46" s="94"/>
      <c r="H46" s="94"/>
    </row>
    <row r="47" spans="3:8">
      <c r="C47" s="94"/>
      <c r="D47" s="117" t="str">
        <f t="shared" si="5"/>
        <v>_lis6_back</v>
      </c>
      <c r="E47" s="94"/>
      <c r="F47" s="94"/>
      <c r="G47" s="94"/>
      <c r="H47" s="94"/>
    </row>
    <row r="48" spans="3:8">
      <c r="C48" s="94"/>
      <c r="D48" s="117" t="str">
        <f t="shared" si="5"/>
        <v>_lis6_back</v>
      </c>
      <c r="E48" s="94"/>
      <c r="F48" s="94"/>
      <c r="G48" s="94"/>
      <c r="H48" s="94"/>
    </row>
    <row r="49" spans="3:8">
      <c r="C49" s="94"/>
      <c r="D49" s="117" t="str">
        <f t="shared" si="5"/>
        <v>_lis6_back</v>
      </c>
      <c r="E49" s="94"/>
      <c r="F49" s="94"/>
      <c r="G49" s="94"/>
      <c r="H49" s="94"/>
    </row>
    <row r="50" spans="3:8">
      <c r="C50" s="94"/>
      <c r="D50" s="117" t="str">
        <f t="shared" si="5"/>
        <v>_lis6_back</v>
      </c>
      <c r="E50" s="94"/>
      <c r="F50" s="94"/>
      <c r="G50" s="94"/>
      <c r="H50" s="94"/>
    </row>
    <row r="51" spans="3:8">
      <c r="C51" s="94"/>
      <c r="D51" s="117" t="str">
        <f t="shared" si="5"/>
        <v>_lis6_back</v>
      </c>
      <c r="E51" s="94"/>
      <c r="F51" s="94"/>
      <c r="G51" s="94"/>
      <c r="H51" s="94"/>
    </row>
    <row r="52" spans="3:8">
      <c r="C52" s="94"/>
      <c r="D52" s="117" t="str">
        <f t="shared" si="5"/>
        <v>_lis6_back</v>
      </c>
      <c r="E52" s="94"/>
      <c r="F52" s="94"/>
      <c r="G52" s="94"/>
      <c r="H52" s="94"/>
    </row>
    <row r="53" spans="3:8">
      <c r="C53" s="94"/>
      <c r="D53" s="117" t="str">
        <f t="shared" si="5"/>
        <v>_lis6_back</v>
      </c>
      <c r="E53" s="94"/>
      <c r="F53" s="94"/>
      <c r="G53" s="94"/>
      <c r="H53" s="94"/>
    </row>
    <row r="54" spans="3:8">
      <c r="C54" s="94"/>
      <c r="D54" s="117" t="str">
        <f t="shared" si="5"/>
        <v>_lis6_back</v>
      </c>
      <c r="E54" s="94"/>
      <c r="F54" s="94"/>
      <c r="G54" s="94"/>
      <c r="H54" s="94"/>
    </row>
    <row r="55" spans="3:8">
      <c r="C55" s="94"/>
      <c r="D55" s="117" t="str">
        <f t="shared" si="5"/>
        <v>_lis6_back</v>
      </c>
      <c r="E55" s="94"/>
      <c r="F55" s="94"/>
      <c r="G55" s="94"/>
      <c r="H55" s="94"/>
    </row>
    <row r="56" spans="3:8">
      <c r="C56" s="94"/>
      <c r="D56" s="117" t="str">
        <f t="shared" si="5"/>
        <v>_lis6_back</v>
      </c>
      <c r="E56" s="94"/>
      <c r="F56" s="94"/>
      <c r="G56" s="94"/>
      <c r="H56" s="94"/>
    </row>
    <row r="57" spans="3:8">
      <c r="C57" s="94"/>
      <c r="D57" s="117" t="str">
        <f t="shared" si="5"/>
        <v>_lis6_back</v>
      </c>
      <c r="E57" s="94"/>
      <c r="F57" s="94"/>
      <c r="G57" s="94"/>
      <c r="H57" s="94"/>
    </row>
    <row r="58" spans="3:8">
      <c r="C58" s="94"/>
      <c r="D58" s="117" t="str">
        <f t="shared" si="5"/>
        <v>_lis6_back</v>
      </c>
      <c r="E58" s="94"/>
      <c r="F58" s="94"/>
      <c r="G58" s="94"/>
      <c r="H58" s="94"/>
    </row>
    <row r="59" spans="3:8">
      <c r="C59" s="94"/>
      <c r="D59" s="117" t="str">
        <f t="shared" si="5"/>
        <v>_lis6_back</v>
      </c>
      <c r="E59" s="94"/>
      <c r="F59" s="94"/>
      <c r="G59" s="94"/>
      <c r="H59" s="94"/>
    </row>
    <row r="60" spans="3:8">
      <c r="C60" s="94"/>
      <c r="D60" s="117" t="str">
        <f t="shared" si="5"/>
        <v>_lis6_back</v>
      </c>
      <c r="E60" s="94"/>
      <c r="F60" s="94"/>
      <c r="G60" s="94"/>
      <c r="H60" s="94"/>
    </row>
    <row r="61" spans="3:8">
      <c r="C61" s="94"/>
      <c r="D61" s="117" t="str">
        <f t="shared" si="5"/>
        <v>_lis6_back</v>
      </c>
      <c r="E61" s="94"/>
      <c r="F61" s="94"/>
      <c r="G61" s="94"/>
      <c r="H61" s="94"/>
    </row>
    <row r="62" spans="3:8">
      <c r="C62" s="94"/>
      <c r="D62" s="117" t="str">
        <f t="shared" si="5"/>
        <v>_lis6_back</v>
      </c>
      <c r="E62" s="94"/>
      <c r="F62" s="94"/>
      <c r="G62" s="94"/>
      <c r="H62" s="94"/>
    </row>
    <row r="63" spans="3:8">
      <c r="C63" s="94"/>
      <c r="D63" s="117" t="str">
        <f t="shared" si="5"/>
        <v>_lis6_back</v>
      </c>
      <c r="E63" s="94"/>
      <c r="F63" s="94"/>
      <c r="G63" s="94"/>
      <c r="H63" s="94"/>
    </row>
    <row r="64" spans="3:8">
      <c r="C64" s="94"/>
      <c r="D64" s="117" t="str">
        <f t="shared" si="5"/>
        <v>_lis6_back</v>
      </c>
      <c r="E64" s="94"/>
      <c r="F64" s="94"/>
      <c r="G64" s="94"/>
      <c r="H64" s="94"/>
    </row>
    <row r="65" spans="3:8">
      <c r="C65" s="94"/>
      <c r="D65" s="117" t="str">
        <f t="shared" si="5"/>
        <v>_lis6_back</v>
      </c>
      <c r="E65" s="94"/>
      <c r="F65" s="94"/>
      <c r="G65" s="94"/>
      <c r="H65" s="94"/>
    </row>
    <row r="66" spans="3:8">
      <c r="C66" s="94"/>
      <c r="D66" s="117" t="str">
        <f t="shared" si="5"/>
        <v>_lis6_back</v>
      </c>
      <c r="E66" s="94"/>
      <c r="F66" s="94"/>
      <c r="G66" s="94"/>
      <c r="H66" s="94"/>
    </row>
    <row r="67" spans="3:8">
      <c r="C67" s="94"/>
      <c r="D67" s="117" t="str">
        <f t="shared" si="5"/>
        <v>_lis6_back</v>
      </c>
      <c r="E67" s="94"/>
      <c r="F67" s="94"/>
      <c r="G67" s="94"/>
      <c r="H67" s="94"/>
    </row>
    <row r="68" spans="3:8">
      <c r="C68" s="94"/>
      <c r="D68" s="117" t="str">
        <f t="shared" si="5"/>
        <v>_lis6_back</v>
      </c>
      <c r="E68" s="94"/>
      <c r="F68" s="94"/>
      <c r="G68" s="94"/>
      <c r="H68" s="94"/>
    </row>
    <row r="69" spans="3:8">
      <c r="C69" s="94"/>
      <c r="D69" s="94"/>
      <c r="E69" s="94"/>
      <c r="F69" s="94"/>
      <c r="G69" s="94"/>
      <c r="H69" s="94"/>
    </row>
    <row r="70" spans="3:8">
      <c r="C70" s="94"/>
      <c r="D70" s="94"/>
      <c r="E70" s="94"/>
      <c r="F70" s="94"/>
      <c r="G70" s="94"/>
      <c r="H70" s="94"/>
    </row>
    <row r="71" spans="3:8">
      <c r="C71" s="94"/>
      <c r="D71" s="94"/>
      <c r="E71" s="94"/>
      <c r="F71" s="94"/>
      <c r="G71" s="94"/>
      <c r="H71" s="94"/>
    </row>
    <row r="72" spans="3:8">
      <c r="C72" s="94"/>
      <c r="D72" s="94"/>
      <c r="E72" s="94"/>
      <c r="F72" s="94"/>
      <c r="G72" s="94"/>
      <c r="H72" s="94"/>
    </row>
    <row r="73" spans="3:8">
      <c r="C73" s="94"/>
      <c r="D73" s="94"/>
      <c r="E73" s="94"/>
      <c r="F73" s="94"/>
      <c r="G73" s="94"/>
      <c r="H73" s="94"/>
    </row>
    <row r="74" spans="3:8">
      <c r="C74" s="94"/>
      <c r="D74" s="94"/>
      <c r="E74" s="94"/>
      <c r="F74" s="94"/>
      <c r="G74" s="94"/>
      <c r="H74" s="94"/>
    </row>
    <row r="75" spans="3:8">
      <c r="C75" s="94"/>
      <c r="D75" s="94"/>
      <c r="E75" s="94"/>
      <c r="F75" s="94"/>
      <c r="G75" s="94"/>
      <c r="H75" s="94"/>
    </row>
    <row r="76" spans="3:8">
      <c r="C76" s="94"/>
      <c r="D76" s="94"/>
      <c r="E76" s="94"/>
      <c r="F76" s="94"/>
      <c r="G76" s="94"/>
      <c r="H76" s="94"/>
    </row>
    <row r="77" spans="3:8">
      <c r="C77" s="94"/>
      <c r="D77" s="94"/>
      <c r="E77" s="94"/>
      <c r="F77" s="94"/>
      <c r="G77" s="94"/>
      <c r="H77" s="94"/>
    </row>
    <row r="78" spans="3:8">
      <c r="C78" s="94"/>
      <c r="D78" s="94"/>
      <c r="E78" s="94"/>
      <c r="F78" s="94"/>
      <c r="G78" s="94"/>
      <c r="H78" s="94"/>
    </row>
    <row r="79" spans="3:8">
      <c r="C79" s="94"/>
      <c r="D79" s="94"/>
      <c r="E79" s="94"/>
      <c r="F79" s="94"/>
      <c r="G79" s="94"/>
      <c r="H79" s="94"/>
    </row>
    <row r="80" spans="3:8">
      <c r="C80" s="94"/>
      <c r="D80" s="94"/>
      <c r="E80" s="94"/>
      <c r="F80" s="94"/>
      <c r="G80" s="94"/>
      <c r="H80" s="94"/>
    </row>
    <row r="81" spans="3:8">
      <c r="C81" s="94"/>
      <c r="D81" s="94"/>
      <c r="E81" s="94"/>
      <c r="F81" s="94"/>
      <c r="G81" s="94"/>
      <c r="H81" s="94"/>
    </row>
    <row r="82" spans="3:8">
      <c r="C82" s="94"/>
      <c r="D82" s="94"/>
      <c r="E82" s="94"/>
      <c r="F82" s="94"/>
      <c r="G82" s="94"/>
      <c r="H82" s="94"/>
    </row>
    <row r="83" spans="3:8">
      <c r="C83" s="94"/>
      <c r="D83" s="94"/>
      <c r="E83" s="94"/>
      <c r="F83" s="94"/>
      <c r="G83" s="94"/>
      <c r="H83" s="94"/>
    </row>
    <row r="84" spans="3:8">
      <c r="C84" s="94"/>
      <c r="D84" s="94"/>
      <c r="E84" s="94"/>
      <c r="F84" s="94"/>
      <c r="G84" s="94"/>
      <c r="H84" s="94"/>
    </row>
    <row r="85" spans="3:8">
      <c r="C85" s="94"/>
      <c r="D85" s="94"/>
      <c r="E85" s="94"/>
      <c r="F85" s="94"/>
      <c r="G85" s="94"/>
      <c r="H85" s="94"/>
    </row>
    <row r="86" spans="3:8">
      <c r="C86" s="94"/>
      <c r="D86" s="94"/>
      <c r="E86" s="94"/>
      <c r="F86" s="94"/>
      <c r="G86" s="94"/>
      <c r="H86" s="94"/>
    </row>
    <row r="87" spans="3:8">
      <c r="C87" s="94"/>
      <c r="D87" s="94"/>
      <c r="E87" s="94"/>
      <c r="F87" s="94"/>
      <c r="G87" s="94"/>
      <c r="H87" s="94"/>
    </row>
    <row r="88" spans="3:8">
      <c r="C88" s="94"/>
      <c r="D88" s="94"/>
      <c r="E88" s="94"/>
      <c r="F88" s="94"/>
      <c r="G88" s="94"/>
      <c r="H88" s="94"/>
    </row>
    <row r="89" spans="3:8">
      <c r="C89" s="94"/>
      <c r="D89" s="94"/>
      <c r="E89" s="94"/>
      <c r="F89" s="94"/>
      <c r="G89" s="94"/>
      <c r="H89" s="94"/>
    </row>
    <row r="90" spans="3:8">
      <c r="C90" s="94"/>
      <c r="D90" s="94"/>
      <c r="E90" s="94"/>
      <c r="F90" s="94"/>
      <c r="G90" s="94"/>
      <c r="H90" s="94"/>
    </row>
    <row r="91" spans="3:8">
      <c r="C91" s="94"/>
      <c r="D91" s="94"/>
      <c r="E91" s="94"/>
      <c r="F91" s="94"/>
      <c r="G91" s="94"/>
      <c r="H91" s="94"/>
    </row>
    <row r="92" spans="3:8">
      <c r="C92" s="94"/>
      <c r="D92" s="94"/>
      <c r="E92" s="94"/>
      <c r="F92" s="94"/>
      <c r="G92" s="94"/>
      <c r="H92" s="94"/>
    </row>
    <row r="93" spans="3:8">
      <c r="C93" s="94"/>
      <c r="D93" s="94"/>
      <c r="E93" s="94"/>
      <c r="F93" s="94"/>
      <c r="G93" s="94"/>
      <c r="H93" s="94"/>
    </row>
    <row r="94" spans="3:8">
      <c r="C94" s="94"/>
      <c r="D94" s="94"/>
      <c r="E94" s="94"/>
      <c r="F94" s="94"/>
      <c r="G94" s="94"/>
      <c r="H94" s="94"/>
    </row>
    <row r="95" spans="3:8">
      <c r="C95" s="94"/>
      <c r="D95" s="94"/>
      <c r="E95" s="94"/>
      <c r="F95" s="94"/>
      <c r="G95" s="94"/>
      <c r="H95" s="94"/>
    </row>
    <row r="96" spans="3:8">
      <c r="C96" s="94"/>
      <c r="D96" s="94"/>
      <c r="E96" s="94"/>
      <c r="F96" s="94"/>
      <c r="G96" s="94"/>
      <c r="H96" s="94"/>
    </row>
    <row r="97" spans="3:8">
      <c r="C97" s="94"/>
      <c r="D97" s="94"/>
      <c r="E97" s="94"/>
      <c r="F97" s="94"/>
      <c r="G97" s="94"/>
      <c r="H97" s="94"/>
    </row>
    <row r="98" spans="3:8">
      <c r="C98" s="94"/>
      <c r="D98" s="94"/>
      <c r="E98" s="94"/>
      <c r="F98" s="94"/>
      <c r="G98" s="94"/>
      <c r="H98" s="94"/>
    </row>
    <row r="99" spans="3:8">
      <c r="C99" s="94"/>
      <c r="D99" s="94"/>
      <c r="E99" s="94"/>
      <c r="F99" s="94"/>
      <c r="G99" s="94"/>
      <c r="H99" s="94"/>
    </row>
    <row r="100" spans="3:8">
      <c r="C100" s="94"/>
      <c r="D100" s="94"/>
      <c r="E100" s="94"/>
      <c r="F100" s="94"/>
      <c r="G100" s="94"/>
      <c r="H100" s="94"/>
    </row>
    <row r="101" spans="3:8">
      <c r="C101" s="94"/>
      <c r="D101" s="94"/>
      <c r="E101" s="94"/>
      <c r="F101" s="94"/>
      <c r="G101" s="94"/>
      <c r="H101" s="94"/>
    </row>
    <row r="102" spans="3:8">
      <c r="C102" s="94"/>
      <c r="D102" s="94"/>
      <c r="E102" s="94"/>
      <c r="F102" s="94"/>
      <c r="G102" s="94"/>
      <c r="H102" s="94"/>
    </row>
    <row r="103" spans="3:8">
      <c r="C103" s="94"/>
      <c r="D103" s="94"/>
      <c r="E103" s="94"/>
      <c r="F103" s="94"/>
      <c r="G103" s="94"/>
      <c r="H103" s="94"/>
    </row>
    <row r="104" spans="3:8">
      <c r="C104" s="94"/>
      <c r="D104" s="94"/>
      <c r="E104" s="94"/>
      <c r="F104" s="94"/>
      <c r="G104" s="94"/>
      <c r="H104" s="94"/>
    </row>
    <row r="105" spans="3:8">
      <c r="C105" s="94"/>
      <c r="D105" s="94"/>
      <c r="E105" s="94"/>
      <c r="F105" s="94"/>
      <c r="G105" s="94"/>
      <c r="H105" s="94"/>
    </row>
    <row r="106" spans="3:8">
      <c r="C106" s="94"/>
      <c r="D106" s="94"/>
      <c r="E106" s="94"/>
      <c r="F106" s="94"/>
      <c r="G106" s="94"/>
      <c r="H106" s="94"/>
    </row>
    <row r="107" spans="3:8">
      <c r="C107" s="94"/>
      <c r="D107" s="94"/>
      <c r="E107" s="94"/>
      <c r="F107" s="94"/>
      <c r="G107" s="94"/>
      <c r="H107" s="94"/>
    </row>
    <row r="108" spans="3:8">
      <c r="C108" s="94"/>
      <c r="D108" s="94"/>
      <c r="E108" s="94"/>
      <c r="F108" s="94"/>
      <c r="G108" s="94"/>
      <c r="H108" s="94"/>
    </row>
    <row r="109" spans="3:8">
      <c r="C109" s="94"/>
      <c r="D109" s="94"/>
      <c r="E109" s="94"/>
      <c r="F109" s="94"/>
      <c r="G109" s="94"/>
      <c r="H109" s="94"/>
    </row>
    <row r="110" spans="3:8">
      <c r="C110" s="94"/>
      <c r="D110" s="94"/>
      <c r="E110" s="94"/>
      <c r="F110" s="94"/>
      <c r="G110" s="94"/>
      <c r="H110" s="94"/>
    </row>
    <row r="111" spans="3:8">
      <c r="C111" s="94"/>
      <c r="D111" s="94"/>
      <c r="E111" s="94"/>
      <c r="F111" s="94"/>
      <c r="G111" s="94"/>
      <c r="H111" s="94"/>
    </row>
    <row r="112" spans="3:8">
      <c r="C112" s="94"/>
      <c r="D112" s="94"/>
      <c r="E112" s="94"/>
      <c r="F112" s="94"/>
      <c r="G112" s="94"/>
      <c r="H112" s="94"/>
    </row>
    <row r="113" spans="3:8">
      <c r="C113" s="94"/>
      <c r="D113" s="94"/>
      <c r="E113" s="94"/>
      <c r="F113" s="94"/>
      <c r="G113" s="94"/>
      <c r="H113" s="94"/>
    </row>
    <row r="114" spans="3:8">
      <c r="C114" s="94"/>
      <c r="D114" s="94"/>
      <c r="E114" s="94"/>
      <c r="F114" s="94"/>
      <c r="G114" s="94"/>
      <c r="H114" s="94"/>
    </row>
    <row r="115" spans="3:8">
      <c r="C115" s="94"/>
      <c r="D115" s="94"/>
      <c r="E115" s="94"/>
      <c r="F115" s="94"/>
      <c r="G115" s="94"/>
      <c r="H115" s="94"/>
    </row>
    <row r="116" spans="3:8">
      <c r="C116" s="94"/>
      <c r="D116" s="94"/>
      <c r="E116" s="94"/>
      <c r="F116" s="94"/>
      <c r="G116" s="94"/>
      <c r="H116" s="94"/>
    </row>
    <row r="117" spans="3:8">
      <c r="C117" s="94"/>
      <c r="D117" s="94"/>
      <c r="E117" s="94"/>
      <c r="F117" s="94"/>
      <c r="G117" s="94"/>
      <c r="H117" s="94"/>
    </row>
    <row r="118" spans="3:8">
      <c r="C118" s="94"/>
      <c r="D118" s="94"/>
      <c r="E118" s="94"/>
      <c r="F118" s="94"/>
      <c r="G118" s="94"/>
      <c r="H118" s="94"/>
    </row>
    <row r="119" spans="3:8">
      <c r="C119" s="94"/>
      <c r="D119" s="94"/>
      <c r="E119" s="94"/>
      <c r="F119" s="94"/>
      <c r="G119" s="94"/>
      <c r="H119" s="94"/>
    </row>
    <row r="120" spans="3:8">
      <c r="C120" s="94"/>
      <c r="D120" s="94"/>
      <c r="E120" s="94"/>
      <c r="F120" s="94"/>
      <c r="G120" s="94"/>
      <c r="H120" s="94"/>
    </row>
    <row r="121" spans="3:8">
      <c r="C121" s="94"/>
      <c r="D121" s="94"/>
      <c r="E121" s="94"/>
      <c r="F121" s="94"/>
      <c r="G121" s="94"/>
      <c r="H121" s="94"/>
    </row>
    <row r="122" spans="3:8">
      <c r="C122" s="94"/>
      <c r="D122" s="94"/>
      <c r="E122" s="94"/>
      <c r="F122" s="94"/>
      <c r="G122" s="94"/>
      <c r="H122" s="94"/>
    </row>
    <row r="123" spans="3:8">
      <c r="C123" s="94"/>
      <c r="D123" s="94"/>
      <c r="E123" s="94"/>
      <c r="F123" s="94"/>
      <c r="G123" s="94"/>
      <c r="H123" s="94"/>
    </row>
    <row r="124" spans="3:8">
      <c r="C124" s="94"/>
      <c r="D124" s="94"/>
      <c r="E124" s="94"/>
      <c r="F124" s="94"/>
      <c r="G124" s="94"/>
      <c r="H124" s="94"/>
    </row>
    <row r="125" spans="3:8">
      <c r="C125" s="94"/>
      <c r="D125" s="94"/>
      <c r="E125" s="94"/>
      <c r="F125" s="94"/>
      <c r="G125" s="94"/>
      <c r="H125" s="94"/>
    </row>
    <row r="126" spans="3:8">
      <c r="C126" s="94"/>
      <c r="D126" s="94"/>
      <c r="E126" s="94"/>
      <c r="F126" s="94"/>
      <c r="G126" s="94"/>
      <c r="H126" s="94"/>
    </row>
    <row r="127" spans="3:8">
      <c r="C127" s="94"/>
      <c r="D127" s="94"/>
      <c r="E127" s="94"/>
      <c r="F127" s="94"/>
      <c r="G127" s="94"/>
      <c r="H127" s="94"/>
    </row>
    <row r="128" spans="3:8">
      <c r="C128" s="94"/>
      <c r="D128" s="94"/>
      <c r="E128" s="94"/>
      <c r="F128" s="94"/>
      <c r="G128" s="94"/>
      <c r="H128" s="94"/>
    </row>
    <row r="129" spans="3:8">
      <c r="C129" s="94"/>
      <c r="D129" s="94"/>
      <c r="E129" s="94"/>
      <c r="F129" s="94"/>
      <c r="G129" s="94"/>
      <c r="H129" s="94"/>
    </row>
    <row r="130" spans="3:8">
      <c r="C130" s="94"/>
      <c r="D130" s="94"/>
      <c r="E130" s="94"/>
      <c r="F130" s="94"/>
      <c r="G130" s="94"/>
      <c r="H130" s="94"/>
    </row>
    <row r="131" spans="3:8">
      <c r="C131" s="94"/>
      <c r="D131" s="94"/>
      <c r="E131" s="94"/>
      <c r="F131" s="94"/>
      <c r="G131" s="94"/>
      <c r="H131" s="94"/>
    </row>
    <row r="132" spans="3:8">
      <c r="C132" s="94"/>
      <c r="D132" s="94"/>
      <c r="E132" s="94"/>
      <c r="F132" s="94"/>
      <c r="G132" s="94"/>
      <c r="H132" s="94"/>
    </row>
    <row r="133" spans="3:8">
      <c r="C133" s="94"/>
      <c r="D133" s="94"/>
      <c r="E133" s="94"/>
      <c r="F133" s="94"/>
      <c r="G133" s="94"/>
      <c r="H133" s="94"/>
    </row>
    <row r="134" spans="3:8">
      <c r="C134" s="94"/>
      <c r="D134" s="94"/>
      <c r="E134" s="94"/>
      <c r="F134" s="94"/>
      <c r="G134" s="94"/>
      <c r="H134" s="94"/>
    </row>
    <row r="135" spans="3:8">
      <c r="C135" s="94"/>
      <c r="D135" s="94"/>
      <c r="E135" s="94"/>
      <c r="F135" s="94"/>
      <c r="G135" s="94"/>
      <c r="H135" s="94"/>
    </row>
    <row r="136" spans="3:8">
      <c r="C136" s="94"/>
      <c r="D136" s="94"/>
      <c r="E136" s="94"/>
      <c r="F136" s="94"/>
      <c r="G136" s="94"/>
      <c r="H136" s="94"/>
    </row>
    <row r="137" spans="3:8">
      <c r="C137" s="94"/>
      <c r="D137" s="94"/>
      <c r="E137" s="94"/>
      <c r="F137" s="94"/>
      <c r="G137" s="94"/>
      <c r="H137" s="94"/>
    </row>
    <row r="138" spans="3:8">
      <c r="C138" s="94"/>
      <c r="D138" s="94"/>
      <c r="E138" s="94"/>
      <c r="F138" s="94"/>
      <c r="G138" s="94"/>
      <c r="H138" s="94"/>
    </row>
    <row r="139" spans="3:8">
      <c r="C139" s="94"/>
      <c r="D139" s="94"/>
      <c r="E139" s="94"/>
      <c r="F139" s="94"/>
      <c r="G139" s="94"/>
      <c r="H139" s="94"/>
    </row>
    <row r="140" spans="3:8">
      <c r="C140" s="94"/>
      <c r="D140" s="94"/>
      <c r="E140" s="94"/>
      <c r="F140" s="94"/>
      <c r="G140" s="94"/>
      <c r="H140" s="94"/>
    </row>
    <row r="141" spans="3:8">
      <c r="C141" s="94"/>
      <c r="D141" s="94"/>
      <c r="E141" s="94"/>
      <c r="F141" s="94"/>
      <c r="G141" s="94"/>
      <c r="H141" s="94"/>
    </row>
    <row r="142" spans="3:8">
      <c r="C142" s="94"/>
      <c r="D142" s="94"/>
      <c r="E142" s="94"/>
      <c r="F142" s="94"/>
      <c r="G142" s="94"/>
      <c r="H142" s="94"/>
    </row>
    <row r="143" spans="3:8">
      <c r="C143" s="94"/>
      <c r="D143" s="94"/>
      <c r="E143" s="94"/>
      <c r="F143" s="94"/>
      <c r="G143" s="94"/>
      <c r="H143" s="94"/>
    </row>
    <row r="144" spans="3:8">
      <c r="C144" s="94"/>
      <c r="D144" s="94"/>
      <c r="E144" s="94"/>
      <c r="F144" s="94"/>
      <c r="G144" s="94"/>
      <c r="H144" s="94"/>
    </row>
    <row r="145" spans="3:8">
      <c r="C145" s="94"/>
      <c r="D145" s="94"/>
      <c r="E145" s="94"/>
      <c r="F145" s="94"/>
      <c r="G145" s="94"/>
      <c r="H145" s="94"/>
    </row>
    <row r="146" spans="3:8">
      <c r="C146" s="94"/>
      <c r="D146" s="94"/>
      <c r="E146" s="94"/>
      <c r="F146" s="94"/>
      <c r="G146" s="94"/>
      <c r="H146" s="94"/>
    </row>
    <row r="147" spans="3:8">
      <c r="C147" s="94"/>
      <c r="D147" s="94"/>
      <c r="E147" s="94"/>
      <c r="F147" s="94"/>
      <c r="G147" s="94"/>
      <c r="H147" s="94"/>
    </row>
    <row r="148" spans="3:8">
      <c r="C148" s="94"/>
      <c r="D148" s="94"/>
      <c r="E148" s="94"/>
      <c r="F148" s="94"/>
      <c r="G148" s="94"/>
      <c r="H148" s="94"/>
    </row>
    <row r="149" spans="3:8">
      <c r="C149" s="94"/>
      <c r="D149" s="94"/>
      <c r="E149" s="94"/>
      <c r="F149" s="94"/>
      <c r="G149" s="94"/>
      <c r="H149" s="94"/>
    </row>
    <row r="150" spans="3:8">
      <c r="C150" s="94"/>
      <c r="D150" s="94"/>
      <c r="E150" s="94"/>
      <c r="F150" s="94"/>
      <c r="G150" s="94"/>
      <c r="H150" s="94"/>
    </row>
    <row r="151" spans="3:8">
      <c r="C151" s="94"/>
      <c r="D151" s="94"/>
      <c r="E151" s="94"/>
      <c r="F151" s="94"/>
      <c r="G151" s="94"/>
      <c r="H151" s="94"/>
    </row>
    <row r="152" spans="3:8">
      <c r="C152" s="94"/>
      <c r="D152" s="94"/>
      <c r="E152" s="94"/>
      <c r="F152" s="94"/>
      <c r="G152" s="94"/>
      <c r="H152" s="94"/>
    </row>
    <row r="153" spans="3:8">
      <c r="C153" s="94"/>
      <c r="D153" s="94"/>
      <c r="E153" s="94"/>
      <c r="F153" s="94"/>
      <c r="G153" s="94"/>
      <c r="H153" s="94"/>
    </row>
    <row r="154" spans="3:8">
      <c r="C154" s="94"/>
      <c r="D154" s="94"/>
      <c r="E154" s="94"/>
      <c r="F154" s="94"/>
      <c r="G154" s="94"/>
      <c r="H154" s="94"/>
    </row>
    <row r="155" spans="3:8">
      <c r="C155" s="94"/>
      <c r="D155" s="94"/>
      <c r="E155" s="94"/>
      <c r="F155" s="94"/>
      <c r="G155" s="94"/>
      <c r="H155" s="94"/>
    </row>
    <row r="156" spans="3:8">
      <c r="C156" s="94"/>
      <c r="D156" s="94"/>
      <c r="E156" s="94"/>
      <c r="F156" s="94"/>
      <c r="G156" s="94"/>
      <c r="H156" s="94"/>
    </row>
    <row r="157" spans="3:8">
      <c r="C157" s="94"/>
      <c r="D157" s="94"/>
      <c r="E157" s="94"/>
      <c r="F157" s="94"/>
      <c r="G157" s="94"/>
      <c r="H157" s="94"/>
    </row>
    <row r="158" spans="3:8">
      <c r="C158" s="94"/>
      <c r="D158" s="94"/>
      <c r="E158" s="94"/>
      <c r="F158" s="94"/>
      <c r="G158" s="94"/>
      <c r="H158" s="94"/>
    </row>
    <row r="159" spans="3:8">
      <c r="C159" s="94"/>
      <c r="D159" s="94"/>
      <c r="E159" s="94"/>
      <c r="F159" s="94"/>
      <c r="G159" s="94"/>
      <c r="H159" s="94"/>
    </row>
    <row r="160" spans="3:8">
      <c r="C160" s="94"/>
      <c r="D160" s="94"/>
      <c r="E160" s="94"/>
      <c r="F160" s="94"/>
      <c r="G160" s="94"/>
      <c r="H160" s="94"/>
    </row>
    <row r="161" spans="3:8">
      <c r="C161" s="94"/>
      <c r="D161" s="94"/>
      <c r="E161" s="94"/>
      <c r="F161" s="94"/>
      <c r="G161" s="94"/>
      <c r="H161" s="94"/>
    </row>
    <row r="162" spans="3:8">
      <c r="C162" s="94"/>
      <c r="D162" s="94"/>
      <c r="E162" s="94"/>
      <c r="F162" s="94"/>
      <c r="G162" s="94"/>
      <c r="H162" s="94"/>
    </row>
    <row r="163" spans="3:8">
      <c r="C163" s="94"/>
      <c r="D163" s="94"/>
      <c r="E163" s="94"/>
      <c r="F163" s="94"/>
      <c r="G163" s="94"/>
      <c r="H163" s="94"/>
    </row>
    <row r="164" spans="3:8">
      <c r="C164" s="94"/>
      <c r="D164" s="94"/>
      <c r="E164" s="94"/>
      <c r="F164" s="94"/>
      <c r="G164" s="94"/>
      <c r="H164" s="94"/>
    </row>
    <row r="165" spans="3:8">
      <c r="C165" s="94"/>
      <c r="D165" s="94"/>
      <c r="E165" s="94"/>
      <c r="F165" s="94"/>
      <c r="G165" s="94"/>
      <c r="H165" s="94"/>
    </row>
    <row r="166" spans="3:8">
      <c r="C166" s="94"/>
      <c r="D166" s="94"/>
      <c r="E166" s="94"/>
      <c r="F166" s="94"/>
      <c r="G166" s="94"/>
      <c r="H166" s="94"/>
    </row>
    <row r="167" spans="3:8">
      <c r="C167" s="94"/>
      <c r="D167" s="94"/>
      <c r="E167" s="94"/>
      <c r="F167" s="94"/>
      <c r="G167" s="94"/>
      <c r="H167" s="94"/>
    </row>
    <row r="168" spans="3:8">
      <c r="C168" s="94"/>
      <c r="D168" s="94"/>
      <c r="E168" s="94"/>
      <c r="F168" s="94"/>
      <c r="G168" s="94"/>
      <c r="H168" s="94"/>
    </row>
    <row r="169" spans="3:8">
      <c r="C169" s="94"/>
      <c r="D169" s="94"/>
      <c r="E169" s="94"/>
      <c r="F169" s="94"/>
      <c r="G169" s="94"/>
      <c r="H169" s="94"/>
    </row>
    <row r="170" spans="3:8">
      <c r="C170" s="94"/>
      <c r="D170" s="94"/>
      <c r="E170" s="94"/>
      <c r="F170" s="94"/>
      <c r="G170" s="94"/>
      <c r="H170" s="94"/>
    </row>
    <row r="171" spans="3:8">
      <c r="C171" s="94"/>
      <c r="D171" s="94"/>
      <c r="E171" s="94"/>
      <c r="F171" s="94"/>
      <c r="G171" s="94"/>
      <c r="H171" s="94"/>
    </row>
    <row r="172" spans="3:8">
      <c r="C172" s="94"/>
      <c r="D172" s="94"/>
      <c r="E172" s="94"/>
      <c r="F172" s="94"/>
      <c r="G172" s="94"/>
      <c r="H172" s="94"/>
    </row>
    <row r="173" spans="3:8">
      <c r="C173" s="94"/>
      <c r="D173" s="94"/>
      <c r="E173" s="94"/>
      <c r="F173" s="94"/>
      <c r="G173" s="94"/>
      <c r="H173" s="94"/>
    </row>
    <row r="174" spans="3:8">
      <c r="C174" s="94"/>
      <c r="D174" s="94"/>
      <c r="E174" s="94"/>
      <c r="F174" s="94"/>
      <c r="G174" s="94"/>
      <c r="H174" s="94"/>
    </row>
    <row r="175" spans="3:8">
      <c r="C175" s="94"/>
      <c r="D175" s="94"/>
      <c r="E175" s="94"/>
      <c r="F175" s="94"/>
      <c r="G175" s="94"/>
      <c r="H175" s="94"/>
    </row>
    <row r="176" spans="3:8">
      <c r="C176" s="94"/>
      <c r="D176" s="94"/>
      <c r="E176" s="94"/>
      <c r="F176" s="94"/>
      <c r="G176" s="94"/>
      <c r="H176" s="94"/>
    </row>
    <row r="177" spans="3:8">
      <c r="C177" s="94"/>
      <c r="D177" s="94"/>
      <c r="E177" s="94"/>
      <c r="F177" s="94"/>
      <c r="G177" s="94"/>
      <c r="H177" s="94"/>
    </row>
    <row r="178" spans="3:8">
      <c r="C178" s="94"/>
      <c r="D178" s="94"/>
      <c r="E178" s="94"/>
      <c r="F178" s="94"/>
      <c r="G178" s="94"/>
      <c r="H178" s="94"/>
    </row>
    <row r="179" spans="3:8">
      <c r="C179" s="94"/>
      <c r="D179" s="94"/>
      <c r="E179" s="94"/>
      <c r="F179" s="94"/>
      <c r="G179" s="94"/>
      <c r="H179" s="94"/>
    </row>
    <row r="180" spans="3:8">
      <c r="C180" s="94"/>
      <c r="D180" s="94"/>
      <c r="E180" s="94"/>
      <c r="F180" s="94"/>
      <c r="G180" s="94"/>
      <c r="H180" s="94"/>
    </row>
    <row r="181" spans="3:8">
      <c r="C181" s="94"/>
      <c r="D181" s="94"/>
      <c r="E181" s="94"/>
      <c r="F181" s="94"/>
      <c r="G181" s="94"/>
      <c r="H181" s="94"/>
    </row>
    <row r="182" spans="3:8">
      <c r="C182" s="94"/>
      <c r="D182" s="94"/>
      <c r="E182" s="94"/>
      <c r="F182" s="94"/>
      <c r="G182" s="94"/>
      <c r="H182" s="94"/>
    </row>
    <row r="183" spans="3:8">
      <c r="C183" s="94"/>
      <c r="D183" s="94"/>
      <c r="E183" s="94"/>
      <c r="F183" s="94"/>
      <c r="G183" s="94"/>
      <c r="H183" s="94"/>
    </row>
    <row r="184" spans="3:8">
      <c r="C184" s="94"/>
      <c r="D184" s="94"/>
      <c r="E184" s="94"/>
      <c r="F184" s="94"/>
      <c r="G184" s="94"/>
      <c r="H184" s="94"/>
    </row>
    <row r="185" spans="3:8">
      <c r="C185" s="94"/>
      <c r="D185" s="94"/>
      <c r="E185" s="94"/>
      <c r="F185" s="94"/>
      <c r="G185" s="94"/>
      <c r="H185" s="94"/>
    </row>
    <row r="186" spans="3:8">
      <c r="C186" s="94"/>
      <c r="D186" s="94"/>
      <c r="E186" s="94"/>
      <c r="F186" s="94"/>
      <c r="G186" s="94"/>
      <c r="H186" s="94"/>
    </row>
    <row r="187" spans="3:8">
      <c r="C187" s="94"/>
      <c r="D187" s="94"/>
      <c r="E187" s="94"/>
      <c r="F187" s="94"/>
      <c r="G187" s="94"/>
      <c r="H187" s="94"/>
    </row>
    <row r="188" spans="3:8">
      <c r="C188" s="94"/>
      <c r="D188" s="94"/>
      <c r="E188" s="94"/>
      <c r="F188" s="94"/>
      <c r="G188" s="94"/>
      <c r="H188" s="94"/>
    </row>
    <row r="189" spans="3:8">
      <c r="C189" s="94"/>
      <c r="D189" s="94"/>
      <c r="E189" s="94"/>
      <c r="F189" s="94"/>
      <c r="G189" s="94"/>
      <c r="H189" s="94"/>
    </row>
    <row r="190" spans="3:8">
      <c r="C190" s="94"/>
      <c r="D190" s="94"/>
      <c r="E190" s="94"/>
      <c r="F190" s="94"/>
      <c r="G190" s="94"/>
      <c r="H190" s="94"/>
    </row>
    <row r="191" spans="3:8">
      <c r="C191" s="94"/>
      <c r="D191" s="94"/>
      <c r="E191" s="94"/>
      <c r="F191" s="94"/>
      <c r="G191" s="94"/>
      <c r="H191" s="94"/>
    </row>
    <row r="192" spans="3:8">
      <c r="C192" s="94"/>
      <c r="D192" s="94"/>
      <c r="E192" s="94"/>
      <c r="F192" s="94"/>
      <c r="G192" s="94"/>
      <c r="H192" s="94"/>
    </row>
    <row r="193" spans="3:8">
      <c r="C193" s="94"/>
      <c r="D193" s="94"/>
      <c r="E193" s="94"/>
      <c r="F193" s="94"/>
      <c r="G193" s="94"/>
      <c r="H193" s="94"/>
    </row>
    <row r="194" spans="3:8">
      <c r="C194" s="94"/>
      <c r="D194" s="94"/>
      <c r="E194" s="94"/>
      <c r="F194" s="94"/>
      <c r="G194" s="94"/>
      <c r="H194" s="94"/>
    </row>
    <row r="195" spans="3:8">
      <c r="C195" s="94"/>
      <c r="D195" s="94"/>
      <c r="E195" s="94"/>
      <c r="F195" s="94"/>
      <c r="G195" s="94"/>
      <c r="H195" s="94"/>
    </row>
    <row r="196" spans="3:8">
      <c r="C196" s="94"/>
      <c r="D196" s="94"/>
      <c r="E196" s="94"/>
      <c r="F196" s="94"/>
      <c r="G196" s="94"/>
      <c r="H196" s="94"/>
    </row>
    <row r="197" spans="3:8">
      <c r="C197" s="94"/>
      <c r="D197" s="94"/>
      <c r="E197" s="94"/>
      <c r="F197" s="94"/>
      <c r="G197" s="94"/>
      <c r="H197" s="94"/>
    </row>
    <row r="198" spans="3:8">
      <c r="C198" s="94"/>
      <c r="D198" s="94"/>
      <c r="E198" s="94"/>
      <c r="F198" s="94"/>
      <c r="G198" s="94"/>
      <c r="H198" s="94"/>
    </row>
    <row r="199" spans="3:8">
      <c r="C199" s="94"/>
      <c r="D199" s="94"/>
      <c r="E199" s="94"/>
      <c r="F199" s="94"/>
      <c r="G199" s="94"/>
      <c r="H199" s="94"/>
    </row>
    <row r="200" spans="3:8">
      <c r="C200" s="94"/>
      <c r="D200" s="94"/>
      <c r="E200" s="94"/>
      <c r="F200" s="94"/>
      <c r="G200" s="94"/>
      <c r="H200" s="94"/>
    </row>
    <row r="201" spans="3:8">
      <c r="C201" s="94"/>
      <c r="D201" s="94"/>
      <c r="E201" s="94"/>
      <c r="F201" s="94"/>
      <c r="G201" s="94"/>
      <c r="H201" s="94"/>
    </row>
    <row r="202" spans="3:8">
      <c r="C202" s="94"/>
      <c r="D202" s="94"/>
      <c r="E202" s="94"/>
      <c r="F202" s="94"/>
      <c r="G202" s="94"/>
      <c r="H202" s="94"/>
    </row>
    <row r="203" spans="3:8">
      <c r="C203" s="94"/>
      <c r="D203" s="94"/>
      <c r="E203" s="94"/>
      <c r="F203" s="94"/>
      <c r="G203" s="94"/>
      <c r="H203" s="94"/>
    </row>
    <row r="204" spans="3:8">
      <c r="C204" s="94"/>
      <c r="D204" s="94"/>
      <c r="E204" s="94"/>
      <c r="F204" s="94"/>
      <c r="G204" s="94"/>
      <c r="H204" s="94"/>
    </row>
    <row r="205" spans="3:8">
      <c r="C205" s="94"/>
      <c r="D205" s="94"/>
      <c r="E205" s="94"/>
      <c r="F205" s="94"/>
      <c r="G205" s="94"/>
      <c r="H205" s="94"/>
    </row>
    <row r="206" spans="3:8">
      <c r="C206" s="94"/>
      <c r="D206" s="94"/>
      <c r="E206" s="94"/>
      <c r="F206" s="94"/>
      <c r="G206" s="94"/>
      <c r="H206" s="94"/>
    </row>
    <row r="207" spans="3:8">
      <c r="C207" s="94"/>
      <c r="D207" s="94"/>
      <c r="E207" s="94"/>
      <c r="F207" s="94"/>
      <c r="G207" s="94"/>
      <c r="H207" s="94"/>
    </row>
    <row r="208" spans="3:8">
      <c r="C208" s="94"/>
      <c r="D208" s="94"/>
      <c r="E208" s="94"/>
      <c r="F208" s="94"/>
      <c r="G208" s="94"/>
      <c r="H208" s="94"/>
    </row>
    <row r="209" spans="3:8">
      <c r="C209" s="94"/>
      <c r="D209" s="94"/>
      <c r="E209" s="94"/>
      <c r="F209" s="94"/>
      <c r="G209" s="94"/>
      <c r="H209" s="94"/>
    </row>
    <row r="210" spans="3:8">
      <c r="C210" s="94"/>
      <c r="D210" s="94"/>
      <c r="E210" s="94"/>
      <c r="F210" s="94"/>
      <c r="G210" s="94"/>
      <c r="H210" s="94"/>
    </row>
    <row r="211" spans="3:8">
      <c r="C211" s="94"/>
      <c r="D211" s="94"/>
      <c r="E211" s="94"/>
      <c r="F211" s="94"/>
      <c r="G211" s="94"/>
      <c r="H211" s="94"/>
    </row>
    <row r="212" spans="3:8">
      <c r="C212" s="94"/>
      <c r="D212" s="94"/>
      <c r="E212" s="94"/>
      <c r="F212" s="94"/>
      <c r="G212" s="94"/>
      <c r="H212" s="94"/>
    </row>
    <row r="213" spans="3:8">
      <c r="C213" s="94"/>
      <c r="D213" s="94"/>
      <c r="E213" s="94"/>
      <c r="F213" s="94"/>
      <c r="G213" s="94"/>
      <c r="H213" s="94"/>
    </row>
    <row r="214" spans="3:8">
      <c r="C214" s="94"/>
      <c r="D214" s="94"/>
      <c r="E214" s="94"/>
      <c r="F214" s="94"/>
      <c r="G214" s="94"/>
      <c r="H214" s="94"/>
    </row>
    <row r="215" spans="3:8">
      <c r="C215" s="94"/>
      <c r="D215" s="94"/>
      <c r="E215" s="94"/>
      <c r="F215" s="94"/>
      <c r="G215" s="94"/>
      <c r="H215" s="94"/>
    </row>
    <row r="216" spans="3:8">
      <c r="C216" s="94"/>
      <c r="D216" s="94"/>
      <c r="E216" s="94"/>
      <c r="F216" s="94"/>
      <c r="G216" s="94"/>
      <c r="H216" s="94"/>
    </row>
    <row r="217" spans="3:8">
      <c r="C217" s="94"/>
      <c r="D217" s="94"/>
      <c r="E217" s="94"/>
      <c r="F217" s="94"/>
      <c r="G217" s="94"/>
      <c r="H217" s="94"/>
    </row>
    <row r="218" spans="3:8">
      <c r="C218" s="94"/>
      <c r="D218" s="94"/>
      <c r="E218" s="94"/>
      <c r="F218" s="94"/>
      <c r="G218" s="94"/>
      <c r="H218" s="94"/>
    </row>
    <row r="219" spans="3:8">
      <c r="C219" s="94"/>
      <c r="D219" s="94"/>
      <c r="E219" s="94"/>
      <c r="F219" s="94"/>
      <c r="G219" s="94"/>
      <c r="H219" s="94"/>
    </row>
    <row r="220" spans="3:8">
      <c r="C220" s="94"/>
      <c r="D220" s="94"/>
      <c r="E220" s="94"/>
      <c r="F220" s="94"/>
      <c r="G220" s="94"/>
      <c r="H220" s="94"/>
    </row>
    <row r="221" spans="3:8">
      <c r="C221" s="94"/>
      <c r="D221" s="94"/>
      <c r="E221" s="94"/>
      <c r="F221" s="94"/>
      <c r="G221" s="94"/>
      <c r="H221" s="94"/>
    </row>
    <row r="222" spans="3:8">
      <c r="C222" s="94"/>
      <c r="D222" s="94"/>
      <c r="E222" s="94"/>
      <c r="F222" s="94"/>
      <c r="G222" s="94"/>
      <c r="H222" s="94"/>
    </row>
    <row r="223" spans="3:8">
      <c r="C223" s="94"/>
      <c r="D223" s="94"/>
      <c r="E223" s="94"/>
      <c r="F223" s="94"/>
      <c r="G223" s="94"/>
      <c r="H223" s="94"/>
    </row>
    <row r="224" spans="3:8">
      <c r="C224" s="94"/>
      <c r="D224" s="94"/>
      <c r="E224" s="94"/>
      <c r="F224" s="94"/>
      <c r="G224" s="94"/>
      <c r="H224" s="94"/>
    </row>
    <row r="225" spans="3:8">
      <c r="C225" s="94"/>
      <c r="D225" s="94"/>
      <c r="E225" s="94"/>
      <c r="F225" s="94"/>
      <c r="G225" s="94"/>
      <c r="H225" s="94"/>
    </row>
    <row r="226" spans="3:8">
      <c r="C226" s="94"/>
      <c r="D226" s="94"/>
      <c r="E226" s="94"/>
      <c r="F226" s="94"/>
      <c r="G226" s="94"/>
      <c r="H226" s="94"/>
    </row>
    <row r="227" spans="3:8">
      <c r="C227" s="94"/>
      <c r="D227" s="94"/>
      <c r="E227" s="94"/>
      <c r="F227" s="94"/>
      <c r="G227" s="94"/>
      <c r="H227" s="94"/>
    </row>
    <row r="228" spans="3:8">
      <c r="C228" s="94"/>
      <c r="D228" s="94"/>
      <c r="E228" s="94"/>
      <c r="F228" s="94"/>
      <c r="G228" s="94"/>
      <c r="H228" s="94"/>
    </row>
    <row r="229" spans="3:8">
      <c r="C229" s="94"/>
      <c r="D229" s="94"/>
      <c r="E229" s="94"/>
      <c r="F229" s="94"/>
      <c r="G229" s="94"/>
      <c r="H229" s="94"/>
    </row>
    <row r="230" spans="3:8">
      <c r="C230" s="94"/>
      <c r="D230" s="94"/>
      <c r="E230" s="94"/>
      <c r="F230" s="94"/>
      <c r="G230" s="94"/>
      <c r="H230" s="94"/>
    </row>
    <row r="231" spans="3:8">
      <c r="C231" s="94"/>
      <c r="D231" s="94"/>
      <c r="E231" s="94"/>
      <c r="F231" s="94"/>
      <c r="G231" s="94"/>
      <c r="H231" s="94"/>
    </row>
    <row r="232" spans="3:8">
      <c r="C232" s="94"/>
      <c r="D232" s="94"/>
      <c r="E232" s="94"/>
      <c r="F232" s="94"/>
      <c r="G232" s="94"/>
      <c r="H232" s="94"/>
    </row>
    <row r="233" spans="3:8">
      <c r="C233" s="94"/>
      <c r="D233" s="94"/>
      <c r="E233" s="94"/>
      <c r="F233" s="94"/>
      <c r="G233" s="94"/>
      <c r="H233" s="94"/>
    </row>
    <row r="234" spans="3:8">
      <c r="C234" s="94"/>
      <c r="D234" s="94"/>
      <c r="E234" s="94"/>
      <c r="F234" s="94"/>
      <c r="G234" s="94"/>
      <c r="H234" s="94"/>
    </row>
    <row r="235" spans="3:8">
      <c r="C235" s="94"/>
      <c r="D235" s="94"/>
      <c r="E235" s="94"/>
      <c r="F235" s="94"/>
      <c r="G235" s="94"/>
      <c r="H235" s="94"/>
    </row>
    <row r="236" spans="3:8">
      <c r="C236" s="94"/>
      <c r="D236" s="94"/>
      <c r="E236" s="94"/>
      <c r="F236" s="94"/>
      <c r="G236" s="94"/>
      <c r="H236" s="94"/>
    </row>
    <row r="237" spans="3:8">
      <c r="C237" s="94"/>
      <c r="D237" s="94"/>
      <c r="E237" s="94"/>
      <c r="F237" s="94"/>
      <c r="G237" s="94"/>
      <c r="H237" s="94"/>
    </row>
    <row r="238" spans="3:8">
      <c r="C238" s="94"/>
      <c r="D238" s="94"/>
      <c r="E238" s="94"/>
      <c r="F238" s="94"/>
      <c r="G238" s="94"/>
      <c r="H238" s="94"/>
    </row>
    <row r="239" spans="3:8">
      <c r="C239" s="94"/>
      <c r="D239" s="94"/>
      <c r="E239" s="94"/>
      <c r="F239" s="94"/>
      <c r="G239" s="94"/>
      <c r="H239" s="94"/>
    </row>
    <row r="240" spans="3:8">
      <c r="C240" s="94"/>
      <c r="D240" s="94"/>
      <c r="E240" s="94"/>
      <c r="F240" s="94"/>
      <c r="G240" s="94"/>
      <c r="H240" s="94"/>
    </row>
    <row r="241" spans="3:8">
      <c r="C241" s="94"/>
      <c r="D241" s="94"/>
      <c r="E241" s="94"/>
      <c r="F241" s="94"/>
      <c r="G241" s="94"/>
      <c r="H241" s="94"/>
    </row>
    <row r="242" spans="3:8">
      <c r="C242" s="94"/>
      <c r="D242" s="94"/>
      <c r="E242" s="94"/>
      <c r="F242" s="94"/>
      <c r="G242" s="94"/>
      <c r="H242" s="94"/>
    </row>
    <row r="243" spans="3:8">
      <c r="C243" s="94"/>
      <c r="D243" s="94"/>
      <c r="E243" s="94"/>
      <c r="F243" s="94"/>
      <c r="G243" s="94"/>
      <c r="H243" s="94"/>
    </row>
    <row r="244" spans="3:8">
      <c r="C244" s="94"/>
      <c r="D244" s="94"/>
      <c r="E244" s="94"/>
      <c r="F244" s="94"/>
      <c r="G244" s="94"/>
      <c r="H244" s="94"/>
    </row>
    <row r="245" spans="3:8">
      <c r="C245" s="94"/>
      <c r="D245" s="94"/>
      <c r="E245" s="94"/>
      <c r="F245" s="94"/>
      <c r="G245" s="94"/>
      <c r="H245" s="94"/>
    </row>
    <row r="246" spans="3:8">
      <c r="C246" s="94"/>
      <c r="D246" s="94"/>
      <c r="E246" s="94"/>
      <c r="F246" s="94"/>
      <c r="G246" s="94"/>
      <c r="H246" s="94"/>
    </row>
    <row r="247" spans="3:8">
      <c r="C247" s="94"/>
      <c r="D247" s="94"/>
      <c r="E247" s="94"/>
      <c r="F247" s="94"/>
      <c r="G247" s="94"/>
      <c r="H247" s="94"/>
    </row>
    <row r="248" spans="3:8">
      <c r="C248" s="94"/>
      <c r="D248" s="94"/>
      <c r="E248" s="94"/>
      <c r="F248" s="94"/>
      <c r="G248" s="94"/>
      <c r="H248" s="94"/>
    </row>
    <row r="249" spans="3:8">
      <c r="C249" s="94"/>
      <c r="D249" s="94"/>
      <c r="E249" s="94"/>
      <c r="F249" s="94"/>
      <c r="G249" s="94"/>
      <c r="H249" s="94"/>
    </row>
    <row r="250" spans="3:8">
      <c r="C250" s="94"/>
      <c r="D250" s="94"/>
      <c r="E250" s="94"/>
      <c r="F250" s="94"/>
      <c r="G250" s="94"/>
      <c r="H250" s="94"/>
    </row>
    <row r="251" spans="3:8">
      <c r="C251" s="94"/>
      <c r="D251" s="94"/>
      <c r="E251" s="94"/>
      <c r="F251" s="94"/>
      <c r="G251" s="94"/>
      <c r="H251" s="94"/>
    </row>
    <row r="252" spans="3:8">
      <c r="C252" s="94"/>
      <c r="D252" s="94"/>
      <c r="E252" s="94"/>
      <c r="F252" s="94"/>
      <c r="G252" s="94"/>
      <c r="H252" s="94"/>
    </row>
    <row r="253" spans="3:8">
      <c r="C253" s="94"/>
      <c r="D253" s="94"/>
      <c r="E253" s="94"/>
      <c r="F253" s="94"/>
      <c r="G253" s="94"/>
      <c r="H253" s="94"/>
    </row>
    <row r="254" spans="3:8">
      <c r="C254" s="94"/>
      <c r="D254" s="94"/>
      <c r="E254" s="94"/>
      <c r="F254" s="94"/>
      <c r="G254" s="94"/>
      <c r="H254" s="94"/>
    </row>
    <row r="255" spans="3:8">
      <c r="C255" s="94"/>
      <c r="D255" s="94"/>
      <c r="E255" s="94"/>
      <c r="F255" s="94"/>
      <c r="G255" s="94"/>
      <c r="H255" s="94"/>
    </row>
    <row r="256" spans="3:8">
      <c r="C256" s="94"/>
      <c r="D256" s="94"/>
      <c r="E256" s="94"/>
      <c r="F256" s="94"/>
      <c r="G256" s="94"/>
      <c r="H256" s="94"/>
    </row>
    <row r="257" spans="3:8">
      <c r="C257" s="94"/>
      <c r="D257" s="94"/>
      <c r="E257" s="94"/>
      <c r="F257" s="94"/>
      <c r="G257" s="94"/>
      <c r="H257" s="94"/>
    </row>
    <row r="258" spans="3:8">
      <c r="C258" s="94"/>
      <c r="D258" s="94"/>
      <c r="E258" s="94"/>
      <c r="F258" s="94"/>
      <c r="G258" s="94"/>
      <c r="H258" s="94"/>
    </row>
    <row r="259" spans="3:8">
      <c r="C259" s="94"/>
      <c r="D259" s="94"/>
      <c r="E259" s="94"/>
      <c r="F259" s="94"/>
      <c r="G259" s="94"/>
      <c r="H259" s="94"/>
    </row>
    <row r="260" spans="3:8">
      <c r="C260" s="94"/>
      <c r="D260" s="94"/>
      <c r="E260" s="94"/>
      <c r="F260" s="94"/>
      <c r="G260" s="94"/>
      <c r="H260" s="94"/>
    </row>
    <row r="261" spans="3:8">
      <c r="C261" s="94"/>
      <c r="D261" s="94"/>
      <c r="E261" s="94"/>
      <c r="F261" s="94"/>
      <c r="G261" s="94"/>
      <c r="H261" s="94"/>
    </row>
    <row r="262" spans="3:8">
      <c r="C262" s="94"/>
      <c r="D262" s="94"/>
      <c r="E262" s="94"/>
      <c r="F262" s="94"/>
      <c r="G262" s="94"/>
      <c r="H262" s="94"/>
    </row>
    <row r="263" spans="3:8">
      <c r="C263" s="94"/>
      <c r="D263" s="94"/>
      <c r="E263" s="94"/>
      <c r="F263" s="94"/>
      <c r="G263" s="94"/>
      <c r="H263" s="94"/>
    </row>
    <row r="264" spans="3:8">
      <c r="C264" s="94"/>
      <c r="D264" s="94"/>
      <c r="E264" s="94"/>
      <c r="F264" s="94"/>
      <c r="G264" s="94"/>
      <c r="H264" s="94"/>
    </row>
    <row r="265" spans="3:8">
      <c r="C265" s="94"/>
      <c r="D265" s="94"/>
      <c r="E265" s="94"/>
      <c r="F265" s="94"/>
      <c r="G265" s="94"/>
      <c r="H265" s="94"/>
    </row>
    <row r="266" spans="3:8">
      <c r="C266" s="94"/>
      <c r="D266" s="94"/>
      <c r="E266" s="94"/>
      <c r="F266" s="94"/>
      <c r="G266" s="94"/>
      <c r="H266" s="94"/>
    </row>
    <row r="267" spans="3:8">
      <c r="C267" s="94"/>
      <c r="D267" s="94"/>
      <c r="E267" s="94"/>
      <c r="F267" s="94"/>
      <c r="G267" s="94"/>
      <c r="H267" s="94"/>
    </row>
    <row r="268" spans="3:8">
      <c r="C268" s="94"/>
      <c r="D268" s="94"/>
      <c r="E268" s="94"/>
      <c r="F268" s="94"/>
      <c r="G268" s="94"/>
      <c r="H268" s="94"/>
    </row>
    <row r="269" spans="3:8">
      <c r="C269" s="94"/>
      <c r="D269" s="94"/>
      <c r="E269" s="94"/>
      <c r="F269" s="94"/>
      <c r="G269" s="94"/>
      <c r="H269" s="94"/>
    </row>
    <row r="270" spans="3:8">
      <c r="C270" s="94"/>
      <c r="D270" s="94"/>
      <c r="E270" s="94"/>
      <c r="F270" s="94"/>
      <c r="G270" s="94"/>
      <c r="H270" s="94"/>
    </row>
    <row r="271" spans="3:8">
      <c r="C271" s="94"/>
      <c r="D271" s="94"/>
      <c r="E271" s="94"/>
      <c r="F271" s="94"/>
      <c r="G271" s="94"/>
      <c r="H271" s="94"/>
    </row>
    <row r="272" spans="3:8">
      <c r="C272" s="94"/>
      <c r="D272" s="94"/>
      <c r="E272" s="94"/>
      <c r="F272" s="94"/>
      <c r="G272" s="94"/>
      <c r="H272" s="94"/>
    </row>
    <row r="273" spans="3:8">
      <c r="C273" s="94"/>
      <c r="D273" s="94"/>
      <c r="E273" s="94"/>
      <c r="F273" s="94"/>
      <c r="G273" s="94"/>
      <c r="H273" s="94"/>
    </row>
    <row r="274" spans="3:8">
      <c r="C274" s="94"/>
      <c r="D274" s="94"/>
      <c r="E274" s="94"/>
      <c r="F274" s="94"/>
      <c r="G274" s="94"/>
      <c r="H274" s="94"/>
    </row>
    <row r="275" spans="3:8">
      <c r="C275" s="94"/>
      <c r="D275" s="94"/>
      <c r="E275" s="94"/>
      <c r="F275" s="94"/>
      <c r="G275" s="94"/>
      <c r="H275" s="94"/>
    </row>
    <row r="276" spans="3:8">
      <c r="C276" s="94"/>
      <c r="D276" s="94"/>
      <c r="E276" s="94"/>
      <c r="F276" s="94"/>
      <c r="G276" s="94"/>
      <c r="H276" s="94"/>
    </row>
    <row r="277" spans="3:8">
      <c r="C277" s="94"/>
      <c r="D277" s="94"/>
      <c r="E277" s="94"/>
      <c r="F277" s="94"/>
      <c r="G277" s="94"/>
      <c r="H277" s="94"/>
    </row>
    <row r="278" spans="3:8">
      <c r="C278" s="94"/>
      <c r="D278" s="94"/>
      <c r="E278" s="94"/>
      <c r="F278" s="94"/>
      <c r="G278" s="94"/>
      <c r="H278" s="94"/>
    </row>
    <row r="279" spans="3:8">
      <c r="C279" s="94"/>
      <c r="D279" s="94"/>
      <c r="E279" s="94"/>
      <c r="F279" s="94"/>
      <c r="G279" s="94"/>
      <c r="H279" s="94"/>
    </row>
    <row r="280" spans="3:8">
      <c r="C280" s="94"/>
      <c r="D280" s="94"/>
      <c r="E280" s="94"/>
      <c r="F280" s="94"/>
      <c r="G280" s="94"/>
      <c r="H280" s="94"/>
    </row>
    <row r="281" spans="3:8">
      <c r="C281" s="94"/>
      <c r="D281" s="94"/>
      <c r="E281" s="94"/>
      <c r="F281" s="94"/>
      <c r="G281" s="94"/>
      <c r="H281" s="94"/>
    </row>
    <row r="282" spans="3:8">
      <c r="C282" s="94"/>
      <c r="D282" s="94"/>
      <c r="E282" s="94"/>
      <c r="F282" s="94"/>
      <c r="G282" s="94"/>
      <c r="H282" s="94"/>
    </row>
    <row r="283" spans="3:8">
      <c r="C283" s="94"/>
      <c r="D283" s="94"/>
      <c r="E283" s="94"/>
      <c r="F283" s="94"/>
      <c r="G283" s="94"/>
      <c r="H283" s="94"/>
    </row>
    <row r="284" spans="3:8">
      <c r="C284" s="94"/>
      <c r="D284" s="94"/>
      <c r="E284" s="94"/>
      <c r="F284" s="94"/>
      <c r="G284" s="94"/>
      <c r="H284" s="94"/>
    </row>
    <row r="285" spans="3:8">
      <c r="C285" s="94"/>
      <c r="D285" s="94"/>
      <c r="E285" s="94"/>
      <c r="F285" s="94"/>
      <c r="G285" s="94"/>
      <c r="H285" s="94"/>
    </row>
    <row r="286" spans="3:8">
      <c r="C286" s="94"/>
      <c r="D286" s="94"/>
      <c r="E286" s="94"/>
      <c r="F286" s="94"/>
      <c r="G286" s="94"/>
      <c r="H286" s="94"/>
    </row>
    <row r="287" spans="3:8">
      <c r="C287" s="94"/>
      <c r="D287" s="94"/>
      <c r="E287" s="94"/>
      <c r="F287" s="94"/>
      <c r="G287" s="94"/>
      <c r="H287" s="94"/>
    </row>
    <row r="288" spans="3:8">
      <c r="C288" s="94"/>
      <c r="D288" s="94"/>
      <c r="E288" s="94"/>
      <c r="F288" s="94"/>
      <c r="G288" s="94"/>
      <c r="H288" s="94"/>
    </row>
    <row r="289" spans="3:8">
      <c r="C289" s="94"/>
      <c r="D289" s="94"/>
      <c r="E289" s="94"/>
      <c r="F289" s="94"/>
      <c r="G289" s="94"/>
      <c r="H289" s="94"/>
    </row>
    <row r="290" spans="3:8">
      <c r="C290" s="94"/>
      <c r="D290" s="94"/>
      <c r="E290" s="94"/>
      <c r="F290" s="94"/>
      <c r="G290" s="94"/>
      <c r="H290" s="94"/>
    </row>
    <row r="291" spans="3:8">
      <c r="C291" s="94"/>
      <c r="D291" s="94"/>
      <c r="E291" s="94"/>
      <c r="F291" s="94"/>
      <c r="G291" s="94"/>
      <c r="H291" s="94"/>
    </row>
    <row r="292" spans="3:8">
      <c r="C292" s="94"/>
      <c r="D292" s="94"/>
      <c r="E292" s="94"/>
      <c r="F292" s="94"/>
      <c r="G292" s="94"/>
      <c r="H292" s="94"/>
    </row>
    <row r="293" spans="3:8">
      <c r="C293" s="94"/>
      <c r="D293" s="94"/>
      <c r="E293" s="94"/>
      <c r="F293" s="94"/>
      <c r="G293" s="94"/>
      <c r="H293" s="94"/>
    </row>
    <row r="294" spans="3:8">
      <c r="C294" s="94"/>
      <c r="D294" s="94"/>
      <c r="E294" s="94"/>
      <c r="F294" s="94"/>
      <c r="G294" s="94"/>
      <c r="H294" s="94"/>
    </row>
    <row r="295" spans="3:8">
      <c r="C295" s="94"/>
      <c r="D295" s="94"/>
      <c r="E295" s="94"/>
      <c r="F295" s="94"/>
      <c r="G295" s="94"/>
      <c r="H295" s="94"/>
    </row>
    <row r="296" spans="3:8">
      <c r="C296" s="94"/>
      <c r="D296" s="94"/>
      <c r="E296" s="94"/>
      <c r="F296" s="94"/>
      <c r="G296" s="94"/>
      <c r="H296" s="94"/>
    </row>
    <row r="297" spans="3:8">
      <c r="C297" s="94"/>
      <c r="D297" s="94"/>
      <c r="E297" s="94"/>
      <c r="F297" s="94"/>
      <c r="G297" s="94"/>
      <c r="H297" s="94"/>
    </row>
    <row r="298" spans="3:8">
      <c r="C298" s="94"/>
      <c r="D298" s="94"/>
      <c r="E298" s="94"/>
      <c r="F298" s="94"/>
      <c r="G298" s="94"/>
      <c r="H298" s="94"/>
    </row>
    <row r="299" spans="3:8">
      <c r="C299" s="94"/>
      <c r="D299" s="94"/>
      <c r="E299" s="94"/>
      <c r="F299" s="94"/>
      <c r="G299" s="94"/>
      <c r="H299" s="94"/>
    </row>
    <row r="300" spans="3:8">
      <c r="C300" s="94"/>
      <c r="D300" s="94"/>
      <c r="E300" s="94"/>
      <c r="F300" s="94"/>
      <c r="G300" s="94"/>
      <c r="H300" s="94"/>
    </row>
    <row r="301" spans="3:8">
      <c r="C301" s="94"/>
      <c r="D301" s="94"/>
      <c r="E301" s="94"/>
      <c r="F301" s="94"/>
      <c r="G301" s="94"/>
      <c r="H301" s="94"/>
    </row>
    <row r="302" spans="3:8">
      <c r="C302" s="94"/>
      <c r="D302" s="94"/>
      <c r="E302" s="94"/>
      <c r="F302" s="94"/>
      <c r="G302" s="94"/>
      <c r="H302" s="94"/>
    </row>
    <row r="303" spans="3:8">
      <c r="C303" s="94"/>
      <c r="D303" s="94"/>
      <c r="E303" s="94"/>
      <c r="F303" s="94"/>
      <c r="G303" s="94"/>
      <c r="H303" s="94"/>
    </row>
    <row r="304" spans="3:8">
      <c r="C304" s="94"/>
      <c r="D304" s="94"/>
      <c r="E304" s="94"/>
      <c r="F304" s="94"/>
      <c r="G304" s="94"/>
      <c r="H304" s="94"/>
    </row>
    <row r="305" spans="3:8">
      <c r="C305" s="94"/>
      <c r="D305" s="94"/>
      <c r="E305" s="94"/>
      <c r="F305" s="94"/>
      <c r="G305" s="94"/>
      <c r="H305" s="94"/>
    </row>
    <row r="306" spans="3:8">
      <c r="C306" s="94"/>
      <c r="D306" s="94"/>
      <c r="E306" s="94"/>
      <c r="F306" s="94"/>
      <c r="G306" s="94"/>
      <c r="H306" s="94"/>
    </row>
    <row r="307" spans="3:8">
      <c r="C307" s="94"/>
      <c r="D307" s="94"/>
      <c r="E307" s="94"/>
      <c r="F307" s="94"/>
      <c r="G307" s="94"/>
      <c r="H307" s="94"/>
    </row>
    <row r="308" spans="3:8">
      <c r="C308" s="94"/>
      <c r="D308" s="94"/>
      <c r="E308" s="94"/>
      <c r="F308" s="94"/>
      <c r="G308" s="94"/>
      <c r="H308" s="94"/>
    </row>
    <row r="309" spans="3:8">
      <c r="C309" s="94"/>
      <c r="D309" s="94"/>
      <c r="E309" s="94"/>
      <c r="F309" s="94"/>
      <c r="G309" s="94"/>
      <c r="H309" s="94"/>
    </row>
    <row r="310" spans="3:8">
      <c r="C310" s="94"/>
      <c r="D310" s="94"/>
      <c r="E310" s="94"/>
      <c r="F310" s="94"/>
      <c r="G310" s="94"/>
      <c r="H310" s="94"/>
    </row>
    <row r="311" spans="3:8">
      <c r="C311" s="94"/>
      <c r="D311" s="94"/>
      <c r="E311" s="94"/>
      <c r="F311" s="94"/>
      <c r="G311" s="94"/>
      <c r="H311" s="94"/>
    </row>
    <row r="312" spans="3:8">
      <c r="C312" s="94"/>
      <c r="D312" s="94"/>
      <c r="E312" s="94"/>
      <c r="F312" s="94"/>
      <c r="G312" s="94"/>
      <c r="H312" s="94"/>
    </row>
    <row r="313" spans="3:8">
      <c r="C313" s="94"/>
      <c r="D313" s="94"/>
      <c r="E313" s="94"/>
      <c r="F313" s="94"/>
      <c r="G313" s="94"/>
      <c r="H313" s="94"/>
    </row>
    <row r="314" spans="3:8">
      <c r="C314" s="94"/>
      <c r="D314" s="94"/>
      <c r="E314" s="94"/>
      <c r="F314" s="94"/>
      <c r="G314" s="94"/>
      <c r="H314" s="94"/>
    </row>
    <row r="315" spans="3:8">
      <c r="C315" s="94"/>
      <c r="D315" s="94"/>
      <c r="E315" s="94"/>
      <c r="F315" s="94"/>
      <c r="G315" s="94"/>
      <c r="H315" s="94"/>
    </row>
    <row r="316" spans="3:8">
      <c r="C316" s="94"/>
      <c r="D316" s="94"/>
      <c r="E316" s="94"/>
      <c r="F316" s="94"/>
      <c r="G316" s="94"/>
      <c r="H316" s="94"/>
    </row>
    <row r="317" spans="3:8">
      <c r="C317" s="94"/>
      <c r="D317" s="94"/>
      <c r="E317" s="94"/>
      <c r="F317" s="94"/>
      <c r="G317" s="94"/>
      <c r="H317" s="94"/>
    </row>
    <row r="318" spans="3:8">
      <c r="C318" s="94"/>
      <c r="D318" s="94"/>
      <c r="E318" s="94"/>
      <c r="F318" s="94"/>
      <c r="G318" s="94"/>
      <c r="H318" s="94"/>
    </row>
    <row r="319" spans="3:8">
      <c r="C319" s="94"/>
      <c r="D319" s="94"/>
      <c r="E319" s="94"/>
      <c r="F319" s="94"/>
      <c r="G319" s="94"/>
      <c r="H319" s="94"/>
    </row>
    <row r="320" spans="3:8">
      <c r="C320" s="94"/>
      <c r="D320" s="94"/>
      <c r="E320" s="94"/>
      <c r="F320" s="94"/>
      <c r="G320" s="94"/>
      <c r="H320" s="94"/>
    </row>
    <row r="321" spans="3:8">
      <c r="C321" s="94"/>
      <c r="D321" s="94"/>
      <c r="E321" s="94"/>
      <c r="F321" s="94"/>
      <c r="G321" s="94"/>
      <c r="H321" s="94"/>
    </row>
    <row r="322" spans="3:8">
      <c r="C322" s="94"/>
      <c r="D322" s="94"/>
      <c r="E322" s="94"/>
      <c r="F322" s="94"/>
      <c r="G322" s="94"/>
      <c r="H322" s="94"/>
    </row>
    <row r="323" spans="3:8">
      <c r="C323" s="94"/>
      <c r="D323" s="94"/>
      <c r="E323" s="94"/>
      <c r="F323" s="94"/>
      <c r="G323" s="94"/>
      <c r="H323" s="94"/>
    </row>
    <row r="324" spans="3:8">
      <c r="C324" s="94"/>
      <c r="D324" s="94"/>
      <c r="E324" s="94"/>
      <c r="F324" s="94"/>
      <c r="G324" s="94"/>
      <c r="H324" s="94"/>
    </row>
    <row r="325" spans="3:8">
      <c r="C325" s="94"/>
      <c r="D325" s="94"/>
      <c r="E325" s="94"/>
      <c r="F325" s="94"/>
      <c r="G325" s="94"/>
      <c r="H325" s="94"/>
    </row>
    <row r="326" spans="3:8">
      <c r="C326" s="94"/>
      <c r="D326" s="94"/>
      <c r="E326" s="94"/>
      <c r="F326" s="94"/>
      <c r="G326" s="94"/>
      <c r="H326" s="94"/>
    </row>
    <row r="327" spans="3:8">
      <c r="C327" s="94"/>
      <c r="D327" s="94"/>
      <c r="E327" s="94"/>
      <c r="F327" s="94"/>
      <c r="G327" s="94"/>
      <c r="H327" s="94"/>
    </row>
    <row r="328" spans="3:8">
      <c r="C328" s="94"/>
      <c r="D328" s="94"/>
      <c r="E328" s="94"/>
      <c r="F328" s="94"/>
      <c r="G328" s="94"/>
      <c r="H328" s="94"/>
    </row>
    <row r="329" spans="3:8">
      <c r="C329" s="94"/>
      <c r="D329" s="94"/>
      <c r="E329" s="94"/>
      <c r="F329" s="94"/>
      <c r="G329" s="94"/>
      <c r="H329" s="94"/>
    </row>
    <row r="330" spans="3:8">
      <c r="C330" s="94"/>
      <c r="D330" s="94"/>
      <c r="E330" s="94"/>
      <c r="F330" s="94"/>
      <c r="G330" s="94"/>
      <c r="H330" s="94"/>
    </row>
    <row r="331" spans="3:8">
      <c r="C331" s="94"/>
      <c r="D331" s="94"/>
      <c r="E331" s="94"/>
      <c r="F331" s="94"/>
      <c r="G331" s="94"/>
      <c r="H331" s="94"/>
    </row>
    <row r="332" spans="3:8">
      <c r="C332" s="94"/>
      <c r="D332" s="94"/>
      <c r="E332" s="94"/>
      <c r="F332" s="94"/>
      <c r="G332" s="94"/>
      <c r="H332" s="94"/>
    </row>
    <row r="333" spans="3:8">
      <c r="C333" s="94"/>
      <c r="D333" s="94"/>
      <c r="E333" s="94"/>
      <c r="F333" s="94"/>
      <c r="G333" s="94"/>
      <c r="H333" s="94"/>
    </row>
    <row r="334" spans="3:8">
      <c r="C334" s="94"/>
      <c r="D334" s="94"/>
      <c r="E334" s="94"/>
      <c r="F334" s="94"/>
      <c r="G334" s="94"/>
      <c r="H334" s="94"/>
    </row>
    <row r="335" spans="3:8">
      <c r="C335" s="94"/>
      <c r="D335" s="94"/>
      <c r="E335" s="94"/>
      <c r="F335" s="94"/>
      <c r="G335" s="94"/>
      <c r="H335" s="94"/>
    </row>
    <row r="336" spans="3:8">
      <c r="C336" s="94"/>
      <c r="D336" s="94"/>
      <c r="E336" s="94"/>
      <c r="F336" s="94"/>
      <c r="G336" s="94"/>
      <c r="H336" s="94"/>
    </row>
    <row r="337" spans="3:8">
      <c r="C337" s="94"/>
      <c r="D337" s="94"/>
      <c r="E337" s="94"/>
      <c r="F337" s="94"/>
      <c r="G337" s="94"/>
      <c r="H337" s="94"/>
    </row>
    <row r="338" spans="3:8">
      <c r="C338" s="94"/>
      <c r="D338" s="94"/>
      <c r="E338" s="94"/>
      <c r="F338" s="94"/>
      <c r="G338" s="94"/>
      <c r="H338" s="94"/>
    </row>
    <row r="339" spans="3:8">
      <c r="C339" s="94"/>
      <c r="D339" s="94"/>
      <c r="E339" s="94"/>
      <c r="F339" s="94"/>
      <c r="G339" s="94"/>
      <c r="H339" s="94"/>
    </row>
    <row r="340" spans="3:8">
      <c r="C340" s="94"/>
      <c r="D340" s="94"/>
      <c r="E340" s="94"/>
      <c r="F340" s="94"/>
      <c r="G340" s="94"/>
      <c r="H340" s="94"/>
    </row>
    <row r="341" spans="3:8">
      <c r="C341" s="94"/>
      <c r="D341" s="94"/>
      <c r="E341" s="94"/>
      <c r="F341" s="94"/>
      <c r="G341" s="94"/>
      <c r="H341" s="94"/>
    </row>
    <row r="342" spans="3:8">
      <c r="C342" s="94"/>
      <c r="D342" s="94"/>
      <c r="E342" s="94"/>
      <c r="F342" s="94"/>
      <c r="G342" s="94"/>
      <c r="H342" s="94"/>
    </row>
    <row r="343" spans="3:8">
      <c r="C343" s="94"/>
      <c r="D343" s="94"/>
      <c r="E343" s="94"/>
      <c r="F343" s="94"/>
      <c r="G343" s="94"/>
      <c r="H343" s="94"/>
    </row>
    <row r="344" spans="3:8">
      <c r="C344" s="94"/>
      <c r="D344" s="94"/>
      <c r="E344" s="94"/>
      <c r="F344" s="94"/>
      <c r="G344" s="94"/>
      <c r="H344" s="94"/>
    </row>
    <row r="345" spans="3:8">
      <c r="C345" s="94"/>
      <c r="D345" s="94"/>
      <c r="E345" s="94"/>
      <c r="F345" s="94"/>
      <c r="G345" s="94"/>
      <c r="H345" s="94"/>
    </row>
    <row r="346" spans="3:8">
      <c r="C346" s="94"/>
      <c r="D346" s="94"/>
      <c r="E346" s="94"/>
      <c r="F346" s="94"/>
      <c r="G346" s="94"/>
      <c r="H346" s="94"/>
    </row>
    <row r="347" spans="3:8">
      <c r="C347" s="94"/>
      <c r="D347" s="94"/>
      <c r="E347" s="94"/>
      <c r="F347" s="94"/>
      <c r="G347" s="94"/>
      <c r="H347" s="94"/>
    </row>
    <row r="348" spans="3:8">
      <c r="C348" s="94"/>
      <c r="D348" s="94"/>
      <c r="E348" s="94"/>
      <c r="F348" s="94"/>
      <c r="G348" s="94"/>
      <c r="H348" s="94"/>
    </row>
    <row r="349" spans="3:8">
      <c r="C349" s="94"/>
      <c r="D349" s="94"/>
      <c r="E349" s="94"/>
      <c r="F349" s="94"/>
      <c r="G349" s="94"/>
      <c r="H349" s="94"/>
    </row>
    <row r="350" spans="3:8">
      <c r="C350" s="94"/>
      <c r="D350" s="94"/>
      <c r="E350" s="94"/>
      <c r="F350" s="94"/>
      <c r="G350" s="94"/>
      <c r="H350" s="94"/>
    </row>
    <row r="351" spans="3:8">
      <c r="C351" s="94"/>
      <c r="D351" s="94"/>
      <c r="E351" s="94"/>
      <c r="F351" s="94"/>
      <c r="G351" s="94"/>
      <c r="H351" s="94"/>
    </row>
    <row r="352" spans="3:8">
      <c r="C352" s="94"/>
      <c r="D352" s="94"/>
      <c r="E352" s="94"/>
      <c r="F352" s="94"/>
      <c r="G352" s="94"/>
      <c r="H352" s="94"/>
    </row>
    <row r="353" spans="3:8">
      <c r="C353" s="94"/>
      <c r="D353" s="94"/>
      <c r="E353" s="94"/>
      <c r="F353" s="94"/>
      <c r="G353" s="94"/>
      <c r="H353" s="94"/>
    </row>
    <row r="354" spans="3:8">
      <c r="C354" s="94"/>
      <c r="D354" s="94"/>
      <c r="E354" s="94"/>
      <c r="F354" s="94"/>
      <c r="G354" s="94"/>
      <c r="H354" s="94"/>
    </row>
    <row r="355" spans="3:8">
      <c r="C355" s="94"/>
      <c r="D355" s="94"/>
      <c r="E355" s="94"/>
      <c r="F355" s="94"/>
      <c r="G355" s="94"/>
      <c r="H355" s="94"/>
    </row>
    <row r="356" spans="3:8">
      <c r="C356" s="94"/>
      <c r="D356" s="94"/>
      <c r="E356" s="94"/>
      <c r="F356" s="94"/>
      <c r="G356" s="94"/>
      <c r="H356" s="94"/>
    </row>
    <row r="357" spans="3:8">
      <c r="C357" s="94"/>
      <c r="D357" s="94"/>
      <c r="E357" s="94"/>
      <c r="F357" s="94"/>
      <c r="G357" s="94"/>
      <c r="H357" s="94"/>
    </row>
    <row r="358" spans="3:8">
      <c r="C358" s="94"/>
      <c r="D358" s="94"/>
      <c r="E358" s="94"/>
      <c r="F358" s="94"/>
      <c r="G358" s="94"/>
      <c r="H358" s="94"/>
    </row>
    <row r="359" spans="3:8">
      <c r="C359" s="94"/>
      <c r="D359" s="94"/>
      <c r="E359" s="94"/>
      <c r="F359" s="94"/>
      <c r="G359" s="94"/>
      <c r="H359" s="94"/>
    </row>
    <row r="360" spans="3:8">
      <c r="C360" s="94"/>
      <c r="D360" s="94"/>
      <c r="E360" s="94"/>
      <c r="F360" s="94"/>
      <c r="G360" s="94"/>
      <c r="H360" s="94"/>
    </row>
    <row r="361" spans="3:8">
      <c r="C361" s="94"/>
      <c r="D361" s="94"/>
      <c r="E361" s="94"/>
      <c r="F361" s="94"/>
      <c r="G361" s="94"/>
      <c r="H361" s="94"/>
    </row>
    <row r="362" spans="3:8">
      <c r="C362" s="94"/>
      <c r="D362" s="94"/>
      <c r="E362" s="94"/>
      <c r="F362" s="94"/>
      <c r="G362" s="94"/>
      <c r="H362" s="94"/>
    </row>
    <row r="363" spans="3:8">
      <c r="C363" s="94"/>
      <c r="D363" s="94"/>
      <c r="E363" s="94"/>
      <c r="F363" s="94"/>
      <c r="G363" s="94"/>
      <c r="H363" s="94"/>
    </row>
    <row r="364" spans="3:8">
      <c r="C364" s="94"/>
      <c r="D364" s="94"/>
      <c r="E364" s="94"/>
      <c r="F364" s="94"/>
      <c r="G364" s="94"/>
      <c r="H364" s="94"/>
    </row>
    <row r="365" spans="3:8">
      <c r="C365" s="94"/>
      <c r="D365" s="94"/>
      <c r="E365" s="94"/>
      <c r="F365" s="94"/>
      <c r="G365" s="94"/>
      <c r="H365" s="94"/>
    </row>
    <row r="366" spans="3:8">
      <c r="C366" s="94"/>
      <c r="D366" s="94"/>
      <c r="E366" s="94"/>
      <c r="F366" s="94"/>
      <c r="G366" s="94"/>
      <c r="H366" s="94"/>
    </row>
    <row r="367" spans="3:8">
      <c r="C367" s="94"/>
      <c r="D367" s="94"/>
      <c r="E367" s="94"/>
      <c r="F367" s="94"/>
      <c r="G367" s="94"/>
      <c r="H367" s="94"/>
    </row>
    <row r="368" spans="3:8">
      <c r="C368" s="94"/>
      <c r="D368" s="94"/>
      <c r="E368" s="94"/>
      <c r="F368" s="94"/>
      <c r="G368" s="94"/>
      <c r="H368" s="94"/>
    </row>
    <row r="369" spans="3:8">
      <c r="C369" s="94"/>
      <c r="D369" s="94"/>
      <c r="E369" s="94"/>
      <c r="F369" s="94"/>
      <c r="G369" s="94"/>
      <c r="H369" s="94"/>
    </row>
    <row r="370" spans="3:8">
      <c r="C370" s="94"/>
      <c r="D370" s="94"/>
      <c r="E370" s="94"/>
      <c r="F370" s="94"/>
      <c r="G370" s="94"/>
      <c r="H370" s="94"/>
    </row>
    <row r="371" spans="3:8">
      <c r="C371" s="94"/>
      <c r="D371" s="94"/>
      <c r="E371" s="94"/>
      <c r="F371" s="94"/>
      <c r="G371" s="94"/>
      <c r="H371" s="94"/>
    </row>
    <row r="372" spans="3:8">
      <c r="C372" s="94"/>
      <c r="D372" s="94"/>
      <c r="E372" s="94"/>
      <c r="F372" s="94"/>
      <c r="G372" s="94"/>
      <c r="H372" s="94"/>
    </row>
    <row r="373" spans="3:8">
      <c r="C373" s="94"/>
      <c r="D373" s="94"/>
      <c r="E373" s="94"/>
      <c r="F373" s="94"/>
      <c r="G373" s="94"/>
      <c r="H373" s="94"/>
    </row>
    <row r="374" spans="3:8">
      <c r="C374" s="94"/>
      <c r="D374" s="94"/>
      <c r="E374" s="94"/>
      <c r="F374" s="94"/>
      <c r="G374" s="94"/>
      <c r="H374" s="94"/>
    </row>
    <row r="375" spans="3:8">
      <c r="C375" s="94"/>
      <c r="D375" s="94"/>
      <c r="E375" s="94"/>
      <c r="F375" s="94"/>
      <c r="G375" s="94"/>
      <c r="H375" s="94"/>
    </row>
    <row r="376" spans="3:8">
      <c r="C376" s="94"/>
      <c r="D376" s="94"/>
      <c r="E376" s="94"/>
      <c r="F376" s="94"/>
      <c r="G376" s="94"/>
      <c r="H376" s="94"/>
    </row>
    <row r="377" spans="3:8">
      <c r="C377" s="94"/>
      <c r="D377" s="94"/>
      <c r="E377" s="94"/>
      <c r="F377" s="94"/>
      <c r="G377" s="94"/>
      <c r="H377" s="94"/>
    </row>
    <row r="378" spans="3:8">
      <c r="C378" s="94"/>
      <c r="D378" s="94"/>
      <c r="E378" s="94"/>
      <c r="F378" s="94"/>
      <c r="G378" s="94"/>
      <c r="H378" s="94"/>
    </row>
    <row r="379" spans="3:8">
      <c r="C379" s="94"/>
      <c r="D379" s="94"/>
      <c r="E379" s="94"/>
      <c r="F379" s="94"/>
      <c r="G379" s="94"/>
      <c r="H379" s="94"/>
    </row>
    <row r="380" spans="3:8">
      <c r="C380" s="94"/>
      <c r="D380" s="94"/>
      <c r="E380" s="94"/>
      <c r="F380" s="94"/>
      <c r="G380" s="94"/>
      <c r="H380" s="94"/>
    </row>
    <row r="381" spans="3:8">
      <c r="C381" s="94"/>
      <c r="D381" s="94"/>
      <c r="E381" s="94"/>
      <c r="F381" s="94"/>
      <c r="G381" s="94"/>
      <c r="H381" s="94"/>
    </row>
    <row r="382" spans="3:8">
      <c r="C382" s="94"/>
      <c r="D382" s="94"/>
      <c r="E382" s="94"/>
      <c r="F382" s="94"/>
      <c r="G382" s="94"/>
      <c r="H382" s="94"/>
    </row>
    <row r="383" spans="3:8">
      <c r="C383" s="94"/>
      <c r="D383" s="94"/>
      <c r="E383" s="94"/>
      <c r="F383" s="94"/>
      <c r="G383" s="94"/>
      <c r="H383" s="94"/>
    </row>
    <row r="384" spans="3:8">
      <c r="C384" s="94"/>
      <c r="D384" s="94"/>
      <c r="E384" s="94"/>
      <c r="F384" s="94"/>
      <c r="G384" s="94"/>
      <c r="H384" s="94"/>
    </row>
    <row r="385" spans="3:8">
      <c r="C385" s="94"/>
      <c r="D385" s="94"/>
      <c r="E385" s="94"/>
      <c r="F385" s="94"/>
      <c r="G385" s="94"/>
      <c r="H385" s="94"/>
    </row>
    <row r="386" spans="3:8">
      <c r="C386" s="94"/>
      <c r="D386" s="94"/>
      <c r="E386" s="94"/>
      <c r="F386" s="94"/>
      <c r="G386" s="94"/>
      <c r="H386" s="94"/>
    </row>
    <row r="387" spans="3:8">
      <c r="C387" s="94"/>
      <c r="D387" s="94"/>
      <c r="E387" s="94"/>
      <c r="F387" s="94"/>
      <c r="G387" s="94"/>
      <c r="H387" s="94"/>
    </row>
    <row r="388" spans="3:8">
      <c r="C388" s="94"/>
      <c r="D388" s="94"/>
      <c r="E388" s="94"/>
      <c r="F388" s="94"/>
      <c r="G388" s="94"/>
      <c r="H388" s="94"/>
    </row>
    <row r="389" spans="3:8">
      <c r="C389" s="94"/>
      <c r="D389" s="94"/>
      <c r="E389" s="94"/>
      <c r="F389" s="94"/>
      <c r="G389" s="94"/>
      <c r="H389" s="94"/>
    </row>
    <row r="390" spans="3:8">
      <c r="C390" s="94"/>
      <c r="D390" s="94"/>
      <c r="E390" s="94"/>
      <c r="F390" s="94"/>
      <c r="G390" s="94"/>
      <c r="H390" s="94"/>
    </row>
    <row r="391" spans="3:8">
      <c r="C391" s="94"/>
      <c r="D391" s="94"/>
      <c r="E391" s="94"/>
      <c r="F391" s="94"/>
      <c r="G391" s="94"/>
      <c r="H391" s="94"/>
    </row>
    <row r="392" spans="3:8">
      <c r="C392" s="94"/>
      <c r="D392" s="94"/>
      <c r="E392" s="94"/>
      <c r="F392" s="94"/>
      <c r="G392" s="94"/>
      <c r="H392" s="94"/>
    </row>
    <row r="393" spans="3:8">
      <c r="C393" s="94"/>
      <c r="D393" s="94"/>
      <c r="E393" s="94"/>
      <c r="F393" s="94"/>
      <c r="G393" s="94"/>
      <c r="H393" s="94"/>
    </row>
    <row r="394" spans="3:8">
      <c r="C394" s="94"/>
      <c r="D394" s="94"/>
      <c r="E394" s="94"/>
      <c r="F394" s="94"/>
      <c r="G394" s="94"/>
      <c r="H394" s="94"/>
    </row>
    <row r="395" spans="3:8">
      <c r="C395" s="94"/>
      <c r="D395" s="94"/>
      <c r="E395" s="94"/>
      <c r="F395" s="94"/>
      <c r="G395" s="94"/>
      <c r="H395" s="94"/>
    </row>
    <row r="396" spans="3:8">
      <c r="C396" s="94"/>
      <c r="D396" s="94"/>
      <c r="E396" s="94"/>
      <c r="F396" s="94"/>
      <c r="G396" s="94"/>
      <c r="H396" s="94"/>
    </row>
    <row r="397" spans="3:8">
      <c r="C397" s="94"/>
      <c r="D397" s="94"/>
      <c r="E397" s="94"/>
      <c r="F397" s="94"/>
      <c r="G397" s="94"/>
      <c r="H397" s="94"/>
    </row>
    <row r="398" spans="3:8">
      <c r="C398" s="94"/>
      <c r="D398" s="94"/>
      <c r="E398" s="94"/>
      <c r="F398" s="94"/>
      <c r="G398" s="94"/>
      <c r="H398" s="94"/>
    </row>
    <row r="399" spans="3:8">
      <c r="C399" s="94"/>
      <c r="D399" s="94"/>
      <c r="E399" s="94"/>
      <c r="F399" s="94"/>
      <c r="G399" s="94"/>
      <c r="H399" s="94"/>
    </row>
    <row r="400" spans="3:8">
      <c r="C400" s="94"/>
      <c r="D400" s="94"/>
      <c r="E400" s="94"/>
      <c r="F400" s="94"/>
      <c r="G400" s="94"/>
      <c r="H400" s="94"/>
    </row>
    <row r="401" spans="3:8">
      <c r="C401" s="94"/>
      <c r="D401" s="94"/>
      <c r="E401" s="94"/>
      <c r="F401" s="94"/>
      <c r="G401" s="94"/>
      <c r="H401" s="94"/>
    </row>
    <row r="402" spans="3:8">
      <c r="C402" s="94"/>
      <c r="D402" s="94"/>
      <c r="E402" s="94"/>
      <c r="F402" s="94"/>
      <c r="G402" s="94"/>
      <c r="H402" s="94"/>
    </row>
    <row r="403" spans="3:8">
      <c r="C403" s="94"/>
      <c r="D403" s="94"/>
      <c r="E403" s="94"/>
      <c r="F403" s="94"/>
      <c r="G403" s="94"/>
      <c r="H403" s="94"/>
    </row>
    <row r="404" spans="3:8">
      <c r="C404" s="94"/>
      <c r="D404" s="94"/>
      <c r="E404" s="94"/>
      <c r="F404" s="94"/>
      <c r="G404" s="94"/>
      <c r="H404" s="94"/>
    </row>
    <row r="405" spans="3:8">
      <c r="C405" s="94"/>
      <c r="D405" s="94"/>
      <c r="E405" s="94"/>
      <c r="F405" s="94"/>
      <c r="G405" s="94"/>
      <c r="H405" s="94"/>
    </row>
    <row r="406" spans="3:8">
      <c r="C406" s="94"/>
      <c r="D406" s="94"/>
      <c r="E406" s="94"/>
      <c r="F406" s="94"/>
      <c r="G406" s="94"/>
      <c r="H406" s="94"/>
    </row>
    <row r="407" spans="3:8">
      <c r="C407" s="94"/>
      <c r="D407" s="94"/>
      <c r="E407" s="94"/>
      <c r="F407" s="94"/>
      <c r="G407" s="94"/>
      <c r="H407" s="94"/>
    </row>
    <row r="408" spans="3:8">
      <c r="C408" s="94"/>
      <c r="D408" s="94"/>
      <c r="E408" s="94"/>
      <c r="F408" s="94"/>
      <c r="G408" s="94"/>
      <c r="H408" s="94"/>
    </row>
    <row r="409" spans="3:8">
      <c r="C409" s="94"/>
      <c r="D409" s="94"/>
      <c r="E409" s="94"/>
      <c r="F409" s="94"/>
      <c r="G409" s="94"/>
      <c r="H409" s="94"/>
    </row>
    <row r="410" spans="3:8">
      <c r="C410" s="94"/>
      <c r="D410" s="94"/>
      <c r="E410" s="94"/>
      <c r="F410" s="94"/>
      <c r="G410" s="94"/>
      <c r="H410" s="94"/>
    </row>
    <row r="411" spans="3:8">
      <c r="C411" s="94"/>
      <c r="D411" s="94"/>
      <c r="E411" s="94"/>
      <c r="F411" s="94"/>
      <c r="G411" s="94"/>
      <c r="H411" s="94"/>
    </row>
    <row r="412" spans="3:8">
      <c r="C412" s="94"/>
      <c r="D412" s="94"/>
      <c r="E412" s="94"/>
      <c r="F412" s="94"/>
      <c r="G412" s="94"/>
      <c r="H412" s="94"/>
    </row>
    <row r="413" spans="3:8">
      <c r="C413" s="94"/>
      <c r="D413" s="94"/>
      <c r="E413" s="94"/>
      <c r="F413" s="94"/>
      <c r="G413" s="94"/>
      <c r="H413" s="94"/>
    </row>
    <row r="414" spans="3:8">
      <c r="C414" s="94"/>
      <c r="D414" s="94"/>
      <c r="E414" s="94"/>
      <c r="F414" s="94"/>
      <c r="G414" s="94"/>
      <c r="H414" s="94"/>
    </row>
    <row r="415" spans="3:8">
      <c r="C415" s="94"/>
      <c r="D415" s="94"/>
      <c r="E415" s="94"/>
      <c r="F415" s="94"/>
      <c r="G415" s="94"/>
      <c r="H415" s="94"/>
    </row>
    <row r="416" spans="3:8">
      <c r="C416" s="94"/>
      <c r="D416" s="94"/>
      <c r="E416" s="94"/>
      <c r="F416" s="94"/>
      <c r="G416" s="94"/>
      <c r="H416" s="94"/>
    </row>
    <row r="417" spans="3:8">
      <c r="C417" s="94"/>
      <c r="D417" s="94"/>
      <c r="E417" s="94"/>
      <c r="F417" s="94"/>
      <c r="G417" s="94"/>
      <c r="H417" s="94"/>
    </row>
    <row r="418" spans="3:8">
      <c r="C418" s="94"/>
      <c r="D418" s="94"/>
      <c r="E418" s="94"/>
      <c r="F418" s="94"/>
      <c r="G418" s="94"/>
      <c r="H418" s="94"/>
    </row>
    <row r="419" spans="3:8">
      <c r="C419" s="94"/>
      <c r="D419" s="94"/>
      <c r="E419" s="94"/>
      <c r="F419" s="94"/>
      <c r="G419" s="94"/>
      <c r="H419" s="94"/>
    </row>
    <row r="420" spans="3:8">
      <c r="C420" s="94"/>
      <c r="D420" s="94"/>
      <c r="E420" s="94"/>
      <c r="F420" s="94"/>
      <c r="G420" s="94"/>
      <c r="H420" s="94"/>
    </row>
    <row r="421" spans="3:8">
      <c r="C421" s="94"/>
      <c r="D421" s="94"/>
      <c r="E421" s="94"/>
      <c r="F421" s="94"/>
      <c r="G421" s="94"/>
      <c r="H421" s="94"/>
    </row>
    <row r="422" spans="3:8">
      <c r="C422" s="94"/>
      <c r="D422" s="94"/>
      <c r="E422" s="94"/>
      <c r="F422" s="94"/>
      <c r="G422" s="94"/>
      <c r="H422" s="94"/>
    </row>
    <row r="423" spans="3:8">
      <c r="C423" s="94"/>
      <c r="D423" s="94"/>
      <c r="E423" s="94"/>
      <c r="F423" s="94"/>
      <c r="G423" s="94"/>
      <c r="H423" s="94"/>
    </row>
    <row r="424" spans="3:8">
      <c r="C424" s="94"/>
      <c r="D424" s="94"/>
      <c r="E424" s="94"/>
      <c r="F424" s="94"/>
      <c r="G424" s="94"/>
      <c r="H424" s="94"/>
    </row>
    <row r="425" spans="3:8">
      <c r="C425" s="94"/>
      <c r="D425" s="94"/>
      <c r="E425" s="94"/>
      <c r="F425" s="94"/>
      <c r="G425" s="94"/>
      <c r="H425" s="94"/>
    </row>
    <row r="426" spans="3:8">
      <c r="C426" s="94"/>
      <c r="D426" s="94"/>
      <c r="E426" s="94"/>
      <c r="F426" s="94"/>
      <c r="G426" s="94"/>
      <c r="H426" s="94"/>
    </row>
    <row r="427" spans="3:8">
      <c r="C427" s="94"/>
      <c r="D427" s="94"/>
      <c r="E427" s="94"/>
      <c r="F427" s="94"/>
      <c r="G427" s="94"/>
      <c r="H427" s="94"/>
    </row>
    <row r="428" spans="3:8">
      <c r="C428" s="94"/>
      <c r="D428" s="94"/>
      <c r="E428" s="94"/>
      <c r="F428" s="94"/>
      <c r="G428" s="94"/>
      <c r="H428" s="94"/>
    </row>
    <row r="429" spans="3:8">
      <c r="C429" s="94"/>
      <c r="D429" s="94"/>
      <c r="E429" s="94"/>
      <c r="F429" s="94"/>
      <c r="G429" s="94"/>
      <c r="H429" s="94"/>
    </row>
    <row r="430" spans="3:8">
      <c r="C430" s="94"/>
      <c r="D430" s="94"/>
      <c r="E430" s="94"/>
      <c r="F430" s="94"/>
      <c r="G430" s="94"/>
      <c r="H430" s="94"/>
    </row>
    <row r="431" spans="3:8">
      <c r="C431" s="94"/>
      <c r="D431" s="94"/>
      <c r="E431" s="94"/>
      <c r="F431" s="94"/>
      <c r="G431" s="94"/>
      <c r="H431" s="94"/>
    </row>
    <row r="432" spans="3:8">
      <c r="C432" s="94"/>
      <c r="D432" s="94"/>
      <c r="E432" s="94"/>
      <c r="F432" s="94"/>
      <c r="G432" s="94"/>
      <c r="H432" s="94"/>
    </row>
    <row r="433" spans="3:8">
      <c r="C433" s="94"/>
      <c r="D433" s="94"/>
      <c r="E433" s="94"/>
      <c r="F433" s="94"/>
      <c r="G433" s="94"/>
      <c r="H433" s="94"/>
    </row>
    <row r="434" spans="3:8">
      <c r="C434" s="94"/>
      <c r="D434" s="94"/>
      <c r="E434" s="94"/>
      <c r="F434" s="94"/>
      <c r="G434" s="94"/>
      <c r="H434" s="94"/>
    </row>
    <row r="435" spans="3:8">
      <c r="C435" s="94"/>
      <c r="D435" s="94"/>
      <c r="E435" s="94"/>
      <c r="F435" s="94"/>
      <c r="G435" s="94"/>
      <c r="H435" s="94"/>
    </row>
    <row r="436" spans="3:8">
      <c r="C436" s="94"/>
      <c r="D436" s="94"/>
      <c r="E436" s="94"/>
      <c r="F436" s="94"/>
      <c r="G436" s="94"/>
      <c r="H436" s="94"/>
    </row>
    <row r="437" spans="3:8">
      <c r="C437" s="94"/>
      <c r="D437" s="94"/>
      <c r="E437" s="94"/>
      <c r="F437" s="94"/>
      <c r="G437" s="94"/>
      <c r="H437" s="94"/>
    </row>
    <row r="438" spans="3:8">
      <c r="C438" s="94"/>
      <c r="D438" s="94"/>
      <c r="E438" s="94"/>
      <c r="F438" s="94"/>
      <c r="G438" s="94"/>
      <c r="H438" s="94"/>
    </row>
    <row r="439" spans="3:8">
      <c r="C439" s="94"/>
      <c r="D439" s="94"/>
      <c r="E439" s="94"/>
      <c r="F439" s="94"/>
      <c r="G439" s="94"/>
      <c r="H439" s="94"/>
    </row>
    <row r="440" spans="3:8">
      <c r="C440" s="94"/>
      <c r="D440" s="94"/>
      <c r="E440" s="94"/>
      <c r="F440" s="94"/>
      <c r="G440" s="94"/>
      <c r="H440" s="94"/>
    </row>
    <row r="441" spans="3:8">
      <c r="C441" s="94"/>
      <c r="D441" s="94"/>
      <c r="E441" s="94"/>
      <c r="F441" s="94"/>
      <c r="G441" s="94"/>
      <c r="H441" s="94"/>
    </row>
    <row r="442" spans="3:8">
      <c r="C442" s="94"/>
      <c r="D442" s="94"/>
      <c r="E442" s="94"/>
      <c r="F442" s="94"/>
      <c r="G442" s="94"/>
      <c r="H442" s="94"/>
    </row>
  </sheetData>
  <phoneticPr fontId="5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9"/>
  <sheetViews>
    <sheetView workbookViewId="0">
      <selection activeCell="E16" sqref="E15:E16"/>
    </sheetView>
  </sheetViews>
  <sheetFormatPr defaultColWidth="9.140625" defaultRowHeight="12"/>
  <cols>
    <col min="1" max="1" width="24" style="134" bestFit="1" customWidth="1"/>
    <col min="2" max="16384" width="9.140625" style="134"/>
  </cols>
  <sheetData>
    <row r="1" spans="1:6" ht="45.75" customHeight="1">
      <c r="A1" s="134" t="s">
        <v>19</v>
      </c>
      <c r="B1" s="134" t="s">
        <v>534</v>
      </c>
    </row>
    <row r="2" spans="1:6">
      <c r="A2" s="179" t="s">
        <v>46</v>
      </c>
      <c r="B2" s="179"/>
      <c r="C2" s="179"/>
      <c r="D2" s="179" t="s">
        <v>47</v>
      </c>
      <c r="E2" s="179"/>
      <c r="F2" s="179"/>
    </row>
    <row r="3" spans="1:6">
      <c r="A3" s="134" t="s">
        <v>20</v>
      </c>
      <c r="B3" s="134" t="s">
        <v>13</v>
      </c>
      <c r="C3" s="134" t="s">
        <v>45</v>
      </c>
      <c r="D3" s="134" t="s">
        <v>20</v>
      </c>
      <c r="E3" s="134" t="s">
        <v>13</v>
      </c>
      <c r="F3" s="134" t="s">
        <v>45</v>
      </c>
    </row>
    <row r="4" spans="1:6">
      <c r="A4" s="14" t="s">
        <v>519</v>
      </c>
      <c r="B4" s="14" t="s">
        <v>531</v>
      </c>
      <c r="C4" s="14">
        <v>100</v>
      </c>
    </row>
    <row r="5" spans="1:6">
      <c r="A5" s="14" t="s">
        <v>520</v>
      </c>
      <c r="B5" s="14" t="s">
        <v>531</v>
      </c>
      <c r="C5" s="14">
        <v>400</v>
      </c>
    </row>
    <row r="6" spans="1:6">
      <c r="A6" s="14" t="s">
        <v>521</v>
      </c>
      <c r="B6" s="14" t="s">
        <v>531</v>
      </c>
      <c r="C6" s="14">
        <v>2000</v>
      </c>
    </row>
    <row r="7" spans="1:6">
      <c r="A7" s="14" t="s">
        <v>522</v>
      </c>
      <c r="B7" s="14" t="s">
        <v>532</v>
      </c>
      <c r="C7" s="14"/>
    </row>
    <row r="8" spans="1:6">
      <c r="A8" s="14" t="s">
        <v>523</v>
      </c>
      <c r="B8" s="14" t="s">
        <v>533</v>
      </c>
      <c r="C8" s="14">
        <v>2</v>
      </c>
    </row>
    <row r="9" spans="1:6">
      <c r="A9" s="134" t="s">
        <v>527</v>
      </c>
      <c r="B9" s="134" t="s">
        <v>533</v>
      </c>
      <c r="C9" s="134">
        <v>3</v>
      </c>
    </row>
  </sheetData>
  <dataConsolidate/>
  <mergeCells count="2">
    <mergeCell ref="A2:C2"/>
    <mergeCell ref="D2:F2"/>
  </mergeCells>
  <phoneticPr fontId="5"/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6:D249"/>
  <sheetViews>
    <sheetView topLeftCell="A25" workbookViewId="0">
      <selection activeCell="E13" sqref="E13"/>
    </sheetView>
  </sheetViews>
  <sheetFormatPr defaultColWidth="9.140625" defaultRowHeight="12"/>
  <cols>
    <col min="1" max="1" width="16.42578125" style="66" bestFit="1" customWidth="1"/>
    <col min="2" max="2" width="34.42578125" style="66" bestFit="1" customWidth="1"/>
    <col min="3" max="3" width="11.85546875" style="67" customWidth="1"/>
    <col min="4" max="16384" width="9.140625" style="66"/>
  </cols>
  <sheetData>
    <row r="6" spans="1:4">
      <c r="D6" s="66" t="s">
        <v>328</v>
      </c>
    </row>
    <row r="10" spans="1:4">
      <c r="A10" s="66" t="s">
        <v>516</v>
      </c>
      <c r="B10" s="66" t="s">
        <v>48</v>
      </c>
      <c r="C10" s="66" t="s">
        <v>327</v>
      </c>
    </row>
    <row r="11" spans="1:4">
      <c r="A11" s="66" t="s">
        <v>51</v>
      </c>
      <c r="B11" s="66" t="s">
        <v>331</v>
      </c>
    </row>
    <row r="12" spans="1:4">
      <c r="A12" s="66" t="s">
        <v>98</v>
      </c>
      <c r="B12" s="66" t="s">
        <v>376</v>
      </c>
    </row>
    <row r="13" spans="1:4">
      <c r="A13" s="66" t="s">
        <v>93</v>
      </c>
      <c r="B13" s="66" t="s">
        <v>371</v>
      </c>
    </row>
    <row r="14" spans="1:4">
      <c r="A14" s="66" t="s">
        <v>100</v>
      </c>
      <c r="B14" s="66" t="s">
        <v>378</v>
      </c>
    </row>
    <row r="15" spans="1:4">
      <c r="A15" s="66" t="s">
        <v>231</v>
      </c>
      <c r="B15" s="66" t="s">
        <v>497</v>
      </c>
    </row>
    <row r="16" spans="1:4">
      <c r="A16" s="66" t="s">
        <v>294</v>
      </c>
      <c r="B16" s="66" t="s">
        <v>505</v>
      </c>
    </row>
    <row r="17" spans="1:2">
      <c r="A17" s="66" t="s">
        <v>228</v>
      </c>
      <c r="B17" s="66" t="s">
        <v>494</v>
      </c>
    </row>
    <row r="18" spans="1:2">
      <c r="A18" s="66" t="s">
        <v>52</v>
      </c>
      <c r="B18" s="66" t="s">
        <v>332</v>
      </c>
    </row>
    <row r="19" spans="1:2">
      <c r="A19" s="66" t="s">
        <v>53</v>
      </c>
      <c r="B19" s="66" t="s">
        <v>333</v>
      </c>
    </row>
    <row r="20" spans="1:2">
      <c r="A20" s="66" t="s">
        <v>56</v>
      </c>
      <c r="B20" s="66" t="s">
        <v>336</v>
      </c>
    </row>
    <row r="21" spans="1:2">
      <c r="A21" s="66" t="s">
        <v>57</v>
      </c>
      <c r="B21" s="66" t="s">
        <v>337</v>
      </c>
    </row>
    <row r="22" spans="1:2">
      <c r="A22" s="66" t="s">
        <v>60</v>
      </c>
      <c r="B22" s="66" t="s">
        <v>340</v>
      </c>
    </row>
    <row r="23" spans="1:2">
      <c r="A23" s="66" t="s">
        <v>69</v>
      </c>
      <c r="B23" s="66" t="s">
        <v>348</v>
      </c>
    </row>
    <row r="24" spans="1:2">
      <c r="A24" s="66" t="s">
        <v>70</v>
      </c>
      <c r="B24" s="66" t="s">
        <v>336</v>
      </c>
    </row>
    <row r="25" spans="1:2">
      <c r="A25" s="66" t="s">
        <v>71</v>
      </c>
      <c r="B25" s="66" t="s">
        <v>349</v>
      </c>
    </row>
    <row r="26" spans="1:2">
      <c r="A26" s="66" t="s">
        <v>72</v>
      </c>
      <c r="B26" s="66" t="s">
        <v>350</v>
      </c>
    </row>
    <row r="27" spans="1:2">
      <c r="A27" s="66" t="s">
        <v>73</v>
      </c>
      <c r="B27" s="66" t="s">
        <v>351</v>
      </c>
    </row>
    <row r="28" spans="1:2">
      <c r="A28" s="66" t="s">
        <v>74</v>
      </c>
      <c r="B28" s="66" t="s">
        <v>352</v>
      </c>
    </row>
    <row r="29" spans="1:2">
      <c r="A29" s="66" t="s">
        <v>82</v>
      </c>
      <c r="B29" s="66" t="s">
        <v>360</v>
      </c>
    </row>
    <row r="30" spans="1:2">
      <c r="A30" s="66" t="s">
        <v>102</v>
      </c>
      <c r="B30" s="66" t="s">
        <v>380</v>
      </c>
    </row>
    <row r="31" spans="1:2">
      <c r="A31" s="66" t="s">
        <v>298</v>
      </c>
      <c r="B31" s="66" t="s">
        <v>509</v>
      </c>
    </row>
    <row r="32" spans="1:2">
      <c r="A32" s="66" t="s">
        <v>299</v>
      </c>
      <c r="B32" s="66" t="s">
        <v>510</v>
      </c>
    </row>
    <row r="33" spans="1:2">
      <c r="A33" s="66" t="s">
        <v>303</v>
      </c>
      <c r="B33" s="66" t="s">
        <v>514</v>
      </c>
    </row>
    <row r="34" spans="1:2">
      <c r="A34" s="66" t="s">
        <v>295</v>
      </c>
      <c r="B34" s="66" t="s">
        <v>506</v>
      </c>
    </row>
    <row r="35" spans="1:2">
      <c r="A35" s="66" t="s">
        <v>517</v>
      </c>
      <c r="B35" s="66" t="s">
        <v>518</v>
      </c>
    </row>
    <row r="36" spans="1:2">
      <c r="A36" s="66" t="s">
        <v>66</v>
      </c>
      <c r="B36" s="66" t="s">
        <v>345</v>
      </c>
    </row>
    <row r="37" spans="1:2">
      <c r="A37" s="66" t="s">
        <v>293</v>
      </c>
      <c r="B37" s="66" t="s">
        <v>222</v>
      </c>
    </row>
    <row r="38" spans="1:2">
      <c r="A38" s="66" t="s">
        <v>300</v>
      </c>
      <c r="B38" s="66" t="s">
        <v>511</v>
      </c>
    </row>
    <row r="39" spans="1:2">
      <c r="A39" s="66" t="s">
        <v>301</v>
      </c>
      <c r="B39" s="66" t="s">
        <v>512</v>
      </c>
    </row>
    <row r="40" spans="1:2">
      <c r="A40" s="66" t="s">
        <v>302</v>
      </c>
      <c r="B40" s="66" t="s">
        <v>513</v>
      </c>
    </row>
    <row r="41" spans="1:2">
      <c r="A41" s="66" t="s">
        <v>304</v>
      </c>
      <c r="B41" s="66" t="s">
        <v>515</v>
      </c>
    </row>
    <row r="42" spans="1:2">
      <c r="A42" s="66" t="s">
        <v>305</v>
      </c>
      <c r="B42" s="66" t="s">
        <v>306</v>
      </c>
    </row>
    <row r="43" spans="1:2">
      <c r="A43" s="66" t="s">
        <v>296</v>
      </c>
      <c r="B43" s="66" t="s">
        <v>507</v>
      </c>
    </row>
    <row r="44" spans="1:2">
      <c r="A44" s="66" t="s">
        <v>297</v>
      </c>
      <c r="B44" s="66" t="s">
        <v>508</v>
      </c>
    </row>
    <row r="45" spans="1:2">
      <c r="A45" s="66" t="s">
        <v>236</v>
      </c>
      <c r="B45" s="66" t="s">
        <v>500</v>
      </c>
    </row>
    <row r="46" spans="1:2">
      <c r="A46" s="66" t="s">
        <v>237</v>
      </c>
      <c r="B46" s="66" t="s">
        <v>501</v>
      </c>
    </row>
    <row r="47" spans="1:2">
      <c r="A47" s="66" t="s">
        <v>238</v>
      </c>
      <c r="B47" s="66" t="s">
        <v>502</v>
      </c>
    </row>
    <row r="48" spans="1:2">
      <c r="A48" s="66" t="s">
        <v>239</v>
      </c>
      <c r="B48" s="66" t="s">
        <v>503</v>
      </c>
    </row>
    <row r="49" spans="1:2">
      <c r="A49" s="66" t="s">
        <v>240</v>
      </c>
      <c r="B49" s="66" t="s">
        <v>504</v>
      </c>
    </row>
    <row r="50" spans="1:2">
      <c r="A50" s="66" t="s">
        <v>83</v>
      </c>
      <c r="B50" s="66" t="s">
        <v>361</v>
      </c>
    </row>
    <row r="51" spans="1:2">
      <c r="A51" s="66" t="s">
        <v>84</v>
      </c>
      <c r="B51" s="66" t="s">
        <v>362</v>
      </c>
    </row>
    <row r="52" spans="1:2">
      <c r="A52" s="66" t="s">
        <v>85</v>
      </c>
      <c r="B52" s="66" t="s">
        <v>363</v>
      </c>
    </row>
    <row r="53" spans="1:2">
      <c r="A53" s="66" t="s">
        <v>86</v>
      </c>
      <c r="B53" s="66" t="s">
        <v>364</v>
      </c>
    </row>
    <row r="54" spans="1:2">
      <c r="A54" s="66" t="s">
        <v>87</v>
      </c>
      <c r="B54" s="66" t="s">
        <v>365</v>
      </c>
    </row>
    <row r="55" spans="1:2">
      <c r="A55" s="66" t="s">
        <v>88</v>
      </c>
      <c r="B55" s="66" t="s">
        <v>366</v>
      </c>
    </row>
    <row r="56" spans="1:2">
      <c r="A56" s="66" t="s">
        <v>89</v>
      </c>
      <c r="B56" s="66" t="s">
        <v>367</v>
      </c>
    </row>
    <row r="57" spans="1:2">
      <c r="A57" s="66" t="s">
        <v>90</v>
      </c>
      <c r="B57" s="66" t="s">
        <v>368</v>
      </c>
    </row>
    <row r="58" spans="1:2">
      <c r="A58" s="66" t="s">
        <v>91</v>
      </c>
      <c r="B58" s="66" t="s">
        <v>369</v>
      </c>
    </row>
    <row r="59" spans="1:2">
      <c r="A59" s="66" t="s">
        <v>92</v>
      </c>
      <c r="B59" s="66" t="s">
        <v>370</v>
      </c>
    </row>
    <row r="60" spans="1:2">
      <c r="A60" s="66" t="s">
        <v>75</v>
      </c>
      <c r="B60" s="66" t="s">
        <v>353</v>
      </c>
    </row>
    <row r="61" spans="1:2">
      <c r="A61" s="66" t="s">
        <v>76</v>
      </c>
      <c r="B61" s="66" t="s">
        <v>354</v>
      </c>
    </row>
    <row r="62" spans="1:2">
      <c r="A62" s="66" t="s">
        <v>77</v>
      </c>
      <c r="B62" s="66" t="s">
        <v>355</v>
      </c>
    </row>
    <row r="63" spans="1:2">
      <c r="A63" s="66" t="s">
        <v>78</v>
      </c>
      <c r="B63" s="66" t="s">
        <v>356</v>
      </c>
    </row>
    <row r="64" spans="1:2">
      <c r="A64" s="66" t="s">
        <v>79</v>
      </c>
      <c r="B64" s="66" t="s">
        <v>357</v>
      </c>
    </row>
    <row r="65" spans="1:2">
      <c r="A65" s="66" t="s">
        <v>80</v>
      </c>
      <c r="B65" s="66" t="s">
        <v>358</v>
      </c>
    </row>
    <row r="66" spans="1:2">
      <c r="A66" s="66" t="s">
        <v>81</v>
      </c>
      <c r="B66" s="66" t="s">
        <v>359</v>
      </c>
    </row>
    <row r="67" spans="1:2">
      <c r="A67" s="66" t="s">
        <v>130</v>
      </c>
      <c r="B67" s="66" t="s">
        <v>402</v>
      </c>
    </row>
    <row r="68" spans="1:2">
      <c r="A68" s="66" t="s">
        <v>61</v>
      </c>
      <c r="B68" s="66" t="s">
        <v>341</v>
      </c>
    </row>
    <row r="69" spans="1:2">
      <c r="A69" s="66" t="s">
        <v>62</v>
      </c>
      <c r="B69" s="66" t="s">
        <v>342</v>
      </c>
    </row>
    <row r="70" spans="1:2">
      <c r="A70" s="66" t="s">
        <v>63</v>
      </c>
      <c r="B70" s="66" t="s">
        <v>343</v>
      </c>
    </row>
    <row r="71" spans="1:2">
      <c r="A71" s="66" t="s">
        <v>64</v>
      </c>
      <c r="B71" s="66" t="s">
        <v>344</v>
      </c>
    </row>
    <row r="72" spans="1:2">
      <c r="A72" s="66" t="s">
        <v>65</v>
      </c>
      <c r="B72" s="66" t="s">
        <v>345</v>
      </c>
    </row>
    <row r="73" spans="1:2">
      <c r="A73" s="66" t="s">
        <v>67</v>
      </c>
      <c r="B73" s="66" t="s">
        <v>346</v>
      </c>
    </row>
    <row r="74" spans="1:2">
      <c r="A74" s="66" t="s">
        <v>68</v>
      </c>
      <c r="B74" s="66" t="s">
        <v>347</v>
      </c>
    </row>
    <row r="75" spans="1:2">
      <c r="A75" s="66" t="s">
        <v>58</v>
      </c>
      <c r="B75" s="66" t="s">
        <v>338</v>
      </c>
    </row>
    <row r="76" spans="1:2">
      <c r="A76" s="66" t="s">
        <v>59</v>
      </c>
      <c r="B76" s="66" t="s">
        <v>339</v>
      </c>
    </row>
    <row r="77" spans="1:2">
      <c r="A77" s="66" t="s">
        <v>54</v>
      </c>
      <c r="B77" s="66" t="s">
        <v>334</v>
      </c>
    </row>
    <row r="78" spans="1:2">
      <c r="A78" s="66" t="s">
        <v>55</v>
      </c>
      <c r="B78" s="66" t="s">
        <v>335</v>
      </c>
    </row>
    <row r="79" spans="1:2">
      <c r="A79" s="66" t="s">
        <v>103</v>
      </c>
      <c r="B79" s="66" t="s">
        <v>381</v>
      </c>
    </row>
    <row r="80" spans="1:2">
      <c r="A80" s="66" t="s">
        <v>104</v>
      </c>
      <c r="B80" s="66" t="s">
        <v>382</v>
      </c>
    </row>
    <row r="81" spans="1:2">
      <c r="A81" s="66" t="s">
        <v>105</v>
      </c>
      <c r="B81" s="66" t="s">
        <v>383</v>
      </c>
    </row>
    <row r="82" spans="1:2">
      <c r="A82" s="66" t="s">
        <v>106</v>
      </c>
      <c r="B82" s="66" t="s">
        <v>384</v>
      </c>
    </row>
    <row r="83" spans="1:2">
      <c r="A83" s="66" t="s">
        <v>107</v>
      </c>
      <c r="B83" s="66" t="s">
        <v>385</v>
      </c>
    </row>
    <row r="84" spans="1:2">
      <c r="A84" s="66" t="s">
        <v>108</v>
      </c>
      <c r="B84" s="66" t="s">
        <v>344</v>
      </c>
    </row>
    <row r="85" spans="1:2">
      <c r="A85" s="66" t="s">
        <v>109</v>
      </c>
      <c r="B85" s="66" t="s">
        <v>386</v>
      </c>
    </row>
    <row r="86" spans="1:2">
      <c r="A86" s="66" t="s">
        <v>110</v>
      </c>
      <c r="B86" s="66" t="s">
        <v>386</v>
      </c>
    </row>
    <row r="87" spans="1:2">
      <c r="A87" s="66" t="s">
        <v>111</v>
      </c>
      <c r="B87" s="66" t="s">
        <v>387</v>
      </c>
    </row>
    <row r="88" spans="1:2">
      <c r="A88" s="66" t="s">
        <v>112</v>
      </c>
      <c r="B88" s="66" t="s">
        <v>388</v>
      </c>
    </row>
    <row r="89" spans="1:2">
      <c r="A89" s="66" t="s">
        <v>113</v>
      </c>
      <c r="B89" s="66" t="s">
        <v>389</v>
      </c>
    </row>
    <row r="90" spans="1:2">
      <c r="A90" s="66" t="s">
        <v>114</v>
      </c>
      <c r="B90" s="66" t="s">
        <v>346</v>
      </c>
    </row>
    <row r="91" spans="1:2">
      <c r="A91" s="66" t="s">
        <v>115</v>
      </c>
      <c r="B91" s="66" t="s">
        <v>347</v>
      </c>
    </row>
    <row r="92" spans="1:2">
      <c r="A92" s="66" t="s">
        <v>116</v>
      </c>
      <c r="B92" s="66" t="s">
        <v>390</v>
      </c>
    </row>
    <row r="93" spans="1:2">
      <c r="A93" s="66" t="s">
        <v>117</v>
      </c>
      <c r="B93" s="66" t="s">
        <v>391</v>
      </c>
    </row>
    <row r="94" spans="1:2">
      <c r="A94" s="66" t="s">
        <v>118</v>
      </c>
      <c r="B94" s="66" t="s">
        <v>392</v>
      </c>
    </row>
    <row r="95" spans="1:2">
      <c r="A95" s="66" t="s">
        <v>119</v>
      </c>
      <c r="B95" s="66" t="s">
        <v>393</v>
      </c>
    </row>
    <row r="96" spans="1:2">
      <c r="A96" s="66" t="s">
        <v>120</v>
      </c>
      <c r="B96" s="66" t="s">
        <v>394</v>
      </c>
    </row>
    <row r="97" spans="1:2">
      <c r="A97" s="66" t="s">
        <v>121</v>
      </c>
      <c r="B97" s="66" t="s">
        <v>395</v>
      </c>
    </row>
    <row r="98" spans="1:2">
      <c r="A98" s="66" t="s">
        <v>122</v>
      </c>
      <c r="B98" s="66" t="s">
        <v>396</v>
      </c>
    </row>
    <row r="99" spans="1:2">
      <c r="A99" s="66" t="s">
        <v>123</v>
      </c>
      <c r="B99" s="66" t="s">
        <v>397</v>
      </c>
    </row>
    <row r="100" spans="1:2">
      <c r="A100" s="66" t="s">
        <v>124</v>
      </c>
      <c r="B100" s="66" t="s">
        <v>398</v>
      </c>
    </row>
    <row r="101" spans="1:2">
      <c r="A101" s="66" t="s">
        <v>125</v>
      </c>
      <c r="B101" s="66" t="s">
        <v>399</v>
      </c>
    </row>
    <row r="102" spans="1:2">
      <c r="A102" s="66" t="s">
        <v>126</v>
      </c>
      <c r="B102" s="66" t="s">
        <v>400</v>
      </c>
    </row>
    <row r="103" spans="1:2">
      <c r="A103" s="66" t="s">
        <v>127</v>
      </c>
      <c r="B103" s="66" t="s">
        <v>401</v>
      </c>
    </row>
    <row r="104" spans="1:2">
      <c r="A104" s="66" t="s">
        <v>232</v>
      </c>
      <c r="B104" s="66" t="s">
        <v>498</v>
      </c>
    </row>
    <row r="105" spans="1:2">
      <c r="A105" s="66" t="s">
        <v>233</v>
      </c>
      <c r="B105" s="66" t="s">
        <v>499</v>
      </c>
    </row>
    <row r="106" spans="1:2">
      <c r="A106" s="66" t="s">
        <v>229</v>
      </c>
      <c r="B106" s="66" t="s">
        <v>495</v>
      </c>
    </row>
    <row r="107" spans="1:2">
      <c r="A107" s="66" t="s">
        <v>230</v>
      </c>
      <c r="B107" s="66" t="s">
        <v>496</v>
      </c>
    </row>
    <row r="108" spans="1:2">
      <c r="A108" s="66" t="s">
        <v>101</v>
      </c>
      <c r="B108" s="66" t="s">
        <v>379</v>
      </c>
    </row>
    <row r="109" spans="1:2">
      <c r="A109" s="66" t="s">
        <v>94</v>
      </c>
      <c r="B109" s="66" t="s">
        <v>372</v>
      </c>
    </row>
    <row r="110" spans="1:2">
      <c r="A110" s="66" t="s">
        <v>95</v>
      </c>
      <c r="B110" s="66" t="s">
        <v>373</v>
      </c>
    </row>
    <row r="111" spans="1:2">
      <c r="A111" s="66" t="s">
        <v>96</v>
      </c>
      <c r="B111" s="66" t="s">
        <v>374</v>
      </c>
    </row>
    <row r="112" spans="1:2">
      <c r="A112" s="66" t="s">
        <v>97</v>
      </c>
      <c r="B112" s="66" t="s">
        <v>375</v>
      </c>
    </row>
    <row r="113" spans="1:2">
      <c r="A113" s="66" t="s">
        <v>99</v>
      </c>
      <c r="B113" s="66" t="s">
        <v>377</v>
      </c>
    </row>
    <row r="114" spans="1:2">
      <c r="A114" s="66" t="s">
        <v>49</v>
      </c>
      <c r="B114" s="66" t="s">
        <v>329</v>
      </c>
    </row>
    <row r="115" spans="1:2">
      <c r="A115" s="66" t="s">
        <v>50</v>
      </c>
      <c r="B115" s="66" t="s">
        <v>330</v>
      </c>
    </row>
    <row r="116" spans="1:2">
      <c r="A116" s="66" t="s">
        <v>131</v>
      </c>
      <c r="B116" s="66" t="s">
        <v>403</v>
      </c>
    </row>
    <row r="117" spans="1:2">
      <c r="A117" s="66" t="s">
        <v>132</v>
      </c>
      <c r="B117" s="66" t="s">
        <v>404</v>
      </c>
    </row>
    <row r="118" spans="1:2">
      <c r="A118" s="66" t="s">
        <v>133</v>
      </c>
      <c r="B118" s="66" t="s">
        <v>405</v>
      </c>
    </row>
    <row r="119" spans="1:2">
      <c r="A119" s="66" t="s">
        <v>134</v>
      </c>
      <c r="B119" s="66" t="s">
        <v>406</v>
      </c>
    </row>
    <row r="120" spans="1:2">
      <c r="A120" s="66" t="s">
        <v>135</v>
      </c>
      <c r="B120" s="66" t="s">
        <v>407</v>
      </c>
    </row>
    <row r="121" spans="1:2">
      <c r="A121" s="66" t="s">
        <v>136</v>
      </c>
      <c r="B121" s="66" t="s">
        <v>408</v>
      </c>
    </row>
    <row r="122" spans="1:2">
      <c r="A122" s="66" t="s">
        <v>137</v>
      </c>
      <c r="B122" s="66" t="s">
        <v>409</v>
      </c>
    </row>
    <row r="123" spans="1:2">
      <c r="A123" s="66" t="s">
        <v>138</v>
      </c>
      <c r="B123" s="66" t="s">
        <v>410</v>
      </c>
    </row>
    <row r="124" spans="1:2">
      <c r="A124" s="66" t="s">
        <v>139</v>
      </c>
      <c r="B124" s="66" t="s">
        <v>411</v>
      </c>
    </row>
    <row r="125" spans="1:2">
      <c r="A125" s="66" t="s">
        <v>140</v>
      </c>
      <c r="B125" s="66" t="s">
        <v>412</v>
      </c>
    </row>
    <row r="126" spans="1:2">
      <c r="A126" s="66" t="s">
        <v>141</v>
      </c>
      <c r="B126" s="66" t="s">
        <v>413</v>
      </c>
    </row>
    <row r="127" spans="1:2">
      <c r="A127" s="66" t="s">
        <v>142</v>
      </c>
      <c r="B127" s="66" t="s">
        <v>414</v>
      </c>
    </row>
    <row r="128" spans="1:2">
      <c r="A128" s="66" t="s">
        <v>143</v>
      </c>
      <c r="B128" s="66" t="s">
        <v>415</v>
      </c>
    </row>
    <row r="129" spans="1:2">
      <c r="A129" s="66" t="s">
        <v>144</v>
      </c>
      <c r="B129" s="66" t="s">
        <v>416</v>
      </c>
    </row>
    <row r="130" spans="1:2">
      <c r="A130" s="66" t="s">
        <v>145</v>
      </c>
      <c r="B130" s="66" t="s">
        <v>417</v>
      </c>
    </row>
    <row r="131" spans="1:2">
      <c r="A131" s="66" t="s">
        <v>146</v>
      </c>
      <c r="B131" s="66" t="s">
        <v>418</v>
      </c>
    </row>
    <row r="132" spans="1:2">
      <c r="A132" s="66" t="s">
        <v>147</v>
      </c>
      <c r="B132" s="66" t="s">
        <v>419</v>
      </c>
    </row>
    <row r="133" spans="1:2">
      <c r="A133" s="66" t="s">
        <v>148</v>
      </c>
      <c r="B133" s="66" t="s">
        <v>420</v>
      </c>
    </row>
    <row r="134" spans="1:2">
      <c r="A134" s="66" t="s">
        <v>149</v>
      </c>
      <c r="B134" s="66" t="s">
        <v>421</v>
      </c>
    </row>
    <row r="135" spans="1:2">
      <c r="A135" s="66" t="s">
        <v>150</v>
      </c>
      <c r="B135" s="66" t="s">
        <v>422</v>
      </c>
    </row>
    <row r="136" spans="1:2">
      <c r="A136" s="66" t="s">
        <v>151</v>
      </c>
      <c r="B136" s="66" t="s">
        <v>423</v>
      </c>
    </row>
    <row r="137" spans="1:2">
      <c r="A137" s="66" t="s">
        <v>152</v>
      </c>
      <c r="B137" s="66" t="s">
        <v>424</v>
      </c>
    </row>
    <row r="138" spans="1:2">
      <c r="A138" s="66" t="s">
        <v>153</v>
      </c>
      <c r="B138" s="66" t="s">
        <v>425</v>
      </c>
    </row>
    <row r="139" spans="1:2">
      <c r="A139" s="66" t="s">
        <v>154</v>
      </c>
      <c r="B139" s="66" t="s">
        <v>426</v>
      </c>
    </row>
    <row r="140" spans="1:2">
      <c r="A140" s="66" t="s">
        <v>155</v>
      </c>
      <c r="B140" s="66" t="s">
        <v>427</v>
      </c>
    </row>
    <row r="141" spans="1:2">
      <c r="A141" s="66" t="s">
        <v>156</v>
      </c>
      <c r="B141" s="66" t="s">
        <v>428</v>
      </c>
    </row>
    <row r="142" spans="1:2">
      <c r="A142" s="66" t="s">
        <v>157</v>
      </c>
      <c r="B142" s="66" t="s">
        <v>429</v>
      </c>
    </row>
    <row r="143" spans="1:2">
      <c r="A143" s="66" t="s">
        <v>158</v>
      </c>
      <c r="B143" s="66" t="s">
        <v>430</v>
      </c>
    </row>
    <row r="144" spans="1:2">
      <c r="A144" s="66" t="s">
        <v>159</v>
      </c>
      <c r="B144" s="66" t="s">
        <v>431</v>
      </c>
    </row>
    <row r="145" spans="1:2">
      <c r="A145" s="66" t="s">
        <v>160</v>
      </c>
      <c r="B145" s="66" t="s">
        <v>432</v>
      </c>
    </row>
    <row r="146" spans="1:2">
      <c r="A146" s="66" t="s">
        <v>161</v>
      </c>
      <c r="B146" s="66" t="s">
        <v>433</v>
      </c>
    </row>
    <row r="147" spans="1:2">
      <c r="A147" s="66" t="s">
        <v>162</v>
      </c>
      <c r="B147" s="66" t="s">
        <v>434</v>
      </c>
    </row>
    <row r="148" spans="1:2">
      <c r="A148" s="66" t="s">
        <v>163</v>
      </c>
      <c r="B148" s="66" t="s">
        <v>435</v>
      </c>
    </row>
    <row r="149" spans="1:2">
      <c r="A149" s="66" t="s">
        <v>164</v>
      </c>
      <c r="B149" s="66" t="s">
        <v>436</v>
      </c>
    </row>
    <row r="150" spans="1:2">
      <c r="A150" s="66" t="s">
        <v>165</v>
      </c>
      <c r="B150" s="66" t="s">
        <v>437</v>
      </c>
    </row>
    <row r="151" spans="1:2">
      <c r="A151" s="66" t="s">
        <v>166</v>
      </c>
      <c r="B151" s="66" t="s">
        <v>438</v>
      </c>
    </row>
    <row r="152" spans="1:2">
      <c r="A152" s="66" t="s">
        <v>167</v>
      </c>
      <c r="B152" s="66" t="s">
        <v>439</v>
      </c>
    </row>
    <row r="153" spans="1:2">
      <c r="A153" s="66" t="s">
        <v>168</v>
      </c>
      <c r="B153" s="66" t="s">
        <v>440</v>
      </c>
    </row>
    <row r="154" spans="1:2">
      <c r="A154" s="66" t="s">
        <v>169</v>
      </c>
      <c r="B154" s="66" t="s">
        <v>441</v>
      </c>
    </row>
    <row r="155" spans="1:2">
      <c r="A155" s="66" t="s">
        <v>170</v>
      </c>
      <c r="B155" s="66" t="s">
        <v>442</v>
      </c>
    </row>
    <row r="156" spans="1:2">
      <c r="A156" s="66" t="s">
        <v>171</v>
      </c>
      <c r="B156" s="66" t="s">
        <v>443</v>
      </c>
    </row>
    <row r="157" spans="1:2">
      <c r="A157" s="66" t="s">
        <v>172</v>
      </c>
      <c r="B157" s="66" t="s">
        <v>444</v>
      </c>
    </row>
    <row r="158" spans="1:2">
      <c r="A158" s="66" t="s">
        <v>173</v>
      </c>
      <c r="B158" s="66" t="s">
        <v>445</v>
      </c>
    </row>
    <row r="159" spans="1:2">
      <c r="A159" s="66" t="s">
        <v>174</v>
      </c>
      <c r="B159" s="66" t="s">
        <v>446</v>
      </c>
    </row>
    <row r="160" spans="1:2">
      <c r="A160" s="66" t="s">
        <v>175</v>
      </c>
      <c r="B160" s="66" t="s">
        <v>447</v>
      </c>
    </row>
    <row r="161" spans="1:2">
      <c r="A161" s="66" t="s">
        <v>176</v>
      </c>
      <c r="B161" s="66" t="s">
        <v>448</v>
      </c>
    </row>
    <row r="162" spans="1:2">
      <c r="A162" s="66" t="s">
        <v>177</v>
      </c>
      <c r="B162" s="66" t="s">
        <v>449</v>
      </c>
    </row>
    <row r="163" spans="1:2">
      <c r="A163" s="66" t="s">
        <v>178</v>
      </c>
      <c r="B163" s="66" t="s">
        <v>450</v>
      </c>
    </row>
    <row r="164" spans="1:2">
      <c r="A164" s="66" t="s">
        <v>179</v>
      </c>
      <c r="B164" s="66" t="s">
        <v>451</v>
      </c>
    </row>
    <row r="165" spans="1:2">
      <c r="A165" s="66" t="s">
        <v>180</v>
      </c>
      <c r="B165" s="66" t="s">
        <v>452</v>
      </c>
    </row>
    <row r="166" spans="1:2">
      <c r="A166" s="66" t="s">
        <v>181</v>
      </c>
      <c r="B166" s="66" t="s">
        <v>453</v>
      </c>
    </row>
    <row r="167" spans="1:2">
      <c r="A167" s="66" t="s">
        <v>182</v>
      </c>
      <c r="B167" s="66" t="s">
        <v>388</v>
      </c>
    </row>
    <row r="168" spans="1:2">
      <c r="A168" s="66" t="s">
        <v>183</v>
      </c>
      <c r="B168" s="66" t="s">
        <v>388</v>
      </c>
    </row>
    <row r="169" spans="1:2">
      <c r="A169" s="66" t="s">
        <v>184</v>
      </c>
      <c r="B169" s="66" t="s">
        <v>454</v>
      </c>
    </row>
    <row r="170" spans="1:2">
      <c r="A170" s="66" t="s">
        <v>185</v>
      </c>
      <c r="B170" s="66" t="s">
        <v>455</v>
      </c>
    </row>
    <row r="171" spans="1:2">
      <c r="A171" s="66" t="s">
        <v>186</v>
      </c>
      <c r="B171" s="66" t="s">
        <v>456</v>
      </c>
    </row>
    <row r="172" spans="1:2">
      <c r="A172" s="66" t="s">
        <v>187</v>
      </c>
      <c r="B172" s="66" t="s">
        <v>457</v>
      </c>
    </row>
    <row r="173" spans="1:2">
      <c r="A173" s="66" t="s">
        <v>188</v>
      </c>
      <c r="B173" s="66" t="s">
        <v>458</v>
      </c>
    </row>
    <row r="174" spans="1:2">
      <c r="A174" s="66" t="s">
        <v>189</v>
      </c>
      <c r="B174" s="66" t="s">
        <v>459</v>
      </c>
    </row>
    <row r="175" spans="1:2">
      <c r="A175" s="66" t="s">
        <v>190</v>
      </c>
      <c r="B175" s="66" t="s">
        <v>460</v>
      </c>
    </row>
    <row r="176" spans="1:2">
      <c r="A176" s="66" t="s">
        <v>191</v>
      </c>
      <c r="B176" s="66" t="s">
        <v>461</v>
      </c>
    </row>
    <row r="177" spans="1:2">
      <c r="A177" s="66" t="s">
        <v>192</v>
      </c>
      <c r="B177" s="66" t="s">
        <v>462</v>
      </c>
    </row>
    <row r="178" spans="1:2">
      <c r="A178" s="66" t="s">
        <v>193</v>
      </c>
      <c r="B178" s="66" t="s">
        <v>463</v>
      </c>
    </row>
    <row r="179" spans="1:2">
      <c r="A179" s="66" t="s">
        <v>194</v>
      </c>
      <c r="B179" s="66" t="s">
        <v>464</v>
      </c>
    </row>
    <row r="180" spans="1:2">
      <c r="A180" s="66" t="s">
        <v>195</v>
      </c>
      <c r="B180" s="66" t="s">
        <v>465</v>
      </c>
    </row>
    <row r="181" spans="1:2">
      <c r="A181" s="66" t="s">
        <v>196</v>
      </c>
      <c r="B181" s="66" t="s">
        <v>466</v>
      </c>
    </row>
    <row r="182" spans="1:2">
      <c r="A182" s="66" t="s">
        <v>197</v>
      </c>
      <c r="B182" s="66" t="s">
        <v>467</v>
      </c>
    </row>
    <row r="183" spans="1:2">
      <c r="A183" s="66" t="s">
        <v>198</v>
      </c>
      <c r="B183" s="66" t="s">
        <v>468</v>
      </c>
    </row>
    <row r="184" spans="1:2">
      <c r="A184" s="66" t="s">
        <v>199</v>
      </c>
      <c r="B184" s="66" t="s">
        <v>469</v>
      </c>
    </row>
    <row r="185" spans="1:2">
      <c r="A185" s="66" t="s">
        <v>200</v>
      </c>
      <c r="B185" s="66" t="s">
        <v>470</v>
      </c>
    </row>
    <row r="186" spans="1:2">
      <c r="A186" s="66" t="s">
        <v>201</v>
      </c>
      <c r="B186" s="66" t="s">
        <v>471</v>
      </c>
    </row>
    <row r="187" spans="1:2">
      <c r="A187" s="66" t="s">
        <v>202</v>
      </c>
      <c r="B187" s="66" t="s">
        <v>472</v>
      </c>
    </row>
    <row r="188" spans="1:2">
      <c r="A188" s="66" t="s">
        <v>203</v>
      </c>
      <c r="B188" s="66" t="s">
        <v>473</v>
      </c>
    </row>
    <row r="189" spans="1:2">
      <c r="A189" s="66" t="s">
        <v>204</v>
      </c>
      <c r="B189" s="66" t="s">
        <v>474</v>
      </c>
    </row>
    <row r="190" spans="1:2">
      <c r="A190" s="66" t="s">
        <v>205</v>
      </c>
      <c r="B190" s="66" t="s">
        <v>475</v>
      </c>
    </row>
    <row r="191" spans="1:2">
      <c r="A191" s="66" t="s">
        <v>206</v>
      </c>
      <c r="B191" s="66" t="s">
        <v>476</v>
      </c>
    </row>
    <row r="192" spans="1:2">
      <c r="A192" s="66" t="s">
        <v>207</v>
      </c>
      <c r="B192" s="66" t="s">
        <v>477</v>
      </c>
    </row>
    <row r="193" spans="1:2">
      <c r="A193" s="66" t="s">
        <v>208</v>
      </c>
      <c r="B193" s="66" t="s">
        <v>478</v>
      </c>
    </row>
    <row r="194" spans="1:2">
      <c r="A194" s="66" t="s">
        <v>209</v>
      </c>
      <c r="B194" s="66" t="s">
        <v>479</v>
      </c>
    </row>
    <row r="195" spans="1:2">
      <c r="A195" s="66" t="s">
        <v>210</v>
      </c>
      <c r="B195" s="66" t="s">
        <v>480</v>
      </c>
    </row>
    <row r="196" spans="1:2">
      <c r="A196" s="66" t="s">
        <v>211</v>
      </c>
      <c r="B196" s="66" t="s">
        <v>481</v>
      </c>
    </row>
    <row r="197" spans="1:2">
      <c r="A197" s="66" t="s">
        <v>212</v>
      </c>
      <c r="B197" s="66" t="s">
        <v>482</v>
      </c>
    </row>
    <row r="198" spans="1:2">
      <c r="A198" s="66" t="s">
        <v>213</v>
      </c>
      <c r="B198" s="66" t="s">
        <v>483</v>
      </c>
    </row>
    <row r="199" spans="1:2">
      <c r="A199" s="66" t="s">
        <v>214</v>
      </c>
      <c r="B199" s="66" t="s">
        <v>484</v>
      </c>
    </row>
    <row r="200" spans="1:2">
      <c r="A200" s="66" t="s">
        <v>215</v>
      </c>
      <c r="B200" s="66" t="s">
        <v>485</v>
      </c>
    </row>
    <row r="201" spans="1:2">
      <c r="A201" s="66" t="s">
        <v>216</v>
      </c>
      <c r="B201" s="66" t="s">
        <v>486</v>
      </c>
    </row>
    <row r="202" spans="1:2">
      <c r="A202" s="66" t="s">
        <v>217</v>
      </c>
      <c r="B202" s="66" t="s">
        <v>487</v>
      </c>
    </row>
    <row r="203" spans="1:2">
      <c r="A203" s="66" t="s">
        <v>218</v>
      </c>
      <c r="B203" s="66" t="s">
        <v>488</v>
      </c>
    </row>
    <row r="204" spans="1:2">
      <c r="A204" s="66" t="s">
        <v>219</v>
      </c>
      <c r="B204" s="66" t="s">
        <v>489</v>
      </c>
    </row>
    <row r="205" spans="1:2">
      <c r="A205" s="66" t="s">
        <v>220</v>
      </c>
      <c r="B205" s="66" t="s">
        <v>490</v>
      </c>
    </row>
    <row r="206" spans="1:2">
      <c r="A206" s="66" t="s">
        <v>221</v>
      </c>
      <c r="B206" s="66" t="s">
        <v>222</v>
      </c>
    </row>
    <row r="207" spans="1:2">
      <c r="A207" s="66" t="s">
        <v>223</v>
      </c>
      <c r="B207" s="66" t="s">
        <v>491</v>
      </c>
    </row>
    <row r="208" spans="1:2">
      <c r="A208" s="66" t="s">
        <v>224</v>
      </c>
      <c r="B208" s="66" t="s">
        <v>492</v>
      </c>
    </row>
    <row r="209" spans="1:2">
      <c r="A209" s="66" t="s">
        <v>225</v>
      </c>
      <c r="B209" s="66" t="s">
        <v>489</v>
      </c>
    </row>
    <row r="210" spans="1:2">
      <c r="A210" s="66" t="s">
        <v>226</v>
      </c>
      <c r="B210" s="66" t="s">
        <v>398</v>
      </c>
    </row>
    <row r="211" spans="1:2">
      <c r="A211" s="66" t="s">
        <v>227</v>
      </c>
      <c r="B211" s="66" t="s">
        <v>493</v>
      </c>
    </row>
    <row r="212" spans="1:2">
      <c r="A212" s="66" t="s">
        <v>234</v>
      </c>
      <c r="B212" s="66" t="s">
        <v>235</v>
      </c>
    </row>
    <row r="213" spans="1:2">
      <c r="A213" s="66" t="s">
        <v>241</v>
      </c>
      <c r="B213" s="66" t="s">
        <v>242</v>
      </c>
    </row>
    <row r="214" spans="1:2">
      <c r="A214" s="66" t="s">
        <v>128</v>
      </c>
      <c r="B214" s="66" t="s">
        <v>129</v>
      </c>
    </row>
    <row r="215" spans="1:2">
      <c r="A215" s="66" t="s">
        <v>243</v>
      </c>
      <c r="B215" s="66" t="s">
        <v>244</v>
      </c>
    </row>
    <row r="216" spans="1:2">
      <c r="A216" s="66" t="s">
        <v>245</v>
      </c>
      <c r="B216" s="66" t="s">
        <v>246</v>
      </c>
    </row>
    <row r="217" spans="1:2">
      <c r="A217" s="66" t="s">
        <v>247</v>
      </c>
      <c r="B217" s="66" t="s">
        <v>248</v>
      </c>
    </row>
    <row r="218" spans="1:2">
      <c r="A218" s="66" t="s">
        <v>249</v>
      </c>
      <c r="B218" s="66" t="s">
        <v>250</v>
      </c>
    </row>
    <row r="219" spans="1:2">
      <c r="A219" s="66" t="s">
        <v>251</v>
      </c>
      <c r="B219" s="66" t="s">
        <v>252</v>
      </c>
    </row>
    <row r="220" spans="1:2">
      <c r="A220" s="66" t="s">
        <v>253</v>
      </c>
      <c r="B220" s="66" t="s">
        <v>254</v>
      </c>
    </row>
    <row r="221" spans="1:2">
      <c r="A221" s="66" t="s">
        <v>255</v>
      </c>
      <c r="B221" s="66" t="s">
        <v>256</v>
      </c>
    </row>
    <row r="222" spans="1:2">
      <c r="A222" s="66" t="s">
        <v>257</v>
      </c>
      <c r="B222" s="66" t="s">
        <v>258</v>
      </c>
    </row>
    <row r="223" spans="1:2">
      <c r="A223" s="66" t="s">
        <v>259</v>
      </c>
      <c r="B223" s="66" t="s">
        <v>260</v>
      </c>
    </row>
    <row r="224" spans="1:2">
      <c r="A224" s="66" t="s">
        <v>261</v>
      </c>
      <c r="B224" s="66" t="s">
        <v>262</v>
      </c>
    </row>
    <row r="225" spans="1:2">
      <c r="A225" s="66" t="s">
        <v>263</v>
      </c>
      <c r="B225" s="66" t="s">
        <v>264</v>
      </c>
    </row>
    <row r="226" spans="1:2">
      <c r="A226" s="66" t="s">
        <v>265</v>
      </c>
      <c r="B226" s="66" t="s">
        <v>266</v>
      </c>
    </row>
    <row r="227" spans="1:2">
      <c r="A227" s="66" t="s">
        <v>267</v>
      </c>
      <c r="B227" s="66" t="s">
        <v>268</v>
      </c>
    </row>
    <row r="228" spans="1:2">
      <c r="A228" s="66" t="s">
        <v>269</v>
      </c>
      <c r="B228" s="66" t="s">
        <v>270</v>
      </c>
    </row>
    <row r="229" spans="1:2">
      <c r="A229" s="66" t="s">
        <v>271</v>
      </c>
      <c r="B229" s="66" t="s">
        <v>272</v>
      </c>
    </row>
    <row r="230" spans="1:2">
      <c r="A230" s="66" t="s">
        <v>273</v>
      </c>
      <c r="B230" s="66" t="s">
        <v>274</v>
      </c>
    </row>
    <row r="231" spans="1:2">
      <c r="A231" s="66" t="s">
        <v>275</v>
      </c>
      <c r="B231" s="66" t="s">
        <v>276</v>
      </c>
    </row>
    <row r="232" spans="1:2">
      <c r="A232" s="66" t="s">
        <v>277</v>
      </c>
      <c r="B232" s="66" t="s">
        <v>278</v>
      </c>
    </row>
    <row r="233" spans="1:2">
      <c r="A233" s="66" t="s">
        <v>279</v>
      </c>
      <c r="B233" s="66" t="s">
        <v>280</v>
      </c>
    </row>
    <row r="234" spans="1:2">
      <c r="A234" s="66" t="s">
        <v>281</v>
      </c>
      <c r="B234" s="66" t="s">
        <v>282</v>
      </c>
    </row>
    <row r="235" spans="1:2">
      <c r="A235" s="66" t="s">
        <v>283</v>
      </c>
      <c r="B235" s="66" t="s">
        <v>284</v>
      </c>
    </row>
    <row r="236" spans="1:2">
      <c r="A236" s="66" t="s">
        <v>285</v>
      </c>
      <c r="B236" s="66" t="s">
        <v>286</v>
      </c>
    </row>
    <row r="237" spans="1:2">
      <c r="A237" s="66" t="s">
        <v>287</v>
      </c>
      <c r="B237" s="66" t="s">
        <v>288</v>
      </c>
    </row>
    <row r="238" spans="1:2">
      <c r="A238" s="66" t="s">
        <v>289</v>
      </c>
      <c r="B238" s="66" t="s">
        <v>290</v>
      </c>
    </row>
    <row r="239" spans="1:2">
      <c r="A239" s="66" t="s">
        <v>291</v>
      </c>
      <c r="B239" s="66" t="s">
        <v>292</v>
      </c>
    </row>
    <row r="240" spans="1:2">
      <c r="A240" s="66" t="s">
        <v>316</v>
      </c>
      <c r="B240" s="66" t="s">
        <v>315</v>
      </c>
    </row>
    <row r="241" spans="1:2">
      <c r="A241" s="66" t="s">
        <v>317</v>
      </c>
      <c r="B241" s="66" t="s">
        <v>314</v>
      </c>
    </row>
    <row r="242" spans="1:2">
      <c r="A242" s="66" t="s">
        <v>318</v>
      </c>
      <c r="B242" s="66" t="s">
        <v>313</v>
      </c>
    </row>
    <row r="243" spans="1:2">
      <c r="A243" s="66" t="s">
        <v>319</v>
      </c>
      <c r="B243" s="66" t="s">
        <v>312</v>
      </c>
    </row>
    <row r="244" spans="1:2">
      <c r="A244" s="66" t="s">
        <v>320</v>
      </c>
      <c r="B244" s="66" t="s">
        <v>311</v>
      </c>
    </row>
    <row r="245" spans="1:2">
      <c r="A245" s="66" t="s">
        <v>321</v>
      </c>
      <c r="B245" s="66" t="s">
        <v>310</v>
      </c>
    </row>
    <row r="246" spans="1:2">
      <c r="A246" s="66" t="s">
        <v>322</v>
      </c>
      <c r="B246" s="66" t="s">
        <v>309</v>
      </c>
    </row>
    <row r="247" spans="1:2">
      <c r="A247" s="66" t="s">
        <v>323</v>
      </c>
      <c r="B247" s="66" t="s">
        <v>308</v>
      </c>
    </row>
    <row r="248" spans="1:2">
      <c r="A248" s="66" t="s">
        <v>324</v>
      </c>
      <c r="B248" s="66" t="s">
        <v>307</v>
      </c>
    </row>
    <row r="249" spans="1:2">
      <c r="A249" s="66" t="s">
        <v>325</v>
      </c>
      <c r="B249" s="66" t="s">
        <v>326</v>
      </c>
    </row>
  </sheetData>
  <phoneticPr fontId="5"/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:D16"/>
  <sheetViews>
    <sheetView showGridLines="0" workbookViewId="0">
      <selection activeCell="D15" sqref="D15"/>
    </sheetView>
  </sheetViews>
  <sheetFormatPr defaultColWidth="10.28515625" defaultRowHeight="12"/>
  <cols>
    <col min="1" max="1" width="27.140625" customWidth="1"/>
    <col min="2" max="2" width="26.42578125" bestFit="1" customWidth="1"/>
    <col min="3" max="4" width="19" bestFit="1" customWidth="1"/>
  </cols>
  <sheetData>
    <row r="1" spans="1:4" ht="13.5">
      <c r="A1" s="55" t="s">
        <v>27</v>
      </c>
      <c r="B1" s="55" t="s">
        <v>31</v>
      </c>
      <c r="C1" s="55" t="s">
        <v>32</v>
      </c>
      <c r="D1" s="55" t="s">
        <v>33</v>
      </c>
    </row>
    <row r="2" spans="1:4" ht="13.5">
      <c r="A2" s="56" t="s">
        <v>28</v>
      </c>
      <c r="B2" s="57" t="s">
        <v>34</v>
      </c>
      <c r="C2" s="57" t="s">
        <v>35</v>
      </c>
      <c r="D2" s="57" t="s">
        <v>35</v>
      </c>
    </row>
    <row r="3" spans="1:4">
      <c r="A3" s="56" t="s">
        <v>18</v>
      </c>
    </row>
    <row r="4" spans="1:4" ht="13.5">
      <c r="A4" s="57" t="s">
        <v>36</v>
      </c>
    </row>
    <row r="5" spans="1:4" ht="13.5">
      <c r="A5" s="57" t="s">
        <v>37</v>
      </c>
    </row>
    <row r="6" spans="1:4" ht="13.5">
      <c r="A6" s="57" t="s">
        <v>29</v>
      </c>
    </row>
    <row r="7" spans="1:4">
      <c r="A7" s="56"/>
    </row>
    <row r="8" spans="1:4">
      <c r="A8" s="56"/>
    </row>
    <row r="9" spans="1:4">
      <c r="A9" s="56"/>
    </row>
    <row r="10" spans="1:4">
      <c r="A10" s="56"/>
    </row>
    <row r="11" spans="1:4">
      <c r="A11" s="56"/>
    </row>
    <row r="12" spans="1:4">
      <c r="A12" s="56"/>
    </row>
    <row r="13" spans="1:4">
      <c r="A13" s="56"/>
    </row>
    <row r="15" spans="1:4" ht="84">
      <c r="A15" s="58" t="s">
        <v>30</v>
      </c>
      <c r="B15" s="59" t="s">
        <v>38</v>
      </c>
      <c r="C15" s="59" t="s">
        <v>39</v>
      </c>
      <c r="D15" s="59" t="s">
        <v>40</v>
      </c>
    </row>
    <row r="16" spans="1:4">
      <c r="A16" s="58"/>
    </row>
  </sheetData>
  <phoneticPr fontId="11"/>
  <printOptions gridLinesSet="0"/>
  <pageMargins left="0.75" right="0.75" top="1" bottom="1" header="0.5" footer="0.5"/>
  <pageSetup paperSize="9" orientation="portrait" horizontalDpi="0" verticalDpi="0" copies="0" r:id="rId1"/>
  <headerFooter alignWithMargins="0">
    <oddHeader>&amp;A</oddHeader>
    <oddFooter>- &amp;P -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14</vt:i4>
      </vt:variant>
      <vt:variant>
        <vt:lpstr>命名范围</vt:lpstr>
      </vt:variant>
      <vt:variant>
        <vt:i4>36</vt:i4>
      </vt:variant>
    </vt:vector>
  </HeadingPairs>
  <TitlesOfParts>
    <vt:vector size="50" baseType="lpstr">
      <vt:lpstr>システムMENU</vt:lpstr>
      <vt:lpstr>m_data_job</vt:lpstr>
      <vt:lpstr>m_system_name</vt:lpstr>
      <vt:lpstr>m_edp</vt:lpstr>
      <vt:lpstr>m_db_connect_no</vt:lpstr>
      <vt:lpstr>m_data</vt:lpstr>
      <vt:lpstr>→</vt:lpstr>
      <vt:lpstr>DB_INFO</vt:lpstr>
      <vt:lpstr>TABLE_TMP</vt:lpstr>
      <vt:lpstr>GetTableNameList</vt:lpstr>
      <vt:lpstr>CopyTable</vt:lpstr>
      <vt:lpstr>DB_CHANGE_TABLE</vt:lpstr>
      <vt:lpstr>DB_REP</vt:lpstr>
      <vt:lpstr>ENV</vt:lpstr>
      <vt:lpstr>m_data!Naiyou</vt:lpstr>
      <vt:lpstr>m_data_job!Naiyou</vt:lpstr>
      <vt:lpstr>m_db_connect_no!Naiyou</vt:lpstr>
      <vt:lpstr>m_edp!Naiyou</vt:lpstr>
      <vt:lpstr>m_system_name!Naiyou</vt:lpstr>
      <vt:lpstr>TABLE_TMP!Naiyou</vt:lpstr>
      <vt:lpstr>m_data!name</vt:lpstr>
      <vt:lpstr>m_data_job!name</vt:lpstr>
      <vt:lpstr>m_db_connect_no!name</vt:lpstr>
      <vt:lpstr>m_edp!name</vt:lpstr>
      <vt:lpstr>m_system_name!name</vt:lpstr>
      <vt:lpstr>TABLE_TMP!name</vt:lpstr>
      <vt:lpstr>m_data!Print_Area</vt:lpstr>
      <vt:lpstr>m_data_job!Print_Area</vt:lpstr>
      <vt:lpstr>m_db_connect_no!Print_Area</vt:lpstr>
      <vt:lpstr>m_edp!Print_Area</vt:lpstr>
      <vt:lpstr>m_system_name!Print_Area</vt:lpstr>
      <vt:lpstr>TABLE_TMP!Print_Area</vt:lpstr>
      <vt:lpstr>m_data!Print_Titles</vt:lpstr>
      <vt:lpstr>m_data_job!Print_Titles</vt:lpstr>
      <vt:lpstr>m_db_connect_no!Print_Titles</vt:lpstr>
      <vt:lpstr>m_edp!Print_Titles</vt:lpstr>
      <vt:lpstr>m_system_name!Print_Titles</vt:lpstr>
      <vt:lpstr>TABLE_TMP!Print_Titles</vt:lpstr>
      <vt:lpstr>m_data!TBL_Name</vt:lpstr>
      <vt:lpstr>m_data_job!TBL_Name</vt:lpstr>
      <vt:lpstr>m_db_connect_no!TBL_Name</vt:lpstr>
      <vt:lpstr>m_edp!TBL_Name</vt:lpstr>
      <vt:lpstr>m_system_name!TBL_Name</vt:lpstr>
      <vt:lpstr>TABLE_TMP!TBL_Name</vt:lpstr>
      <vt:lpstr>m_data!TYPE</vt:lpstr>
      <vt:lpstr>m_data_job!TYPE</vt:lpstr>
      <vt:lpstr>m_db_connect_no!TYPE</vt:lpstr>
      <vt:lpstr>m_edp!TYPE</vt:lpstr>
      <vt:lpstr>m_system_name!TYPE</vt:lpstr>
      <vt:lpstr>TABLE_TMP!TYPE</vt:lpstr>
    </vt:vector>
  </TitlesOfParts>
  <Company>トステム株式会社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setup</dc:creator>
  <cp:lastModifiedBy>Administrator</cp:lastModifiedBy>
  <cp:lastPrinted>2012-09-11T23:42:05Z</cp:lastPrinted>
  <dcterms:created xsi:type="dcterms:W3CDTF">2002-07-02T05:50:34Z</dcterms:created>
  <dcterms:modified xsi:type="dcterms:W3CDTF">2018-12-10T12:54:59Z</dcterms:modified>
</cp:coreProperties>
</file>