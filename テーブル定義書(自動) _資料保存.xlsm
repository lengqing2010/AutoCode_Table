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案件\AutoCode_Table\"/>
    </mc:Choice>
  </mc:AlternateContent>
  <bookViews>
    <workbookView xWindow="0" yWindow="0" windowWidth="23040" windowHeight="9390" tabRatio="790" firstSheet="1" activeTab="3"/>
  </bookViews>
  <sheets>
    <sheet name="システムMENU" sheetId="93" r:id="rId1"/>
    <sheet name="m_data" sheetId="85" r:id="rId2"/>
    <sheet name="m_kind" sheetId="95" r:id="rId3"/>
    <sheet name="m_edp" sheetId="96" r:id="rId4"/>
    <sheet name="m_system_name" sheetId="97" r:id="rId5"/>
    <sheet name="→" sheetId="90" r:id="rId6"/>
    <sheet name="DB_INFO" sheetId="89" r:id="rId7"/>
    <sheet name="TABLE_TMP" sheetId="94" r:id="rId8"/>
    <sheet name="GetTableNameList" sheetId="92" r:id="rId9"/>
    <sheet name="CopyTable" sheetId="91" r:id="rId10"/>
    <sheet name="DB_CHANGE_TABLE" sheetId="87" r:id="rId11"/>
    <sheet name="DB_REP" sheetId="88" r:id="rId12"/>
    <sheet name="ENV" sheetId="83" r:id="rId13"/>
  </sheets>
  <functionGroups builtInGroupCount="18"/>
  <definedNames>
    <definedName name="_Fill" localSheetId="6" hidden="1">#REF!</definedName>
    <definedName name="_Fill" localSheetId="12" hidden="1">#REF!</definedName>
    <definedName name="_Fill" localSheetId="1" hidden="1">#REF!</definedName>
    <definedName name="_Fill" localSheetId="3" hidden="1">#REF!</definedName>
    <definedName name="_Fill" localSheetId="2" hidden="1">#REF!</definedName>
    <definedName name="_Fill" localSheetId="4" hidden="1">#REF!</definedName>
    <definedName name="_Fill" localSheetId="7" hidden="1">#REF!</definedName>
    <definedName name="_Fill" hidden="1">#REF!</definedName>
    <definedName name="_Order1" hidden="1">1</definedName>
    <definedName name="_Order2" hidden="1">1</definedName>
    <definedName name="cboTYPE_Click" localSheetId="12">ENV!cboTYPE_Click</definedName>
    <definedName name="cboTYPE_Click" localSheetId="1">m_data!cboTYPE_Click</definedName>
    <definedName name="cboTYPE_Click" localSheetId="3">m_edp!cboTYPE_Click</definedName>
    <definedName name="cboTYPE_Click" localSheetId="2">m_kind!cboTYPE_Click</definedName>
    <definedName name="cboTYPE_Click" localSheetId="4">m_system_name!cboTYPE_Click</definedName>
    <definedName name="cboTYPE_Click" localSheetId="7">TABLE_TMP!cboTYPE_Click</definedName>
    <definedName name="cboTYPE_Click">[0]!cboTYPE_Click</definedName>
    <definedName name="IDX_NEXT" localSheetId="1">m_data!#REF!</definedName>
    <definedName name="IDX_NEXT" localSheetId="3">m_edp!#REF!</definedName>
    <definedName name="IDX_NEXT" localSheetId="2">m_kind!#REF!</definedName>
    <definedName name="IDX_NEXT" localSheetId="4">m_system_name!#REF!</definedName>
    <definedName name="IDX_NEXT" localSheetId="7">TABLE_TMP!#REF!</definedName>
    <definedName name="IDX_PctFree" localSheetId="1">m_data!#REF!</definedName>
    <definedName name="IDX_PctFree" localSheetId="3">m_edp!#REF!</definedName>
    <definedName name="IDX_PctFree" localSheetId="2">m_kind!#REF!</definedName>
    <definedName name="IDX_PctFree" localSheetId="4">m_system_name!#REF!</definedName>
    <definedName name="IDX_PctFree" localSheetId="7">TABLE_TMP!#REF!</definedName>
    <definedName name="IDX_SPACE" localSheetId="1">m_data!#REF!</definedName>
    <definedName name="IDX_SPACE" localSheetId="3">m_edp!#REF!</definedName>
    <definedName name="IDX_SPACE" localSheetId="2">m_kind!#REF!</definedName>
    <definedName name="IDX_SPACE" localSheetId="4">m_system_name!#REF!</definedName>
    <definedName name="IDX_SPACE" localSheetId="7">TABLE_TMP!#REF!</definedName>
    <definedName name="IDX_Storage" localSheetId="1">m_data!#REF!</definedName>
    <definedName name="IDX_Storage" localSheetId="3">m_edp!#REF!</definedName>
    <definedName name="IDX_Storage" localSheetId="2">m_kind!#REF!</definedName>
    <definedName name="IDX_Storage" localSheetId="4">m_system_name!#REF!</definedName>
    <definedName name="IDX_Storage" localSheetId="7">TABLE_TMP!#REF!</definedName>
    <definedName name="Index_Length" localSheetId="1">m_data!#REF!</definedName>
    <definedName name="Index_Length" localSheetId="3">m_edp!#REF!</definedName>
    <definedName name="Index_Length" localSheetId="2">m_kind!#REF!</definedName>
    <definedName name="Index_Length" localSheetId="4">m_system_name!#REF!</definedName>
    <definedName name="Index_Length" localSheetId="7">TABLE_TMP!#REF!</definedName>
    <definedName name="Naiyou" localSheetId="1">m_data!$F$5</definedName>
    <definedName name="Naiyou" localSheetId="3">m_edp!$F$5</definedName>
    <definedName name="Naiyou" localSheetId="2">m_kind!$F$5</definedName>
    <definedName name="Naiyou" localSheetId="4">m_system_name!$F$5</definedName>
    <definedName name="Naiyou" localSheetId="7">TABLE_TMP!$F$5</definedName>
    <definedName name="name" localSheetId="1">m_data!$C$5</definedName>
    <definedName name="name" localSheetId="3">m_edp!$C$5</definedName>
    <definedName name="name" localSheetId="2">m_kind!$C$5</definedName>
    <definedName name="name" localSheetId="4">m_system_name!$C$5</definedName>
    <definedName name="name" localSheetId="7">TABLE_TMP!$C$5</definedName>
    <definedName name="_xlnm.Print_Area" localSheetId="1">m_data!$A$1:$K$51</definedName>
    <definedName name="_xlnm.Print_Area" localSheetId="3">m_edp!$A$1:$K$35</definedName>
    <definedName name="_xlnm.Print_Area" localSheetId="2">m_kind!$A$1:$K$35</definedName>
    <definedName name="_xlnm.Print_Area" localSheetId="4">m_system_name!$A$1:$K$34</definedName>
    <definedName name="_xlnm.Print_Area" localSheetId="7">TABLE_TMP!$A$1:$K$42</definedName>
    <definedName name="_xlnm.Print_Titles" localSheetId="1">m_data!$1:$8</definedName>
    <definedName name="_xlnm.Print_Titles" localSheetId="3">m_edp!$1:$8</definedName>
    <definedName name="_xlnm.Print_Titles" localSheetId="2">m_kind!$1:$8</definedName>
    <definedName name="_xlnm.Print_Titles" localSheetId="4">m_system_name!$1:$8</definedName>
    <definedName name="_xlnm.Print_Titles" localSheetId="7">TABLE_TMP!$1:$8</definedName>
    <definedName name="REC_Count" localSheetId="1">m_data!#REF!</definedName>
    <definedName name="REC_Count" localSheetId="3">m_edp!#REF!</definedName>
    <definedName name="REC_Count" localSheetId="2">m_kind!#REF!</definedName>
    <definedName name="REC_Count" localSheetId="4">m_system_name!#REF!</definedName>
    <definedName name="REC_Count" localSheetId="7">TABLE_TMP!#REF!</definedName>
    <definedName name="Rec_Length" localSheetId="1">m_data!#REF!</definedName>
    <definedName name="Rec_Length" localSheetId="3">m_edp!#REF!</definedName>
    <definedName name="Rec_Length" localSheetId="2">m_kind!#REF!</definedName>
    <definedName name="Rec_Length" localSheetId="4">m_system_name!#REF!</definedName>
    <definedName name="Rec_Length" localSheetId="7">TABLE_TMP!#REF!</definedName>
    <definedName name="TBL_Name" localSheetId="1">m_data!$C$6</definedName>
    <definedName name="TBL_Name" localSheetId="3">m_edp!$C$6</definedName>
    <definedName name="TBL_Name" localSheetId="2">m_kind!$C$6</definedName>
    <definedName name="TBL_Name" localSheetId="4">m_system_name!$C$6</definedName>
    <definedName name="TBL_Name" localSheetId="7">TABLE_TMP!$C$6</definedName>
    <definedName name="TBL_NEXT" localSheetId="1">m_data!#REF!</definedName>
    <definedName name="TBL_NEXT" localSheetId="3">m_edp!#REF!</definedName>
    <definedName name="TBL_NEXT" localSheetId="2">m_kind!#REF!</definedName>
    <definedName name="TBL_NEXT" localSheetId="4">m_system_name!#REF!</definedName>
    <definedName name="TBL_NEXT" localSheetId="7">TABLE_TMP!#REF!</definedName>
    <definedName name="TBL_PctFree" localSheetId="1">m_data!#REF!</definedName>
    <definedName name="TBL_PctFree" localSheetId="3">m_edp!#REF!</definedName>
    <definedName name="TBL_PctFree" localSheetId="2">m_kind!#REF!</definedName>
    <definedName name="TBL_PctFree" localSheetId="4">m_system_name!#REF!</definedName>
    <definedName name="TBL_PctFree" localSheetId="7">TABLE_TMP!#REF!</definedName>
    <definedName name="TBL_PctUsed" localSheetId="1">m_data!#REF!</definedName>
    <definedName name="TBL_PctUsed" localSheetId="3">m_edp!#REF!</definedName>
    <definedName name="TBL_PctUsed" localSheetId="2">m_kind!#REF!</definedName>
    <definedName name="TBL_PctUsed" localSheetId="4">m_system_name!#REF!</definedName>
    <definedName name="TBL_PctUsed" localSheetId="7">TABLE_TMP!#REF!</definedName>
    <definedName name="TBL_SPACE" localSheetId="1">m_data!#REF!</definedName>
    <definedName name="TBL_SPACE" localSheetId="3">m_edp!#REF!</definedName>
    <definedName name="TBL_SPACE" localSheetId="2">m_kind!#REF!</definedName>
    <definedName name="TBL_SPACE" localSheetId="4">m_system_name!#REF!</definedName>
    <definedName name="TBL_SPACE" localSheetId="7">TABLE_TMP!#REF!</definedName>
    <definedName name="TBL_Storage" localSheetId="1">m_data!#REF!</definedName>
    <definedName name="TBL_Storage" localSheetId="3">m_edp!#REF!</definedName>
    <definedName name="TBL_Storage" localSheetId="2">m_kind!#REF!</definedName>
    <definedName name="TBL_Storage" localSheetId="4">m_system_name!#REF!</definedName>
    <definedName name="TBL_Storage" localSheetId="7">TABLE_TMP!#REF!</definedName>
    <definedName name="TYPE" localSheetId="1">m_data!$D$8</definedName>
    <definedName name="TYPE" localSheetId="3">m_edp!$D$8</definedName>
    <definedName name="TYPE" localSheetId="2">m_kind!$D$8</definedName>
    <definedName name="TYPE" localSheetId="4">m_system_name!$D$8</definedName>
    <definedName name="TYPE" localSheetId="7">TABLE_TMP!$D$8</definedName>
  </definedNames>
  <calcPr calcId="152511"/>
</workbook>
</file>

<file path=xl/calcChain.xml><?xml version="1.0" encoding="utf-8"?>
<calcChain xmlns="http://schemas.openxmlformats.org/spreadsheetml/2006/main">
  <c r="N6" i="97" l="1"/>
  <c r="N4" i="97"/>
  <c r="N6" i="96"/>
  <c r="N4" i="96"/>
  <c r="N6" i="95"/>
  <c r="N4" i="95"/>
  <c r="D12" i="91" l="1"/>
  <c r="H12" i="91" s="1"/>
  <c r="D13" i="91"/>
  <c r="G13" i="91" s="1"/>
  <c r="D14" i="91"/>
  <c r="G14" i="91" s="1"/>
  <c r="D15" i="91"/>
  <c r="K15" i="91" s="1"/>
  <c r="D16" i="91"/>
  <c r="D17" i="91"/>
  <c r="K17" i="91" s="1"/>
  <c r="G17" i="91"/>
  <c r="D18" i="91"/>
  <c r="H18" i="91" s="1"/>
  <c r="D19" i="91"/>
  <c r="K19" i="91" s="1"/>
  <c r="D11" i="91"/>
  <c r="K11" i="91"/>
  <c r="K16" i="91"/>
  <c r="K20" i="91"/>
  <c r="K23" i="91"/>
  <c r="J12" i="91"/>
  <c r="J13" i="91"/>
  <c r="J14" i="91"/>
  <c r="J15" i="91"/>
  <c r="J16" i="91"/>
  <c r="J17" i="91"/>
  <c r="J18" i="91"/>
  <c r="J19" i="91"/>
  <c r="J20" i="91"/>
  <c r="J21" i="91"/>
  <c r="J22" i="91"/>
  <c r="J11" i="91"/>
  <c r="G15" i="91"/>
  <c r="G16" i="91"/>
  <c r="G19" i="91"/>
  <c r="G20" i="91"/>
  <c r="G36" i="91"/>
  <c r="N8" i="94"/>
  <c r="N6" i="94"/>
  <c r="G11" i="91"/>
  <c r="K13" i="91"/>
  <c r="H14" i="91"/>
  <c r="D20" i="91"/>
  <c r="D21" i="91"/>
  <c r="K21" i="91" s="1"/>
  <c r="D22" i="91"/>
  <c r="H22" i="91" s="1"/>
  <c r="D23" i="91"/>
  <c r="G23" i="91" s="1"/>
  <c r="D24" i="91"/>
  <c r="H24" i="91" s="1"/>
  <c r="D25" i="91"/>
  <c r="G25" i="91" s="1"/>
  <c r="D26" i="91"/>
  <c r="G26" i="91" s="1"/>
  <c r="D27" i="91"/>
  <c r="G27" i="91" s="1"/>
  <c r="D28" i="91"/>
  <c r="H28" i="91" s="1"/>
  <c r="D29" i="91"/>
  <c r="G29" i="91" s="1"/>
  <c r="D30" i="91"/>
  <c r="G30" i="91" s="1"/>
  <c r="D31" i="91"/>
  <c r="G31" i="91" s="1"/>
  <c r="D32" i="91"/>
  <c r="G32" i="91" s="1"/>
  <c r="D33" i="91"/>
  <c r="G33" i="91" s="1"/>
  <c r="D34" i="91"/>
  <c r="G34" i="91" s="1"/>
  <c r="D35" i="91"/>
  <c r="G35" i="91" s="1"/>
  <c r="D36" i="91"/>
  <c r="D37" i="91"/>
  <c r="G37" i="91" s="1"/>
  <c r="D38" i="91"/>
  <c r="G38" i="91" s="1"/>
  <c r="D39" i="91"/>
  <c r="G39" i="91" s="1"/>
  <c r="D40" i="91"/>
  <c r="G40" i="91" s="1"/>
  <c r="D41" i="91"/>
  <c r="G41" i="91" s="1"/>
  <c r="D42" i="91"/>
  <c r="G42" i="91" s="1"/>
  <c r="D43" i="91"/>
  <c r="G43" i="91" s="1"/>
  <c r="D44" i="91"/>
  <c r="G44" i="91" s="1"/>
  <c r="D45" i="91"/>
  <c r="G45" i="91" s="1"/>
  <c r="D46" i="91"/>
  <c r="D47" i="91"/>
  <c r="D48" i="91"/>
  <c r="D49" i="91"/>
  <c r="D50" i="91"/>
  <c r="D51" i="91"/>
  <c r="D52" i="91"/>
  <c r="D53" i="91"/>
  <c r="D54" i="91"/>
  <c r="D55" i="91"/>
  <c r="D56" i="91"/>
  <c r="D57" i="91"/>
  <c r="D58" i="91"/>
  <c r="D59" i="91"/>
  <c r="D60" i="91"/>
  <c r="D61" i="91"/>
  <c r="D62" i="91"/>
  <c r="D63" i="91"/>
  <c r="D64" i="91"/>
  <c r="D65" i="91"/>
  <c r="D66" i="91"/>
  <c r="D67" i="91"/>
  <c r="D68" i="91"/>
  <c r="H13" i="91"/>
  <c r="H16" i="91"/>
  <c r="H19" i="91"/>
  <c r="H23" i="91"/>
  <c r="H27" i="91"/>
  <c r="H29" i="91"/>
  <c r="H11" i="91"/>
  <c r="N6" i="85"/>
  <c r="N4" i="85"/>
  <c r="H20" i="91"/>
  <c r="B2" i="89"/>
  <c r="B3" i="89"/>
  <c r="B5" i="89"/>
  <c r="B6" i="89"/>
  <c r="K12" i="91" l="1"/>
  <c r="K18" i="91"/>
  <c r="H15" i="91"/>
  <c r="G12" i="91"/>
  <c r="G24" i="91"/>
  <c r="G18" i="91"/>
  <c r="H21" i="91"/>
  <c r="H30" i="91"/>
  <c r="K14" i="91"/>
  <c r="H17" i="91"/>
  <c r="H26" i="91"/>
  <c r="G22" i="91"/>
  <c r="K22" i="91"/>
  <c r="G28" i="91"/>
  <c r="H25" i="91"/>
  <c r="G21" i="91"/>
</calcChain>
</file>

<file path=xl/comments1.xml><?xml version="1.0" encoding="utf-8"?>
<comments xmlns="http://schemas.openxmlformats.org/spreadsheetml/2006/main">
  <authors>
    <author>AutoBVT</author>
  </authors>
  <commentList>
    <comment ref="A5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2.xml><?xml version="1.0" encoding="utf-8"?>
<comments xmlns="http://schemas.openxmlformats.org/spreadsheetml/2006/main">
  <authors>
    <author>AutoBVT</author>
  </authors>
  <commentList>
    <comment ref="A3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3.xml><?xml version="1.0" encoding="utf-8"?>
<comments xmlns="http://schemas.openxmlformats.org/spreadsheetml/2006/main">
  <authors>
    <author>AutoBVT</author>
  </authors>
  <commentList>
    <comment ref="A3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4.xml><?xml version="1.0" encoding="utf-8"?>
<comments xmlns="http://schemas.openxmlformats.org/spreadsheetml/2006/main">
  <authors>
    <author>AutoBVT</author>
  </authors>
  <commentList>
    <comment ref="A3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5.xml><?xml version="1.0" encoding="utf-8"?>
<comments xmlns="http://schemas.openxmlformats.org/spreadsheetml/2006/main">
  <authors>
    <author>AutoBVT</author>
  </authors>
  <commentList>
    <comment ref="A4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sharedStrings.xml><?xml version="1.0" encoding="utf-8"?>
<sst xmlns="http://schemas.openxmlformats.org/spreadsheetml/2006/main" count="949" uniqueCount="693">
  <si>
    <r>
      <t>テーブル構成定義表</t>
    </r>
    <r>
      <rPr>
        <b/>
        <sz val="11"/>
        <rFont val="Arial"/>
        <family val="2"/>
      </rPr>
      <t xml:space="preserve"> </t>
    </r>
    <r>
      <rPr>
        <b/>
        <sz val="8"/>
        <rFont val="Arial"/>
        <family val="2"/>
      </rPr>
      <t>(Table Components Definition)</t>
    </r>
    <phoneticPr fontId="11"/>
  </si>
  <si>
    <r>
      <t>ﾃｰﾌﾞﾙ説明</t>
    </r>
    <r>
      <rPr>
        <b/>
        <sz val="8"/>
        <rFont val="Arial"/>
        <family val="2"/>
      </rPr>
      <t xml:space="preserve"> (Table Explanation)</t>
    </r>
    <phoneticPr fontId="11"/>
  </si>
  <si>
    <t>項目名</t>
    <phoneticPr fontId="5"/>
  </si>
  <si>
    <t>ITEM名</t>
    <phoneticPr fontId="5"/>
  </si>
  <si>
    <t>NOT</t>
    <phoneticPr fontId="5"/>
  </si>
  <si>
    <t>(Item name)</t>
    <phoneticPr fontId="5"/>
  </si>
  <si>
    <t>(Digit)</t>
    <phoneticPr fontId="5"/>
  </si>
  <si>
    <t>NULL</t>
    <phoneticPr fontId="5"/>
  </si>
  <si>
    <t>(Default)</t>
    <phoneticPr fontId="11"/>
  </si>
  <si>
    <t>(Explanation)</t>
    <phoneticPr fontId="5"/>
  </si>
  <si>
    <t>説明</t>
  </si>
  <si>
    <t>No</t>
  </si>
  <si>
    <t>桁</t>
  </si>
  <si>
    <t>TYPE</t>
  </si>
  <si>
    <t>KEY</t>
  </si>
  <si>
    <t>Index</t>
  </si>
  <si>
    <t>初期値</t>
  </si>
  <si>
    <t>CHECK</t>
  </si>
  <si>
    <t>VarChar</t>
  </si>
  <si>
    <r>
      <t>テーブル名</t>
    </r>
    <r>
      <rPr>
        <b/>
        <sz val="8"/>
        <rFont val="Arial"/>
        <family val="2"/>
      </rPr>
      <t xml:space="preserve"> (Table Name)</t>
    </r>
    <rPh sb="4" eb="5">
      <t>メイ</t>
    </rPh>
    <phoneticPr fontId="5"/>
  </si>
  <si>
    <t>(Item name)</t>
  </si>
  <si>
    <t>予想最大件数</t>
    <rPh sb="0" eb="2">
      <t>ヨソウ</t>
    </rPh>
    <rPh sb="2" eb="4">
      <t>サイダイ</t>
    </rPh>
    <rPh sb="4" eb="6">
      <t>ケンスウ</t>
    </rPh>
    <phoneticPr fontId="5"/>
  </si>
  <si>
    <t>データ</t>
    <phoneticPr fontId="5"/>
  </si>
  <si>
    <t>1行のサイズ</t>
    <rPh sb="1" eb="2">
      <t>ギョウ</t>
    </rPh>
    <phoneticPr fontId="5"/>
  </si>
  <si>
    <t>(Byte)</t>
    <phoneticPr fontId="5"/>
  </si>
  <si>
    <t>予想最大サイズ</t>
    <rPh sb="0" eb="2">
      <t>ヨソウ</t>
    </rPh>
    <rPh sb="2" eb="4">
      <t>サイダイ</t>
    </rPh>
    <phoneticPr fontId="5"/>
  </si>
  <si>
    <t>インデックス</t>
    <phoneticPr fontId="5"/>
  </si>
  <si>
    <t>型</t>
  </si>
  <si>
    <t>Char</t>
  </si>
  <si>
    <t>identity</t>
  </si>
  <si>
    <t>上記の枠内がコンボボックスへ表示されます。もし、これ以上にコンボボックスに表示させる項目を増やしたい場合は、コンボボックスの入力範囲の設定をし直してください。</t>
  </si>
  <si>
    <t>照合順序</t>
    <rPh sb="0" eb="2">
      <t>ショウゴウ</t>
    </rPh>
    <rPh sb="2" eb="4">
      <t>ジュンジョ</t>
    </rPh>
    <phoneticPr fontId="11"/>
  </si>
  <si>
    <t>更新権限ユーザ</t>
    <rPh sb="0" eb="2">
      <t>コウシン</t>
    </rPh>
    <rPh sb="2" eb="4">
      <t>ケンゲン</t>
    </rPh>
    <phoneticPr fontId="11"/>
  </si>
  <si>
    <t>照会専用ユーザ</t>
    <rPh sb="0" eb="2">
      <t>ショウカイ</t>
    </rPh>
    <rPh sb="2" eb="4">
      <t>センヨウ</t>
    </rPh>
    <phoneticPr fontId="11"/>
  </si>
  <si>
    <t>Japanese_XJIS_100_BIN2</t>
    <phoneticPr fontId="11"/>
  </si>
  <si>
    <t>ons</t>
    <phoneticPr fontId="11"/>
  </si>
  <si>
    <t>Numeric</t>
    <phoneticPr fontId="11"/>
  </si>
  <si>
    <t>DateTime</t>
    <phoneticPr fontId="11"/>
  </si>
  <si>
    <t>照合順序が上記と異なる場合は上書きしてください。</t>
    <rPh sb="0" eb="2">
      <t>ショウゴウ</t>
    </rPh>
    <rPh sb="2" eb="4">
      <t>ジュンジョ</t>
    </rPh>
    <rPh sb="5" eb="7">
      <t>ジョウキ</t>
    </rPh>
    <rPh sb="8" eb="9">
      <t>コト</t>
    </rPh>
    <rPh sb="11" eb="13">
      <t>バアイ</t>
    </rPh>
    <rPh sb="14" eb="16">
      <t>ウワガ</t>
    </rPh>
    <phoneticPr fontId="11"/>
  </si>
  <si>
    <t>CREATE文中に出てくる更新権限ユーザ</t>
    <rPh sb="6" eb="7">
      <t>ブン</t>
    </rPh>
    <rPh sb="7" eb="8">
      <t>チュウ</t>
    </rPh>
    <rPh sb="9" eb="10">
      <t>デ</t>
    </rPh>
    <rPh sb="13" eb="15">
      <t>コウシン</t>
    </rPh>
    <rPh sb="15" eb="17">
      <t>ケンゲン</t>
    </rPh>
    <phoneticPr fontId="11"/>
  </si>
  <si>
    <t>CREATE文中に出てくる照会権限ユーザ</t>
    <rPh sb="6" eb="7">
      <t>ブン</t>
    </rPh>
    <rPh sb="7" eb="8">
      <t>チュウ</t>
    </rPh>
    <rPh sb="9" eb="10">
      <t>デ</t>
    </rPh>
    <rPh sb="13" eb="15">
      <t>ショウカイ</t>
    </rPh>
    <rPh sb="15" eb="17">
      <t>ケンゲン</t>
    </rPh>
    <phoneticPr fontId="11"/>
  </si>
  <si>
    <r>
      <t>名称</t>
    </r>
    <r>
      <rPr>
        <b/>
        <sz val="8"/>
        <rFont val="Arial"/>
        <family val="2"/>
      </rPr>
      <t xml:space="preserve"> (Name)</t>
    </r>
    <r>
      <rPr>
        <b/>
        <sz val="8"/>
        <rFont val="ＭＳ ゴシック"/>
        <family val="3"/>
        <charset val="128"/>
      </rPr>
      <t>漢字</t>
    </r>
    <rPh sb="0" eb="2">
      <t>メイショウ</t>
    </rPh>
    <rPh sb="9" eb="11">
      <t>カンジ</t>
    </rPh>
    <phoneticPr fontId="5"/>
  </si>
  <si>
    <t>Data Source</t>
    <phoneticPr fontId="5"/>
  </si>
  <si>
    <t>Initial Catalog</t>
    <phoneticPr fontId="5"/>
  </si>
  <si>
    <t>Provider=SQLOLEDB.1;Data Source=10.160.200.39; Initial Catalog=auto_code;Persist Security Info=True;User ID=sa;Password=lixil@2014</t>
    <phoneticPr fontId="5"/>
  </si>
  <si>
    <t>(Digit)</t>
  </si>
  <si>
    <t>修正前</t>
    <rPh sb="0" eb="2">
      <t>シュウセイ</t>
    </rPh>
    <rPh sb="2" eb="3">
      <t>ゼン</t>
    </rPh>
    <phoneticPr fontId="5"/>
  </si>
  <si>
    <t>修正後</t>
    <rPh sb="0" eb="2">
      <t>シュウセイ</t>
    </rPh>
    <rPh sb="2" eb="3">
      <t>ゴ</t>
    </rPh>
    <phoneticPr fontId="5"/>
  </si>
  <si>
    <t>ReplaceSen</t>
  </si>
  <si>
    <t>ミックスマッチ</t>
  </si>
  <si>
    <t>ファイルサイズ</t>
  </si>
  <si>
    <t>取引開始時刻</t>
  </si>
  <si>
    <t>権限グループ</t>
  </si>
  <si>
    <t>マネーカード</t>
  </si>
  <si>
    <t>キャッシャー</t>
  </si>
  <si>
    <t>ﾌｧｲﾙ名</t>
  </si>
  <si>
    <t>店ｺｰﾄﾞ</t>
  </si>
  <si>
    <t>レコード数</t>
  </si>
  <si>
    <t>メッセージ</t>
  </si>
  <si>
    <t>マニュアル</t>
  </si>
  <si>
    <t>ペアマッチ</t>
  </si>
  <si>
    <t>プリペイド</t>
  </si>
  <si>
    <t>チェッカー</t>
  </si>
  <si>
    <t>クレジット</t>
  </si>
  <si>
    <t>ﾌﾗｸﾞ</t>
  </si>
  <si>
    <t>ファイル</t>
  </si>
  <si>
    <t>ﾌｧｲﾙ</t>
  </si>
  <si>
    <t>ｻｲｽﾞ</t>
  </si>
  <si>
    <t>ｺｰﾄﾞ</t>
  </si>
  <si>
    <t>明細情報</t>
  </si>
  <si>
    <t>店コード</t>
  </si>
  <si>
    <t>除外区分</t>
  </si>
  <si>
    <t>作成時刻</t>
  </si>
  <si>
    <t>緊急通知</t>
  </si>
  <si>
    <t>開始時刻</t>
  </si>
  <si>
    <t>ポイント</t>
  </si>
  <si>
    <t>スケール</t>
  </si>
  <si>
    <t>スキャン</t>
  </si>
  <si>
    <t>システム</t>
  </si>
  <si>
    <t>ゴンドラ</t>
  </si>
  <si>
    <t>グループ</t>
  </si>
  <si>
    <t>クーポン</t>
  </si>
  <si>
    <t>アマッチ</t>
  </si>
  <si>
    <t>アイテム</t>
  </si>
  <si>
    <t>ＦＲＯＭ</t>
  </si>
  <si>
    <t>未登録</t>
  </si>
  <si>
    <t>満点券</t>
  </si>
  <si>
    <t>保証書</t>
  </si>
  <si>
    <t>売上高</t>
  </si>
  <si>
    <t>入金額</t>
  </si>
  <si>
    <t>誕生日</t>
  </si>
  <si>
    <t>担当者</t>
  </si>
  <si>
    <t>大分類</t>
  </si>
  <si>
    <t>税区分</t>
  </si>
  <si>
    <t>振替後</t>
  </si>
  <si>
    <t>小数点</t>
  </si>
  <si>
    <t>出金額</t>
  </si>
  <si>
    <t>従業員</t>
  </si>
  <si>
    <t>修正時</t>
  </si>
  <si>
    <t>取引先</t>
  </si>
  <si>
    <t>作成日</t>
  </si>
  <si>
    <t>現外券</t>
  </si>
  <si>
    <t>運用日</t>
  </si>
  <si>
    <t>レベル</t>
  </si>
  <si>
    <t>リード</t>
  </si>
  <si>
    <t>モード</t>
  </si>
  <si>
    <t>マスタ</t>
  </si>
  <si>
    <t>マーク</t>
  </si>
  <si>
    <t>フラグ</t>
  </si>
  <si>
    <t>バンド</t>
  </si>
  <si>
    <t>バンドル</t>
  </si>
  <si>
    <t>ダウン</t>
  </si>
  <si>
    <t>タイム</t>
  </si>
  <si>
    <t>タイプ</t>
  </si>
  <si>
    <t>サイズ</t>
  </si>
  <si>
    <t>コード</t>
  </si>
  <si>
    <t>クラス</t>
  </si>
  <si>
    <t>カード</t>
  </si>
  <si>
    <t>エリア</t>
  </si>
  <si>
    <t>累計</t>
  </si>
  <si>
    <t>理由</t>
  </si>
  <si>
    <t>予備</t>
  </si>
  <si>
    <t>予算</t>
  </si>
  <si>
    <t>明細</t>
  </si>
  <si>
    <t>名前</t>
  </si>
  <si>
    <t>満点</t>
  </si>
  <si>
    <t>枚数</t>
  </si>
  <si>
    <t>報告</t>
  </si>
  <si>
    <t>返瓶</t>
  </si>
  <si>
    <t>たぶん返品の間違いだと思われる</t>
  </si>
  <si>
    <t>返品</t>
  </si>
  <si>
    <t>平均</t>
  </si>
  <si>
    <t>分類</t>
  </si>
  <si>
    <t>付属</t>
  </si>
  <si>
    <t>品種</t>
  </si>
  <si>
    <t>標準</t>
  </si>
  <si>
    <t>番号</t>
  </si>
  <si>
    <t>販売</t>
  </si>
  <si>
    <t>汎用</t>
  </si>
  <si>
    <t>発行</t>
  </si>
  <si>
    <t>売場</t>
  </si>
  <si>
    <t>売上</t>
  </si>
  <si>
    <t>買上</t>
  </si>
  <si>
    <t>廃棄</t>
  </si>
  <si>
    <t>入金</t>
  </si>
  <si>
    <t>日付</t>
  </si>
  <si>
    <t>日割</t>
  </si>
  <si>
    <t>内税</t>
  </si>
  <si>
    <t>特売</t>
  </si>
  <si>
    <t>登録</t>
  </si>
  <si>
    <t>電子</t>
  </si>
  <si>
    <t>伝票</t>
  </si>
  <si>
    <t>点数</t>
  </si>
  <si>
    <t>店名</t>
  </si>
  <si>
    <t>店舗</t>
  </si>
  <si>
    <t>訂正</t>
  </si>
  <si>
    <t>通番</t>
  </si>
  <si>
    <t>値引</t>
  </si>
  <si>
    <t>単品</t>
  </si>
  <si>
    <t>単価</t>
  </si>
  <si>
    <t>棚卸</t>
  </si>
  <si>
    <t>代表</t>
  </si>
  <si>
    <t>属性</t>
  </si>
  <si>
    <t>前回</t>
  </si>
  <si>
    <t>振替</t>
  </si>
  <si>
    <t>情報</t>
  </si>
  <si>
    <t>場所</t>
  </si>
  <si>
    <t>小計</t>
  </si>
  <si>
    <t>商品</t>
  </si>
  <si>
    <t>除外</t>
  </si>
  <si>
    <t>出力</t>
  </si>
  <si>
    <t>出金</t>
  </si>
  <si>
    <t>終了</t>
  </si>
  <si>
    <t>修正</t>
  </si>
  <si>
    <t>修飾</t>
  </si>
  <si>
    <t>収入</t>
  </si>
  <si>
    <t>種別</t>
  </si>
  <si>
    <t>取消</t>
  </si>
  <si>
    <t>取引</t>
  </si>
  <si>
    <t>識別</t>
  </si>
  <si>
    <t>自動</t>
  </si>
  <si>
    <t>磁気</t>
  </si>
  <si>
    <t>時刻</t>
  </si>
  <si>
    <t>時間</t>
  </si>
  <si>
    <t>指定</t>
  </si>
  <si>
    <t>指示</t>
  </si>
  <si>
    <t>削除</t>
  </si>
  <si>
    <t>最終</t>
  </si>
  <si>
    <t>今回</t>
  </si>
  <si>
    <t>合計</t>
  </si>
  <si>
    <t>合価</t>
  </si>
  <si>
    <t>項目</t>
  </si>
  <si>
    <t>交換</t>
  </si>
  <si>
    <t>顧客</t>
  </si>
  <si>
    <t>個数</t>
  </si>
  <si>
    <t>原価</t>
  </si>
  <si>
    <t>検品</t>
  </si>
  <si>
    <t>区分</t>
  </si>
  <si>
    <t>金額</t>
  </si>
  <si>
    <t>業務</t>
  </si>
  <si>
    <t>業態</t>
  </si>
  <si>
    <t>強制</t>
  </si>
  <si>
    <t>休日</t>
  </si>
  <si>
    <t>客層</t>
  </si>
  <si>
    <t>客数</t>
  </si>
  <si>
    <t>機種</t>
  </si>
  <si>
    <t>期間</t>
  </si>
  <si>
    <t>企画</t>
  </si>
  <si>
    <t>管理</t>
  </si>
  <si>
    <t>完了</t>
  </si>
  <si>
    <t>割引</t>
  </si>
  <si>
    <t>外税</t>
  </si>
  <si>
    <t>階層</t>
  </si>
  <si>
    <t>回数</t>
  </si>
  <si>
    <t>会員</t>
  </si>
  <si>
    <t>運用</t>
  </si>
  <si>
    <t>印字</t>
  </si>
  <si>
    <t>印紙</t>
  </si>
  <si>
    <t>一括</t>
  </si>
  <si>
    <t>き率</t>
  </si>
  <si>
    <t>ＦＧ</t>
  </si>
  <si>
    <t>__</t>
  </si>
  <si>
    <t>_</t>
  </si>
  <si>
    <t>列</t>
  </si>
  <si>
    <t>量</t>
  </si>
  <si>
    <t>率</t>
  </si>
  <si>
    <t>名</t>
  </si>
  <si>
    <t>日</t>
  </si>
  <si>
    <t>内</t>
  </si>
  <si>
    <t>店</t>
  </si>
  <si>
    <t>段</t>
  </si>
  <si>
    <t>前</t>
  </si>
  <si>
    <t>数</t>
  </si>
  <si>
    <t>純</t>
  </si>
  <si>
    <t>字</t>
  </si>
  <si>
    <t>ji</t>
  </si>
  <si>
    <t>後</t>
  </si>
  <si>
    <t>元</t>
  </si>
  <si>
    <t>掛</t>
  </si>
  <si>
    <t>額</t>
  </si>
  <si>
    <t>外</t>
  </si>
  <si>
    <t>Ｚ</t>
  </si>
  <si>
    <t>z</t>
  </si>
  <si>
    <t>Ｙ</t>
  </si>
  <si>
    <t>y</t>
  </si>
  <si>
    <t>Ｘ</t>
  </si>
  <si>
    <t>x</t>
  </si>
  <si>
    <t>Ｗ</t>
  </si>
  <si>
    <t>w</t>
  </si>
  <si>
    <t>Ｖ</t>
  </si>
  <si>
    <t>v</t>
  </si>
  <si>
    <t>Ｕ</t>
  </si>
  <si>
    <t>u</t>
  </si>
  <si>
    <t>Ｔ</t>
  </si>
  <si>
    <t>t</t>
  </si>
  <si>
    <t>Ｓ</t>
  </si>
  <si>
    <t>s</t>
  </si>
  <si>
    <t>Ｒ</t>
  </si>
  <si>
    <t>r</t>
  </si>
  <si>
    <t>Ｑ</t>
  </si>
  <si>
    <t>q</t>
  </si>
  <si>
    <t>Ｐ</t>
  </si>
  <si>
    <t>p</t>
  </si>
  <si>
    <t>Ｏ</t>
  </si>
  <si>
    <t>o</t>
  </si>
  <si>
    <t>Ｎ</t>
  </si>
  <si>
    <t>n</t>
  </si>
  <si>
    <t>Ｍ</t>
  </si>
  <si>
    <t>m</t>
  </si>
  <si>
    <t>Ｌ</t>
  </si>
  <si>
    <t>l</t>
  </si>
  <si>
    <t>Ｋ</t>
  </si>
  <si>
    <t>k</t>
  </si>
  <si>
    <t>Ｊ</t>
  </si>
  <si>
    <t>j</t>
  </si>
  <si>
    <t>Ｉ</t>
  </si>
  <si>
    <t>i</t>
  </si>
  <si>
    <t>Ｈ</t>
  </si>
  <si>
    <t>h</t>
  </si>
  <si>
    <t>Ｇ</t>
  </si>
  <si>
    <t>g</t>
  </si>
  <si>
    <t>Ｆ</t>
  </si>
  <si>
    <t>f</t>
  </si>
  <si>
    <t>Ｅ</t>
  </si>
  <si>
    <t>e</t>
  </si>
  <si>
    <t>Ｄ</t>
  </si>
  <si>
    <t>d</t>
  </si>
  <si>
    <t>Ｃ</t>
  </si>
  <si>
    <t>c</t>
  </si>
  <si>
    <t>Ｂ</t>
  </si>
  <si>
    <t>b</t>
  </si>
  <si>
    <t>Ａ</t>
  </si>
  <si>
    <t>a</t>
  </si>
  <si>
    <t>－</t>
  </si>
  <si>
    <t>売場単位</t>
  </si>
  <si>
    <t>GPコード</t>
  </si>
  <si>
    <t>金種</t>
  </si>
  <si>
    <t>金種別</t>
  </si>
  <si>
    <t>外税計</t>
  </si>
  <si>
    <t>内税計</t>
  </si>
  <si>
    <t>セット</t>
  </si>
  <si>
    <t>売変</t>
  </si>
  <si>
    <t>税</t>
  </si>
  <si>
    <t>金種別計</t>
  </si>
  <si>
    <t>レジ</t>
  </si>
  <si>
    <t>レジＮｏ．</t>
  </si>
  <si>
    <t>regi_no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</si>
  <si>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</si>
  <si>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</si>
  <si>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</si>
  <si>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</si>
  <si>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</si>
  <si>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</si>
  <si>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</si>
  <si>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</si>
  <si>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</si>
  <si>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９</t>
  </si>
  <si>
    <t>８</t>
  </si>
  <si>
    <t>７</t>
  </si>
  <si>
    <t>６</t>
  </si>
  <si>
    <t>５</t>
  </si>
  <si>
    <t>４</t>
  </si>
  <si>
    <t>３</t>
  </si>
  <si>
    <t>２</t>
  </si>
  <si>
    <t>１</t>
  </si>
  <si>
    <t>０</t>
  </si>
  <si>
    <t>0</t>
  </si>
  <si>
    <t>ReplaceType</t>
    <phoneticPr fontId="5"/>
  </si>
  <si>
    <t>1:そのままReplace</t>
    <phoneticPr fontId="5"/>
  </si>
  <si>
    <t>_mm</t>
  </si>
  <si>
    <t>_filesize</t>
  </si>
  <si>
    <t>_torihiki_kaisi_time</t>
  </si>
  <si>
    <t>_kengen_group</t>
  </si>
  <si>
    <t>_money_card</t>
  </si>
  <si>
    <t>_casher</t>
  </si>
  <si>
    <t>_filename</t>
  </si>
  <si>
    <t>_tenpo_cd</t>
  </si>
  <si>
    <t>_record_suu</t>
  </si>
  <si>
    <t>_msg</t>
  </si>
  <si>
    <t>_manual</t>
  </si>
  <si>
    <t>_pear_match</t>
  </si>
  <si>
    <t>_prepaid</t>
  </si>
  <si>
    <t>_checker</t>
  </si>
  <si>
    <t>_credit</t>
  </si>
  <si>
    <t>_flg</t>
  </si>
  <si>
    <t>_file</t>
  </si>
  <si>
    <t>_size</t>
  </si>
  <si>
    <t>_cd</t>
  </si>
  <si>
    <t>_meisai_info</t>
  </si>
  <si>
    <t>_jyogai_kbn</t>
  </si>
  <si>
    <t>_sakusei_time</t>
  </si>
  <si>
    <t>_kinkyuu_tuuti</t>
  </si>
  <si>
    <t>_kaisi_time</t>
  </si>
  <si>
    <t>_point</t>
  </si>
  <si>
    <t>_scale</t>
  </si>
  <si>
    <t>_scan</t>
  </si>
  <si>
    <t>_system</t>
  </si>
  <si>
    <t>_gondola</t>
  </si>
  <si>
    <t>_group</t>
  </si>
  <si>
    <t>_coupon</t>
  </si>
  <si>
    <t>_un_match</t>
  </si>
  <si>
    <t>_item</t>
  </si>
  <si>
    <t>_from</t>
  </si>
  <si>
    <t>_mitouroku</t>
  </si>
  <si>
    <t>_mantenken</t>
  </si>
  <si>
    <t>_hosyousyo</t>
  </si>
  <si>
    <t>_uriagedaka</t>
  </si>
  <si>
    <t>_nyuukingaku</t>
  </si>
  <si>
    <t>_tanjyoubi</t>
  </si>
  <si>
    <t>_tantousya</t>
  </si>
  <si>
    <t>_daibunrui</t>
  </si>
  <si>
    <t>_zei_kbn</t>
  </si>
  <si>
    <t>_furikaego</t>
  </si>
  <si>
    <t>_syousuuten</t>
  </si>
  <si>
    <t>_syukingaku</t>
  </si>
  <si>
    <t>_jyuugyouin</t>
  </si>
  <si>
    <t>_syuusei_ji</t>
  </si>
  <si>
    <t>_torihikisaki</t>
  </si>
  <si>
    <t>_sakusei_date</t>
  </si>
  <si>
    <t>_gengaiken</t>
  </si>
  <si>
    <t>_unyou_date</t>
  </si>
  <si>
    <t>_level</t>
  </si>
  <si>
    <t>_lead</t>
  </si>
  <si>
    <t>_mode</t>
  </si>
  <si>
    <t>_mst</t>
  </si>
  <si>
    <t>_mark</t>
  </si>
  <si>
    <t>_bundle</t>
  </si>
  <si>
    <t>_down</t>
  </si>
  <si>
    <t>_time</t>
  </si>
  <si>
    <t>_type</t>
  </si>
  <si>
    <t>_class</t>
  </si>
  <si>
    <t>_card</t>
  </si>
  <si>
    <t>_area</t>
  </si>
  <si>
    <t>_ruikei</t>
  </si>
  <si>
    <t>_riyuu</t>
  </si>
  <si>
    <t>_yobi</t>
  </si>
  <si>
    <t>_yosan</t>
  </si>
  <si>
    <t>_meisai</t>
  </si>
  <si>
    <t>_name</t>
  </si>
  <si>
    <t>_manten</t>
  </si>
  <si>
    <t>_maisuu</t>
  </si>
  <si>
    <t>_houkoku</t>
  </si>
  <si>
    <t>_henpin</t>
  </si>
  <si>
    <t>_avg</t>
  </si>
  <si>
    <t>_bunrui</t>
  </si>
  <si>
    <t>_fuzuku</t>
  </si>
  <si>
    <t>_hinsyu</t>
  </si>
  <si>
    <t>_hyoujyun</t>
  </si>
  <si>
    <t>_no</t>
  </si>
  <si>
    <t>_hanbai</t>
  </si>
  <si>
    <t>_hanyou</t>
  </si>
  <si>
    <t>_hakkou</t>
  </si>
  <si>
    <t>_uriba</t>
  </si>
  <si>
    <t>_uriage</t>
  </si>
  <si>
    <t>_kaiage</t>
  </si>
  <si>
    <t>_haiki</t>
  </si>
  <si>
    <t>_nyuukin</t>
  </si>
  <si>
    <t>_hiduke</t>
  </si>
  <si>
    <t>_hiwari</t>
  </si>
  <si>
    <t>_uchizei</t>
  </si>
  <si>
    <t>_tokubai</t>
  </si>
  <si>
    <t>_touroku</t>
  </si>
  <si>
    <t>_densi</t>
  </si>
  <si>
    <t>_denpyou</t>
  </si>
  <si>
    <t>_tensuu</t>
  </si>
  <si>
    <t>_tenmei</t>
  </si>
  <si>
    <t>_tenpo</t>
  </si>
  <si>
    <t>_teisei</t>
  </si>
  <si>
    <t>_tsuuban</t>
  </si>
  <si>
    <t>_nebiki</t>
  </si>
  <si>
    <t>_tanpin</t>
  </si>
  <si>
    <t>_tanka</t>
  </si>
  <si>
    <t>_tanaorosi</t>
  </si>
  <si>
    <t>_daihyou</t>
  </si>
  <si>
    <t>_zokusei</t>
  </si>
  <si>
    <t>_zenkai</t>
  </si>
  <si>
    <t>_furikae</t>
  </si>
  <si>
    <t>_info</t>
  </si>
  <si>
    <t>_basyo</t>
  </si>
  <si>
    <t>_syoukei</t>
  </si>
  <si>
    <t>_syouhin</t>
  </si>
  <si>
    <t>_jyogai</t>
  </si>
  <si>
    <t>_syuturyoku</t>
  </si>
  <si>
    <t>_syukin</t>
  </si>
  <si>
    <t>_syuuryou</t>
  </si>
  <si>
    <t>_syuusei</t>
  </si>
  <si>
    <t>_syuusyoku</t>
  </si>
  <si>
    <t>_syuunyuu</t>
  </si>
  <si>
    <t>_syubetu</t>
  </si>
  <si>
    <t>_torikesi</t>
  </si>
  <si>
    <t>_torihiki</t>
  </si>
  <si>
    <t>_sikibetu</t>
  </si>
  <si>
    <t>_jidou</t>
  </si>
  <si>
    <t>_jiki</t>
  </si>
  <si>
    <t>_sitei</t>
  </si>
  <si>
    <t>_siji</t>
  </si>
  <si>
    <t>_delete</t>
  </si>
  <si>
    <t>_saisyuu</t>
  </si>
  <si>
    <t>_konkai</t>
  </si>
  <si>
    <t>_goukei</t>
  </si>
  <si>
    <t>_gouka</t>
  </si>
  <si>
    <t>_koumoku</t>
  </si>
  <si>
    <t>_koukan</t>
  </si>
  <si>
    <t>_kokyaku</t>
  </si>
  <si>
    <t>_kosuu</t>
  </si>
  <si>
    <t>_genka</t>
  </si>
  <si>
    <t>_kenpin</t>
  </si>
  <si>
    <t>_kbn</t>
  </si>
  <si>
    <t>_kingaku</t>
  </si>
  <si>
    <t>_gyoumu</t>
  </si>
  <si>
    <t>_gyoutai</t>
  </si>
  <si>
    <t>_kyousei</t>
  </si>
  <si>
    <t>_kyuujitu</t>
  </si>
  <si>
    <t>_kyakusou</t>
  </si>
  <si>
    <t>_kyakusuu</t>
  </si>
  <si>
    <t>_kisyu</t>
  </si>
  <si>
    <t>_kikan</t>
  </si>
  <si>
    <t>_kikaku</t>
  </si>
  <si>
    <t>_kanri</t>
  </si>
  <si>
    <t>_kanryou</t>
  </si>
  <si>
    <t>_waribiki</t>
  </si>
  <si>
    <t>_sotozei</t>
  </si>
  <si>
    <t>_kaisou</t>
  </si>
  <si>
    <t>_kaisu</t>
  </si>
  <si>
    <t>_kaiin</t>
  </si>
  <si>
    <t>_unyou</t>
  </si>
  <si>
    <t>_inji</t>
  </si>
  <si>
    <t>_insi</t>
  </si>
  <si>
    <t>_ikkatsu</t>
  </si>
  <si>
    <t>_ritu</t>
  </si>
  <si>
    <t>_fg</t>
  </si>
  <si>
    <t>_retu</t>
  </si>
  <si>
    <t>_ryou</t>
  </si>
  <si>
    <t>_hi</t>
  </si>
  <si>
    <t>_uchiか_naii</t>
  </si>
  <si>
    <t>_ten</t>
  </si>
  <si>
    <t>_dan</t>
  </si>
  <si>
    <t>_maeか_zen</t>
  </si>
  <si>
    <t>_suu</t>
  </si>
  <si>
    <t>_jyun</t>
  </si>
  <si>
    <t>_go</t>
  </si>
  <si>
    <t>_moto</t>
  </si>
  <si>
    <t>_kake</t>
  </si>
  <si>
    <t>_gaku</t>
  </si>
  <si>
    <t>_gai</t>
  </si>
  <si>
    <t>_uriba_tani</t>
  </si>
  <si>
    <t>_gp_cd</t>
  </si>
  <si>
    <t>_kinsyu</t>
  </si>
  <si>
    <t>_kinsyubetu</t>
  </si>
  <si>
    <t>_sotozei_kei</t>
  </si>
  <si>
    <t>_uchizei_kei</t>
  </si>
  <si>
    <t>_set</t>
  </si>
  <si>
    <t>_baihen</t>
  </si>
  <si>
    <t>_zei</t>
  </si>
  <si>
    <t>_kinsyubetu_kei</t>
  </si>
  <si>
    <t>_regi</t>
  </si>
  <si>
    <t>ReplaceGen</t>
    <phoneticPr fontId="5"/>
  </si>
  <si>
    <t>データ・ソース</t>
  </si>
  <si>
    <t>_data_source</t>
  </si>
  <si>
    <t>edp_no</t>
  </si>
  <si>
    <t>edp_mei</t>
  </si>
  <si>
    <t>edp_exp</t>
  </si>
  <si>
    <t>idx</t>
  </si>
  <si>
    <t>status</t>
  </si>
  <si>
    <t>EDP 名</t>
  </si>
  <si>
    <t>EDP 説明</t>
  </si>
  <si>
    <t xml:space="preserve">ステータス       </t>
  </si>
  <si>
    <t>status2</t>
  </si>
  <si>
    <t>●</t>
    <phoneticPr fontId="5"/>
  </si>
  <si>
    <t>固定</t>
    <rPh sb="0" eb="2">
      <t>コテイ</t>
    </rPh>
    <phoneticPr fontId="5"/>
  </si>
  <si>
    <t>Provider=SQLOLEDB.1;Data Source=ADP1QD9478YL0O2\ILIKE; Initial Catalog=auto_code;Persist Security Info=True;User ID=sa;Password=19833130</t>
  </si>
  <si>
    <t>nvarchar</t>
  </si>
  <si>
    <t>int</t>
  </si>
  <si>
    <t>nchar</t>
  </si>
  <si>
    <t>m_edp_test</t>
    <phoneticPr fontId="5"/>
  </si>
  <si>
    <t>ｉｎｄｅｘ</t>
  </si>
  <si>
    <t>COPY元 Table 名</t>
    <rPh sb="4" eb="5">
      <t>ゲン</t>
    </rPh>
    <rPh sb="12" eb="13">
      <t>メイ</t>
    </rPh>
    <phoneticPr fontId="5"/>
  </si>
  <si>
    <t>COPY先 Table 名</t>
    <rPh sb="4" eb="5">
      <t>セン</t>
    </rPh>
    <rPh sb="12" eb="13">
      <t>メイ</t>
    </rPh>
    <phoneticPr fontId="5"/>
  </si>
  <si>
    <t>データCOPYだけ</t>
    <phoneticPr fontId="5"/>
  </si>
  <si>
    <r>
      <t xml:space="preserve">                                 </t>
    </r>
    <r>
      <rPr>
        <sz val="11"/>
        <rFont val="ＭＳ ゴシック"/>
        <family val="3"/>
        <charset val="128"/>
      </rPr>
      <t>テーブル定義書</t>
    </r>
    <r>
      <rPr>
        <sz val="8"/>
        <rFont val="Arial"/>
        <family val="2"/>
      </rPr>
      <t>(Table Definition Sheet)</t>
    </r>
    <rPh sb="39" eb="40">
      <t>ショ</t>
    </rPh>
    <phoneticPr fontId="11"/>
  </si>
  <si>
    <t>変更日:</t>
    <phoneticPr fontId="11"/>
  </si>
  <si>
    <t>ＰＪ名(PJ name)：</t>
    <phoneticPr fontId="11"/>
  </si>
  <si>
    <t>発注</t>
    <rPh sb="0" eb="2">
      <t>ハッチュウ</t>
    </rPh>
    <phoneticPr fontId="5"/>
  </si>
  <si>
    <t>作成日:</t>
    <phoneticPr fontId="11"/>
  </si>
  <si>
    <t>COPYのSQL</t>
    <phoneticPr fontId="5"/>
  </si>
  <si>
    <t>復元のSQL</t>
    <phoneticPr fontId="5"/>
  </si>
  <si>
    <t>DBではなく、TABLEのみ</t>
    <phoneticPr fontId="5"/>
  </si>
  <si>
    <t>m_user</t>
  </si>
  <si>
    <t>m_siryou_bk</t>
  </si>
  <si>
    <t>以下 BackUp</t>
    <rPh sb="0" eb="2">
      <t>イカ</t>
    </rPh>
    <phoneticPr fontId="5"/>
  </si>
  <si>
    <t>DELL</t>
    <phoneticPr fontId="5"/>
  </si>
  <si>
    <t>Provider=SQLOLEDB.1;Integrated Security=SSPI;Persist Security Info=False;Initial Catalog=auto_code;Data Source=10.160.200.39</t>
    <phoneticPr fontId="5"/>
  </si>
  <si>
    <t>Company</t>
    <phoneticPr fontId="5"/>
  </si>
  <si>
    <t>Provider=SQLOLEDB.1;Data Source=10.160.200.39; Initial Catalog=COPY-SA;Persist Security Info=True;User ID=sa;Password=lixil@2014</t>
    <phoneticPr fontId="5"/>
  </si>
  <si>
    <t>DB接続設定</t>
    <rPh sb="2" eb="4">
      <t>セツゾク</t>
    </rPh>
    <rPh sb="4" eb="6">
      <t>セッテイ</t>
    </rPh>
    <phoneticPr fontId="5"/>
  </si>
  <si>
    <t>TABLE一覧取得</t>
    <rPh sb="5" eb="7">
      <t>イチラン</t>
    </rPh>
    <rPh sb="7" eb="9">
      <t>シュトク</t>
    </rPh>
    <phoneticPr fontId="5"/>
  </si>
  <si>
    <t>TABLEのCopy</t>
    <phoneticPr fontId="5"/>
  </si>
  <si>
    <t>TABLE作成のTemplete</t>
    <rPh sb="5" eb="7">
      <t>サクセイ</t>
    </rPh>
    <phoneticPr fontId="5"/>
  </si>
  <si>
    <t>COPY利用</t>
    <rPh sb="4" eb="6">
      <t>リヨウ</t>
    </rPh>
    <phoneticPr fontId="5"/>
  </si>
  <si>
    <t>1.</t>
    <phoneticPr fontId="5"/>
  </si>
  <si>
    <t>2.</t>
  </si>
  <si>
    <t>3.</t>
  </si>
  <si>
    <t>4.</t>
  </si>
  <si>
    <t>COPY-SA</t>
    <phoneticPr fontId="5"/>
  </si>
  <si>
    <t>auto_code</t>
    <phoneticPr fontId="5"/>
  </si>
  <si>
    <t>SUKAGAWA</t>
  </si>
  <si>
    <t>t_test_item_confirm</t>
  </si>
  <si>
    <t>t_test_item_answer</t>
  </si>
  <si>
    <t>t_test_item_judge</t>
  </si>
  <si>
    <t>t_test_item_learn_cor</t>
  </si>
  <si>
    <t>t_test_subject_info</t>
  </si>
  <si>
    <t>m_syain</t>
  </si>
  <si>
    <t>t_test_item_info</t>
  </si>
  <si>
    <t>t_test_learn</t>
  </si>
  <si>
    <t>t_test_question</t>
  </si>
  <si>
    <t>ＳＴＡＴＵＳ２</t>
  </si>
  <si>
    <t>R111</t>
  </si>
  <si>
    <t>aaa</t>
  </si>
  <si>
    <t/>
  </si>
  <si>
    <t xml:space="preserve">  </t>
  </si>
  <si>
    <t xml:space="preserve">   </t>
  </si>
  <si>
    <t>R112</t>
  </si>
  <si>
    <t>R114</t>
  </si>
  <si>
    <t>R115</t>
  </si>
  <si>
    <t>sysdiagrams</t>
  </si>
  <si>
    <t>P1</t>
  </si>
  <si>
    <t>○</t>
  </si>
  <si>
    <t>●</t>
    <phoneticPr fontId="5"/>
  </si>
  <si>
    <t>EDP NUMBER-(key)</t>
    <phoneticPr fontId="5"/>
  </si>
  <si>
    <t>ASPXのパス</t>
    <phoneticPr fontId="5"/>
  </si>
  <si>
    <t>作成者：李松涛</t>
    <rPh sb="4" eb="5">
      <t>リ</t>
    </rPh>
    <rPh sb="5" eb="6">
      <t>マツ</t>
    </rPh>
    <rPh sb="6" eb="7">
      <t>トウ</t>
    </rPh>
    <phoneticPr fontId="11"/>
  </si>
  <si>
    <t>EDP-№：</t>
    <phoneticPr fontId="11"/>
  </si>
  <si>
    <t>EDP-№：999999</t>
    <phoneticPr fontId="11"/>
  </si>
  <si>
    <t>P2</t>
  </si>
  <si>
    <t>P3</t>
  </si>
  <si>
    <t>P4</t>
  </si>
  <si>
    <t>Provider=SQLOLEDB.1;Data Source=LKD392; Initial Catalog=SUKAGAWA;Persist Security Info=True;User ID=s_kensyu;Password=sukagawa</t>
    <phoneticPr fontId="5"/>
  </si>
  <si>
    <t>Provider=SQLOLEDB.1;Data Source=WIN7U-20150705K\R2; Initial Catalog=auto_code;Persist Security Info=True;User ID=sa;Password=1983313a</t>
    <phoneticPr fontId="5"/>
  </si>
  <si>
    <t>m_default_info</t>
  </si>
  <si>
    <t>m_db_info</t>
  </si>
  <si>
    <t>m_siryoiu</t>
  </si>
  <si>
    <t>m_siryoiu_rireki</t>
  </si>
  <si>
    <t>t_table_info</t>
  </si>
  <si>
    <t>m_main_use_table</t>
  </si>
  <si>
    <t>m_job_kinds</t>
  </si>
  <si>
    <t>m_job_ms</t>
  </si>
  <si>
    <t>m_siryou_rireki</t>
  </si>
  <si>
    <t>m_edp</t>
  </si>
  <si>
    <t>m_siryou</t>
  </si>
  <si>
    <t>m_ankan_kihon_info</t>
  </si>
  <si>
    <t>m_ankan_kinou_info</t>
  </si>
  <si>
    <t>m_ankan_pgm</t>
  </si>
  <si>
    <t>m_ankan_pgm_info</t>
  </si>
  <si>
    <t>t_today_do</t>
  </si>
  <si>
    <t>cpm_cp</t>
  </si>
  <si>
    <t>cpm_game</t>
  </si>
  <si>
    <t>cpm_pl</t>
  </si>
  <si>
    <t>cpm_player</t>
  </si>
  <si>
    <t>cpm_buy_mark</t>
  </si>
  <si>
    <t>cpm_team</t>
  </si>
  <si>
    <t>cpm_pm</t>
  </si>
  <si>
    <t>ACTIVEAutoDB</t>
    <rPh sb="0" eb="2">
      <t>コテイ</t>
    </rPh>
    <phoneticPr fontId="5"/>
  </si>
  <si>
    <t>固定ACTIVEAutoDB</t>
    <phoneticPr fontId="5"/>
  </si>
  <si>
    <t>ITEM名</t>
    <phoneticPr fontId="5"/>
  </si>
  <si>
    <t>no</t>
  </si>
  <si>
    <t>分類</t>
    <phoneticPr fontId="5"/>
  </si>
  <si>
    <t>kind</t>
  </si>
  <si>
    <t>kind</t>
    <phoneticPr fontId="5"/>
  </si>
  <si>
    <t>タイトル</t>
  </si>
  <si>
    <t>title</t>
  </si>
  <si>
    <t>txt</t>
  </si>
  <si>
    <t>ntext</t>
  </si>
  <si>
    <t>nvarchar</t>
    <phoneticPr fontId="5"/>
  </si>
  <si>
    <t>登録時間</t>
  </si>
  <si>
    <t>touroku_time</t>
  </si>
  <si>
    <t>touroku_user</t>
  </si>
  <si>
    <t>登録者</t>
  </si>
  <si>
    <t>share_type</t>
  </si>
  <si>
    <t>○</t>
    <phoneticPr fontId="5"/>
  </si>
  <si>
    <t>共有</t>
  </si>
  <si>
    <t>システム名</t>
  </si>
  <si>
    <t>system_name</t>
  </si>
  <si>
    <t>txt、vb、</t>
    <phoneticPr fontId="5"/>
  </si>
  <si>
    <t>m_data</t>
    <phoneticPr fontId="5"/>
  </si>
  <si>
    <t>保存パス</t>
  </si>
  <si>
    <t>save_path</t>
  </si>
  <si>
    <t>enclosure1</t>
  </si>
  <si>
    <t>enclosure2</t>
  </si>
  <si>
    <t>enclosure3</t>
  </si>
  <si>
    <t>enclosure4</t>
  </si>
  <si>
    <t>enclosure5</t>
  </si>
  <si>
    <t>添付ファイル１</t>
  </si>
  <si>
    <t>添付ファイル２</t>
  </si>
  <si>
    <t>添付ファイル３</t>
  </si>
  <si>
    <t>添付ファイル４</t>
  </si>
  <si>
    <t>添付ファイル５</t>
  </si>
  <si>
    <t>子タイトル</t>
  </si>
  <si>
    <t>child_title</t>
  </si>
  <si>
    <t>m_file_kind</t>
    <phoneticPr fontId="5"/>
  </si>
  <si>
    <t>ファイル種類</t>
    <phoneticPr fontId="5"/>
  </si>
  <si>
    <t>m_system_name</t>
    <phoneticPr fontId="5"/>
  </si>
  <si>
    <t>m_edp</t>
    <phoneticPr fontId="5"/>
  </si>
  <si>
    <t>EDP番号</t>
  </si>
  <si>
    <t>種類</t>
  </si>
  <si>
    <t>資料</t>
    <phoneticPr fontId="5"/>
  </si>
  <si>
    <t>資料保存する</t>
    <phoneticPr fontId="5"/>
  </si>
  <si>
    <t>分類-(key)</t>
    <phoneticPr fontId="31" type="noConversion"/>
  </si>
  <si>
    <t>vb</t>
  </si>
  <si>
    <t>js</t>
  </si>
  <si>
    <t>html</t>
  </si>
  <si>
    <t>htm</t>
  </si>
  <si>
    <t>aspx</t>
  </si>
  <si>
    <t>VAPM</t>
  </si>
  <si>
    <t>SA</t>
  </si>
  <si>
    <t>VTHM</t>
  </si>
  <si>
    <t>システム名-(key)</t>
    <phoneticPr fontId="31" type="noConversion"/>
  </si>
  <si>
    <t>nvarchar</t>
    <phoneticPr fontId="5"/>
  </si>
  <si>
    <t>data_txt</t>
    <phoneticPr fontId="5"/>
  </si>
  <si>
    <t>data_html</t>
    <phoneticPr fontId="5"/>
  </si>
  <si>
    <t>内容TXT</t>
    <phoneticPr fontId="5"/>
  </si>
  <si>
    <t>内容HTML</t>
    <phoneticPr fontId="5"/>
  </si>
  <si>
    <t>Provider=SQLOLEDB.1;Data Source=10.160.200.39; Initial Catalog=auto_savedata;Persist Security Info=True;User ID=sa;Password=lixil@2014</t>
    <phoneticPr fontId="5"/>
  </si>
  <si>
    <t>VAPM,SA</t>
  </si>
  <si>
    <t>ファイル種類</t>
    <phoneticPr fontId="5"/>
  </si>
  <si>
    <t>BCパス</t>
    <phoneticPr fontId="5"/>
  </si>
  <si>
    <t>DAパス</t>
    <phoneticPr fontId="5"/>
  </si>
  <si>
    <t>E:\案件\AutoCode_SaveData\Web\App_Code\Lixil.SA.BizLogic\</t>
    <phoneticPr fontId="5"/>
  </si>
  <si>
    <t>E:\案件\AutoCode_SaveData\Web\App_Code\Lixil.SA.DataAccess\</t>
    <phoneticPr fontId="5"/>
  </si>
  <si>
    <t>E:\案件\AutoCode_SaveData\Web\</t>
    <phoneticPr fontId="5"/>
  </si>
  <si>
    <t>datetime</t>
    <phoneticPr fontId="5"/>
  </si>
  <si>
    <t>edp_name</t>
  </si>
  <si>
    <t>EDP_番号</t>
  </si>
  <si>
    <t>EDP_名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</si>
</sst>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#,##0_ "/>
  </numFmts>
  <fonts count="33">
    <font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0"/>
      <name val="ＭＳ ゴシック"/>
      <family val="3"/>
      <charset val="128"/>
    </font>
    <font>
      <u/>
      <sz val="7.5"/>
      <color indexed="12"/>
      <name val="ＭＳ ゴシック"/>
      <family val="3"/>
      <charset val="128"/>
    </font>
    <font>
      <b/>
      <sz val="12"/>
      <name val="標準ゴシック"/>
      <family val="3"/>
      <charset val="128"/>
    </font>
    <font>
      <sz val="6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name val="ＭＳ ゴシック"/>
      <family val="3"/>
      <charset val="128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1"/>
      <name val="明朝"/>
      <family val="3"/>
      <charset val="128"/>
    </font>
    <font>
      <sz val="6"/>
      <name val="ＭＳ 明朝"/>
      <family val="1"/>
      <charset val="128"/>
    </font>
    <font>
      <b/>
      <sz val="11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b/>
      <sz val="11"/>
      <name val="ＭＳ 明朝"/>
      <family val="1"/>
      <charset val="128"/>
    </font>
    <font>
      <sz val="11"/>
      <name val="ＭＳ 明朝"/>
      <family val="1"/>
      <charset val="128"/>
    </font>
    <font>
      <sz val="9"/>
      <color indexed="10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b/>
      <sz val="8"/>
      <name val="ＭＳ 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8"/>
      <name val="Arial"/>
      <family val="2"/>
    </font>
    <font>
      <u/>
      <sz val="18"/>
      <color indexed="12"/>
      <name val="HGP創英角ﾎﾟｯﾌﾟ体"/>
      <family val="3"/>
      <charset val="128"/>
    </font>
    <font>
      <sz val="18"/>
      <name val="HGP創英角ﾎﾟｯﾌﾟ体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FF0000"/>
      <name val="ＭＳ ゴシック"/>
      <family val="3"/>
      <charset val="128"/>
    </font>
    <font>
      <sz val="10"/>
      <color rgb="FF0000FF"/>
      <name val="Meiryo UI"/>
      <family val="3"/>
      <charset val="128"/>
    </font>
    <font>
      <b/>
      <sz val="9"/>
      <color theme="0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b/>
      <sz val="9"/>
      <color rgb="FF0000FF"/>
      <name val="ＭＳ ゴシック"/>
      <family val="3"/>
      <charset val="128"/>
    </font>
    <font>
      <b/>
      <sz val="10"/>
      <color rgb="FF0000FF"/>
      <name val="Meiryo UI"/>
      <family val="3"/>
      <charset val="128"/>
    </font>
    <font>
      <sz val="9"/>
      <name val="DengXian"/>
      <family val="3"/>
      <charset val="134"/>
    </font>
    <font>
      <sz val="9"/>
      <color rgb="FF000000"/>
      <name val="MS UI Gothic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176" fontId="10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24" fillId="0" borderId="0">
      <alignment vertical="center"/>
    </xf>
    <xf numFmtId="0" fontId="24" fillId="0" borderId="0">
      <alignment vertical="center"/>
    </xf>
    <xf numFmtId="0" fontId="8" fillId="0" borderId="0"/>
    <xf numFmtId="0" fontId="8" fillId="0" borderId="0"/>
  </cellStyleXfs>
  <cellXfs count="181">
    <xf numFmtId="0" fontId="0" fillId="0" borderId="0" xfId="0"/>
    <xf numFmtId="0" fontId="6" fillId="2" borderId="0" xfId="0" applyFont="1" applyFill="1"/>
    <xf numFmtId="0" fontId="6" fillId="0" borderId="0" xfId="0" applyFont="1" applyFill="1"/>
    <xf numFmtId="0" fontId="6" fillId="0" borderId="0" xfId="0" applyFont="1"/>
    <xf numFmtId="0" fontId="6" fillId="0" borderId="0" xfId="0" applyFont="1" applyFill="1" applyProtection="1">
      <protection locked="0"/>
    </xf>
    <xf numFmtId="0" fontId="7" fillId="3" borderId="1" xfId="0" applyFont="1" applyFill="1" applyBorder="1" applyAlignment="1" applyProtection="1">
      <alignment horizontal="centerContinuous"/>
    </xf>
    <xf numFmtId="0" fontId="6" fillId="0" borderId="2" xfId="0" applyFont="1" applyFill="1" applyBorder="1" applyProtection="1">
      <protection locked="0"/>
    </xf>
    <xf numFmtId="0" fontId="6" fillId="0" borderId="3" xfId="0" applyFont="1" applyFill="1" applyBorder="1" applyProtection="1">
      <protection locked="0"/>
    </xf>
    <xf numFmtId="0" fontId="6" fillId="0" borderId="0" xfId="0" applyFont="1" applyFill="1" applyProtection="1"/>
    <xf numFmtId="0" fontId="7" fillId="3" borderId="4" xfId="0" applyFont="1" applyFill="1" applyBorder="1" applyProtection="1"/>
    <xf numFmtId="0" fontId="6" fillId="3" borderId="5" xfId="0" applyFont="1" applyFill="1" applyBorder="1" applyProtection="1"/>
    <xf numFmtId="0" fontId="6" fillId="3" borderId="6" xfId="0" applyFont="1" applyFill="1" applyBorder="1" applyProtection="1"/>
    <xf numFmtId="0" fontId="7" fillId="3" borderId="7" xfId="0" applyFont="1" applyFill="1" applyBorder="1" applyProtection="1"/>
    <xf numFmtId="0" fontId="7" fillId="3" borderId="8" xfId="0" applyFont="1" applyFill="1" applyBorder="1" applyAlignment="1" applyProtection="1">
      <alignment horizontal="center"/>
    </xf>
    <xf numFmtId="0" fontId="6" fillId="0" borderId="0" xfId="0" applyFont="1" applyFill="1" applyBorder="1"/>
    <xf numFmtId="0" fontId="6" fillId="2" borderId="0" xfId="0" applyFont="1" applyFill="1" applyBorder="1"/>
    <xf numFmtId="0" fontId="8" fillId="0" borderId="0" xfId="8"/>
    <xf numFmtId="0" fontId="8" fillId="0" borderId="0" xfId="8" applyFont="1" applyFill="1" applyProtection="1">
      <protection locked="0"/>
    </xf>
    <xf numFmtId="0" fontId="8" fillId="0" borderId="0" xfId="8" applyFont="1" applyFill="1"/>
    <xf numFmtId="0" fontId="9" fillId="3" borderId="9" xfId="7" applyFont="1" applyFill="1" applyBorder="1" applyAlignment="1" applyProtection="1">
      <alignment horizontal="left" vertical="center"/>
    </xf>
    <xf numFmtId="0" fontId="9" fillId="3" borderId="5" xfId="8" applyFont="1" applyFill="1" applyBorder="1" applyAlignment="1" applyProtection="1"/>
    <xf numFmtId="0" fontId="9" fillId="3" borderId="10" xfId="0" applyFont="1" applyFill="1" applyBorder="1" applyAlignment="1" applyProtection="1">
      <alignment horizontal="center" vertical="center"/>
    </xf>
    <xf numFmtId="0" fontId="9" fillId="3" borderId="10" xfId="0" applyFont="1" applyFill="1" applyBorder="1" applyAlignment="1" applyProtection="1">
      <alignment horizontal="center" vertical="center" shrinkToFit="1"/>
    </xf>
    <xf numFmtId="0" fontId="9" fillId="3" borderId="11" xfId="0" applyFont="1" applyFill="1" applyBorder="1" applyAlignment="1" applyProtection="1">
      <alignment horizontal="center" vertical="center"/>
    </xf>
    <xf numFmtId="0" fontId="13" fillId="3" borderId="7" xfId="8" applyFont="1" applyFill="1" applyBorder="1" applyAlignment="1" applyProtection="1">
      <alignment vertical="center"/>
    </xf>
    <xf numFmtId="0" fontId="9" fillId="3" borderId="8" xfId="7" applyFont="1" applyFill="1" applyBorder="1" applyAlignment="1" applyProtection="1">
      <alignment horizontal="center" vertical="center"/>
    </xf>
    <xf numFmtId="0" fontId="12" fillId="3" borderId="8" xfId="7" applyFont="1" applyFill="1" applyBorder="1" applyAlignment="1" applyProtection="1">
      <alignment horizontal="center" vertical="center"/>
    </xf>
    <xf numFmtId="0" fontId="13" fillId="3" borderId="8" xfId="7" applyFont="1" applyFill="1" applyBorder="1" applyAlignment="1" applyProtection="1">
      <alignment horizontal="center" vertical="center" shrinkToFit="1"/>
    </xf>
    <xf numFmtId="0" fontId="13" fillId="3" borderId="7" xfId="7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Fill="1"/>
    <xf numFmtId="0" fontId="9" fillId="3" borderId="8" xfId="0" applyFont="1" applyFill="1" applyBorder="1" applyAlignment="1" applyProtection="1">
      <alignment horizontal="center"/>
    </xf>
    <xf numFmtId="0" fontId="8" fillId="0" borderId="0" xfId="8" applyFont="1" applyFill="1" applyAlignment="1" applyProtection="1">
      <alignment horizontal="right"/>
      <protection locked="0"/>
    </xf>
    <xf numFmtId="0" fontId="6" fillId="3" borderId="4" xfId="0" applyFont="1" applyFill="1" applyBorder="1" applyAlignment="1">
      <alignment horizontal="right"/>
    </xf>
    <xf numFmtId="0" fontId="9" fillId="3" borderId="10" xfId="0" applyFont="1" applyFill="1" applyBorder="1" applyAlignment="1" applyProtection="1">
      <alignment horizontal="right" vertical="center"/>
    </xf>
    <xf numFmtId="0" fontId="13" fillId="3" borderId="8" xfId="7" applyFont="1" applyFill="1" applyBorder="1" applyAlignment="1" applyProtection="1">
      <alignment horizontal="right" vertical="center"/>
    </xf>
    <xf numFmtId="0" fontId="6" fillId="0" borderId="0" xfId="0" applyFont="1" applyFill="1" applyAlignment="1" applyProtection="1">
      <alignment horizontal="right"/>
      <protection locked="0"/>
    </xf>
    <xf numFmtId="0" fontId="8" fillId="0" borderId="0" xfId="8" applyFont="1" applyFill="1" applyAlignment="1" applyProtection="1">
      <alignment horizontal="center"/>
      <protection locked="0"/>
    </xf>
    <xf numFmtId="0" fontId="6" fillId="3" borderId="1" xfId="0" applyFont="1" applyFill="1" applyBorder="1" applyAlignment="1" applyProtection="1">
      <alignment horizontal="center"/>
    </xf>
    <xf numFmtId="0" fontId="6" fillId="3" borderId="6" xfId="0" applyFont="1" applyFill="1" applyBorder="1" applyAlignment="1" applyProtection="1">
      <alignment horizontal="center"/>
    </xf>
    <xf numFmtId="0" fontId="6" fillId="0" borderId="0" xfId="0" applyFont="1" applyFill="1" applyAlignment="1" applyProtection="1">
      <alignment horizontal="center"/>
      <protection locked="0"/>
    </xf>
    <xf numFmtId="0" fontId="8" fillId="0" borderId="0" xfId="8" applyFont="1" applyFill="1" applyAlignment="1" applyProtection="1">
      <alignment wrapText="1"/>
      <protection locked="0"/>
    </xf>
    <xf numFmtId="0" fontId="6" fillId="3" borderId="1" xfId="0" applyFont="1" applyFill="1" applyBorder="1" applyAlignment="1" applyProtection="1">
      <alignment horizontal="centerContinuous" wrapText="1"/>
    </xf>
    <xf numFmtId="0" fontId="9" fillId="3" borderId="10" xfId="0" applyFont="1" applyFill="1" applyBorder="1" applyAlignment="1" applyProtection="1">
      <alignment horizontal="center" vertical="center" wrapText="1"/>
    </xf>
    <xf numFmtId="0" fontId="13" fillId="3" borderId="8" xfId="7" applyFont="1" applyFill="1" applyBorder="1" applyAlignment="1" applyProtection="1">
      <alignment horizontal="center" vertical="center" wrapText="1"/>
    </xf>
    <xf numFmtId="0" fontId="6" fillId="0" borderId="0" xfId="0" applyFont="1" applyFill="1" applyAlignment="1" applyProtection="1">
      <alignment wrapText="1"/>
      <protection locked="0"/>
    </xf>
    <xf numFmtId="0" fontId="6" fillId="0" borderId="5" xfId="0" applyFont="1" applyFill="1" applyBorder="1"/>
    <xf numFmtId="0" fontId="6" fillId="0" borderId="5" xfId="0" applyFont="1" applyFill="1" applyBorder="1" applyProtection="1"/>
    <xf numFmtId="177" fontId="6" fillId="0" borderId="3" xfId="0" applyNumberFormat="1" applyFont="1" applyFill="1" applyBorder="1"/>
    <xf numFmtId="0" fontId="6" fillId="0" borderId="12" xfId="0" applyFont="1" applyFill="1" applyBorder="1"/>
    <xf numFmtId="0" fontId="6" fillId="0" borderId="7" xfId="0" applyFont="1" applyFill="1" applyBorder="1" applyProtection="1"/>
    <xf numFmtId="177" fontId="6" fillId="0" borderId="13" xfId="0" applyNumberFormat="1" applyFont="1" applyFill="1" applyBorder="1"/>
    <xf numFmtId="0" fontId="6" fillId="0" borderId="11" xfId="0" applyFont="1" applyFill="1" applyBorder="1" applyProtection="1"/>
    <xf numFmtId="177" fontId="6" fillId="0" borderId="13" xfId="0" applyNumberFormat="1" applyFont="1" applyFill="1" applyBorder="1" applyProtection="1"/>
    <xf numFmtId="0" fontId="6" fillId="0" borderId="14" xfId="0" applyFont="1" applyFill="1" applyBorder="1" applyProtection="1"/>
    <xf numFmtId="177" fontId="6" fillId="0" borderId="4" xfId="0" applyNumberFormat="1" applyFont="1" applyFill="1" applyBorder="1" applyProtection="1"/>
    <xf numFmtId="0" fontId="15" fillId="4" borderId="14" xfId="0" applyFont="1" applyFill="1" applyBorder="1"/>
    <xf numFmtId="0" fontId="0" fillId="5" borderId="14" xfId="0" applyFill="1" applyBorder="1"/>
    <xf numFmtId="0" fontId="16" fillId="5" borderId="14" xfId="0" applyFont="1" applyFill="1" applyBorder="1"/>
    <xf numFmtId="0" fontId="0" fillId="0" borderId="0" xfId="0" applyAlignment="1">
      <alignment wrapText="1"/>
    </xf>
    <xf numFmtId="0" fontId="16" fillId="0" borderId="0" xfId="0" applyFont="1" applyAlignment="1">
      <alignment vertical="top" wrapText="1"/>
    </xf>
    <xf numFmtId="0" fontId="25" fillId="0" borderId="0" xfId="0" applyFont="1" applyFill="1" applyProtection="1"/>
    <xf numFmtId="0" fontId="2" fillId="0" borderId="15" xfId="0" applyFont="1" applyFill="1" applyBorder="1" applyAlignment="1">
      <alignment vertical="center"/>
    </xf>
    <xf numFmtId="0" fontId="0" fillId="0" borderId="16" xfId="0" applyFont="1" applyFill="1" applyBorder="1" applyAlignment="1">
      <alignment vertical="center"/>
    </xf>
    <xf numFmtId="0" fontId="9" fillId="3" borderId="6" xfId="7" applyFont="1" applyFill="1" applyBorder="1" applyAlignment="1" applyProtection="1">
      <alignment vertical="center"/>
    </xf>
    <xf numFmtId="0" fontId="14" fillId="3" borderId="3" xfId="7" applyFont="1" applyFill="1" applyBorder="1" applyAlignment="1" applyProtection="1">
      <alignment vertical="center"/>
    </xf>
    <xf numFmtId="0" fontId="14" fillId="3" borderId="5" xfId="7" applyFont="1" applyFill="1" applyBorder="1" applyAlignment="1" applyProtection="1">
      <alignment vertical="center"/>
      <protection locked="0"/>
    </xf>
    <xf numFmtId="49" fontId="0" fillId="0" borderId="0" xfId="0" applyNumberFormat="1"/>
    <xf numFmtId="0" fontId="0" fillId="0" borderId="0" xfId="0" applyNumberFormat="1"/>
    <xf numFmtId="0" fontId="6" fillId="6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vertical="top" wrapText="1"/>
    </xf>
    <xf numFmtId="0" fontId="6" fillId="0" borderId="14" xfId="0" applyFont="1" applyFill="1" applyBorder="1" applyAlignment="1">
      <alignment horizontal="left" vertical="top"/>
    </xf>
    <xf numFmtId="0" fontId="17" fillId="0" borderId="14" xfId="0" applyFont="1" applyFill="1" applyBorder="1" applyAlignment="1">
      <alignment horizontal="left"/>
    </xf>
    <xf numFmtId="0" fontId="18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wrapText="1"/>
    </xf>
    <xf numFmtId="0" fontId="25" fillId="0" borderId="9" xfId="0" applyFont="1" applyFill="1" applyBorder="1" applyAlignment="1">
      <alignment horizontal="left"/>
    </xf>
    <xf numFmtId="0" fontId="25" fillId="0" borderId="14" xfId="0" applyFont="1" applyFill="1" applyBorder="1" applyAlignment="1">
      <alignment horizontal="left"/>
    </xf>
    <xf numFmtId="0" fontId="6" fillId="0" borderId="9" xfId="0" applyFont="1" applyFill="1" applyBorder="1" applyAlignment="1">
      <alignment horizontal="left"/>
    </xf>
    <xf numFmtId="0" fontId="26" fillId="0" borderId="0" xfId="0" quotePrefix="1" applyFont="1" applyFill="1" applyBorder="1"/>
    <xf numFmtId="0" fontId="27" fillId="7" borderId="0" xfId="0" applyFont="1" applyFill="1" applyBorder="1" applyAlignment="1">
      <alignment horizontal="center" vertical="top"/>
    </xf>
    <xf numFmtId="0" fontId="28" fillId="7" borderId="0" xfId="0" applyFont="1" applyFill="1" applyBorder="1" applyAlignment="1">
      <alignment horizontal="left" vertical="top"/>
    </xf>
    <xf numFmtId="0" fontId="28" fillId="7" borderId="0" xfId="0" applyFont="1" applyFill="1" applyBorder="1" applyAlignment="1" applyProtection="1">
      <alignment wrapText="1"/>
      <protection locked="0"/>
    </xf>
    <xf numFmtId="0" fontId="28" fillId="7" borderId="0" xfId="0" applyFont="1" applyFill="1" applyBorder="1" applyAlignment="1" applyProtection="1">
      <alignment horizontal="center"/>
      <protection locked="0"/>
    </xf>
    <xf numFmtId="0" fontId="28" fillId="7" borderId="0" xfId="0" applyFont="1" applyFill="1" applyBorder="1" applyAlignment="1" applyProtection="1">
      <alignment horizontal="right"/>
      <protection locked="0"/>
    </xf>
    <xf numFmtId="0" fontId="28" fillId="7" borderId="0" xfId="0" applyFont="1" applyFill="1" applyBorder="1" applyProtection="1">
      <protection locked="0"/>
    </xf>
    <xf numFmtId="0" fontId="28" fillId="7" borderId="0" xfId="0" applyFont="1" applyFill="1" applyBorder="1"/>
    <xf numFmtId="0" fontId="6" fillId="0" borderId="5" xfId="0" applyFont="1" applyFill="1" applyBorder="1" applyAlignment="1">
      <alignment horizontal="left"/>
    </xf>
    <xf numFmtId="0" fontId="6" fillId="0" borderId="6" xfId="0" applyFont="1" applyFill="1" applyBorder="1" applyAlignment="1">
      <alignment horizontal="left"/>
    </xf>
    <xf numFmtId="0" fontId="6" fillId="0" borderId="5" xfId="0" applyFont="1" applyFill="1" applyBorder="1" applyAlignment="1">
      <alignment horizontal="left" wrapText="1"/>
    </xf>
    <xf numFmtId="49" fontId="6" fillId="0" borderId="0" xfId="0" applyNumberFormat="1" applyFont="1" applyFill="1" applyBorder="1" applyProtection="1">
      <protection locked="0"/>
    </xf>
    <xf numFmtId="49" fontId="6" fillId="0" borderId="0" xfId="0" applyNumberFormat="1" applyFont="1" applyFill="1" applyBorder="1" applyAlignment="1" applyProtection="1">
      <alignment wrapText="1"/>
      <protection locked="0"/>
    </xf>
    <xf numFmtId="49" fontId="6" fillId="0" borderId="0" xfId="0" applyNumberFormat="1" applyFont="1" applyFill="1" applyBorder="1" applyAlignment="1" applyProtection="1">
      <alignment horizontal="center"/>
      <protection locked="0"/>
    </xf>
    <xf numFmtId="49" fontId="6" fillId="0" borderId="0" xfId="0" applyNumberFormat="1" applyFont="1" applyFill="1" applyBorder="1" applyAlignment="1" applyProtection="1">
      <alignment horizontal="right"/>
      <protection locked="0"/>
    </xf>
    <xf numFmtId="49" fontId="6" fillId="0" borderId="0" xfId="0" applyNumberFormat="1" applyFont="1" applyFill="1" applyBorder="1"/>
    <xf numFmtId="0" fontId="0" fillId="0" borderId="14" xfId="0" applyBorder="1"/>
    <xf numFmtId="49" fontId="7" fillId="8" borderId="0" xfId="0" applyNumberFormat="1" applyFont="1" applyFill="1" applyBorder="1"/>
    <xf numFmtId="49" fontId="7" fillId="8" borderId="0" xfId="0" applyNumberFormat="1" applyFont="1" applyFill="1" applyBorder="1" applyProtection="1">
      <protection locked="0"/>
    </xf>
    <xf numFmtId="0" fontId="14" fillId="0" borderId="17" xfId="0" applyFont="1" applyBorder="1" applyAlignment="1">
      <alignment vertical="center"/>
    </xf>
    <xf numFmtId="0" fontId="1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 wrapText="1"/>
    </xf>
    <xf numFmtId="0" fontId="8" fillId="0" borderId="15" xfId="0" applyFont="1" applyFill="1" applyBorder="1" applyAlignment="1" applyProtection="1">
      <alignment horizontal="center"/>
      <protection locked="0"/>
    </xf>
    <xf numFmtId="0" fontId="8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/>
    </xf>
    <xf numFmtId="0" fontId="8" fillId="0" borderId="15" xfId="0" applyFont="1" applyFill="1" applyBorder="1" applyProtection="1">
      <protection locked="0"/>
    </xf>
    <xf numFmtId="0" fontId="8" fillId="0" borderId="15" xfId="0" applyFont="1" applyBorder="1" applyAlignment="1">
      <alignment horizontal="center" vertical="center"/>
    </xf>
    <xf numFmtId="0" fontId="8" fillId="0" borderId="15" xfId="0" applyFont="1" applyFill="1" applyBorder="1" applyAlignment="1" applyProtection="1">
      <protection locked="0"/>
    </xf>
    <xf numFmtId="0" fontId="8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vertical="center"/>
    </xf>
    <xf numFmtId="0" fontId="2" fillId="0" borderId="18" xfId="0" applyFont="1" applyBorder="1" applyAlignment="1">
      <alignment horizontal="centerContinuous" vertical="center"/>
    </xf>
    <xf numFmtId="0" fontId="1" fillId="0" borderId="19" xfId="0" applyFont="1" applyBorder="1" applyAlignment="1">
      <alignment vertical="center"/>
    </xf>
    <xf numFmtId="0" fontId="1" fillId="0" borderId="15" xfId="0" applyFont="1" applyBorder="1" applyAlignment="1">
      <alignment horizontal="left" vertical="center"/>
    </xf>
    <xf numFmtId="0" fontId="2" fillId="0" borderId="15" xfId="0" applyFont="1" applyBorder="1" applyAlignment="1">
      <alignment horizontal="right" vertical="center"/>
    </xf>
    <xf numFmtId="0" fontId="2" fillId="0" borderId="15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0" fontId="0" fillId="0" borderId="16" xfId="0" applyFont="1" applyBorder="1" applyAlignment="1">
      <alignment vertical="center"/>
    </xf>
    <xf numFmtId="0" fontId="0" fillId="9" borderId="5" xfId="0" applyFill="1" applyBorder="1"/>
    <xf numFmtId="0" fontId="0" fillId="10" borderId="5" xfId="0" applyFill="1" applyBorder="1"/>
    <xf numFmtId="0" fontId="0" fillId="11" borderId="14" xfId="0" applyFill="1" applyBorder="1"/>
    <xf numFmtId="0" fontId="22" fillId="0" borderId="0" xfId="3" applyFont="1" applyAlignment="1" applyProtection="1"/>
    <xf numFmtId="0" fontId="23" fillId="0" borderId="0" xfId="0" applyFont="1"/>
    <xf numFmtId="0" fontId="23" fillId="0" borderId="0" xfId="0" quotePrefix="1" applyFont="1"/>
    <xf numFmtId="0" fontId="14" fillId="0" borderId="17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 wrapText="1"/>
    </xf>
    <xf numFmtId="0" fontId="8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1" fillId="0" borderId="17" xfId="0" applyFont="1" applyFill="1" applyBorder="1" applyAlignment="1">
      <alignment vertical="center"/>
    </xf>
    <xf numFmtId="0" fontId="2" fillId="0" borderId="18" xfId="0" applyFont="1" applyFill="1" applyBorder="1" applyAlignment="1">
      <alignment horizontal="centerContinuous" vertical="center"/>
    </xf>
    <xf numFmtId="0" fontId="1" fillId="0" borderId="19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left" vertical="center"/>
    </xf>
    <xf numFmtId="0" fontId="2" fillId="0" borderId="15" xfId="0" applyFont="1" applyFill="1" applyBorder="1" applyAlignment="1">
      <alignment horizontal="right" vertical="center"/>
    </xf>
    <xf numFmtId="0" fontId="2" fillId="0" borderId="18" xfId="0" applyFont="1" applyFill="1" applyBorder="1" applyAlignment="1">
      <alignment vertical="center"/>
    </xf>
    <xf numFmtId="0" fontId="0" fillId="0" borderId="0" xfId="0" applyFill="1" applyBorder="1"/>
    <xf numFmtId="0" fontId="24" fillId="0" borderId="0" xfId="6">
      <alignment vertical="center"/>
    </xf>
    <xf numFmtId="49" fontId="7" fillId="8" borderId="14" xfId="0" applyNumberFormat="1" applyFont="1" applyFill="1" applyBorder="1"/>
    <xf numFmtId="49" fontId="7" fillId="8" borderId="14" xfId="0" applyNumberFormat="1" applyFont="1" applyFill="1" applyBorder="1" applyAlignment="1" applyProtection="1">
      <alignment wrapText="1"/>
      <protection locked="0"/>
    </xf>
    <xf numFmtId="49" fontId="7" fillId="8" borderId="14" xfId="0" applyNumberFormat="1" applyFont="1" applyFill="1" applyBorder="1" applyAlignment="1" applyProtection="1">
      <alignment horizontal="center"/>
      <protection locked="0"/>
    </xf>
    <xf numFmtId="49" fontId="7" fillId="8" borderId="14" xfId="0" applyNumberFormat="1" applyFont="1" applyFill="1" applyBorder="1" applyAlignment="1" applyProtection="1">
      <alignment horizontal="right"/>
      <protection locked="0"/>
    </xf>
    <xf numFmtId="49" fontId="7" fillId="8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Alignment="1" applyProtection="1">
      <alignment wrapText="1"/>
      <protection locked="0"/>
    </xf>
    <xf numFmtId="49" fontId="6" fillId="0" borderId="14" xfId="0" applyNumberFormat="1" applyFont="1" applyFill="1" applyBorder="1" applyAlignment="1" applyProtection="1">
      <alignment horizontal="center"/>
      <protection locked="0"/>
    </xf>
    <xf numFmtId="49" fontId="6" fillId="0" borderId="14" xfId="0" applyNumberFormat="1" applyFont="1" applyFill="1" applyBorder="1" applyAlignment="1" applyProtection="1">
      <alignment horizontal="right"/>
      <protection locked="0"/>
    </xf>
    <xf numFmtId="0" fontId="26" fillId="0" borderId="14" xfId="0" quotePrefix="1" applyFont="1" applyFill="1" applyBorder="1"/>
    <xf numFmtId="0" fontId="30" fillId="13" borderId="14" xfId="0" applyFont="1" applyFill="1" applyBorder="1"/>
    <xf numFmtId="0" fontId="26" fillId="0" borderId="0" xfId="0" applyFont="1"/>
    <xf numFmtId="0" fontId="30" fillId="15" borderId="14" xfId="0" applyFont="1" applyFill="1" applyBorder="1"/>
    <xf numFmtId="0" fontId="26" fillId="0" borderId="0" xfId="0" applyFont="1" applyFill="1" applyBorder="1"/>
    <xf numFmtId="0" fontId="30" fillId="0" borderId="0" xfId="0" applyFont="1" applyFill="1" applyBorder="1"/>
    <xf numFmtId="0" fontId="30" fillId="0" borderId="0" xfId="0" applyFont="1"/>
    <xf numFmtId="0" fontId="26" fillId="0" borderId="0" xfId="0" applyFont="1" applyFill="1"/>
    <xf numFmtId="0" fontId="30" fillId="0" borderId="14" xfId="0" applyFont="1" applyFill="1" applyBorder="1"/>
    <xf numFmtId="0" fontId="30" fillId="14" borderId="14" xfId="0" applyFont="1" applyFill="1" applyBorder="1"/>
    <xf numFmtId="0" fontId="26" fillId="0" borderId="0" xfId="0" quotePrefix="1" applyFont="1" applyFill="1"/>
    <xf numFmtId="49" fontId="7" fillId="8" borderId="0" xfId="0" applyNumberFormat="1" applyFont="1" applyFill="1" applyBorder="1" applyAlignment="1" applyProtection="1">
      <alignment wrapText="1"/>
      <protection locked="0"/>
    </xf>
    <xf numFmtId="49" fontId="7" fillId="8" borderId="0" xfId="0" applyNumberFormat="1" applyFont="1" applyFill="1" applyBorder="1" applyAlignment="1" applyProtection="1">
      <alignment horizontal="center"/>
      <protection locked="0"/>
    </xf>
    <xf numFmtId="49" fontId="7" fillId="8" borderId="0" xfId="0" applyNumberFormat="1" applyFont="1" applyFill="1" applyBorder="1" applyAlignment="1" applyProtection="1">
      <alignment horizontal="right"/>
      <protection locked="0"/>
    </xf>
    <xf numFmtId="0" fontId="6" fillId="12" borderId="9" xfId="0" applyFont="1" applyFill="1" applyBorder="1" applyAlignment="1" applyProtection="1">
      <alignment horizontal="left"/>
      <protection locked="0"/>
    </xf>
    <xf numFmtId="0" fontId="6" fillId="12" borderId="1" xfId="0" applyFont="1" applyFill="1" applyBorder="1" applyAlignment="1" applyProtection="1">
      <alignment horizontal="left"/>
      <protection locked="0"/>
    </xf>
    <xf numFmtId="0" fontId="6" fillId="12" borderId="4" xfId="0" applyFont="1" applyFill="1" applyBorder="1" applyAlignment="1" applyProtection="1">
      <alignment horizontal="left"/>
      <protection locked="0"/>
    </xf>
    <xf numFmtId="0" fontId="6" fillId="12" borderId="6" xfId="0" applyFont="1" applyFill="1" applyBorder="1" applyAlignment="1" applyProtection="1">
      <alignment horizontal="left" vertical="top"/>
      <protection locked="0"/>
    </xf>
    <xf numFmtId="0" fontId="6" fillId="12" borderId="2" xfId="0" applyFont="1" applyFill="1" applyBorder="1" applyAlignment="1" applyProtection="1">
      <alignment horizontal="left" vertical="top"/>
      <protection locked="0"/>
    </xf>
    <xf numFmtId="0" fontId="6" fillId="12" borderId="3" xfId="0" applyFont="1" applyFill="1" applyBorder="1" applyAlignment="1" applyProtection="1">
      <alignment horizontal="left" vertical="top"/>
      <protection locked="0"/>
    </xf>
    <xf numFmtId="0" fontId="6" fillId="12" borderId="8" xfId="0" applyFont="1" applyFill="1" applyBorder="1" applyAlignment="1" applyProtection="1">
      <alignment horizontal="left" vertical="top"/>
      <protection locked="0"/>
    </xf>
    <xf numFmtId="0" fontId="6" fillId="12" borderId="20" xfId="0" applyFont="1" applyFill="1" applyBorder="1" applyAlignment="1" applyProtection="1">
      <alignment horizontal="left" vertical="top"/>
      <protection locked="0"/>
    </xf>
    <xf numFmtId="0" fontId="6" fillId="12" borderId="13" xfId="0" applyFont="1" applyFill="1" applyBorder="1" applyAlignment="1" applyProtection="1">
      <alignment horizontal="left" vertical="top"/>
      <protection locked="0"/>
    </xf>
    <xf numFmtId="0" fontId="6" fillId="0" borderId="9" xfId="0" applyFont="1" applyFill="1" applyBorder="1" applyAlignment="1" applyProtection="1">
      <alignment horizontal="left"/>
      <protection locked="0"/>
    </xf>
    <xf numFmtId="0" fontId="6" fillId="0" borderId="1" xfId="0" applyFont="1" applyFill="1" applyBorder="1" applyAlignment="1" applyProtection="1">
      <alignment horizontal="left"/>
      <protection locked="0"/>
    </xf>
    <xf numFmtId="0" fontId="6" fillId="0" borderId="4" xfId="0" applyFont="1" applyFill="1" applyBorder="1" applyAlignment="1" applyProtection="1">
      <alignment horizontal="left"/>
      <protection locked="0"/>
    </xf>
    <xf numFmtId="0" fontId="6" fillId="0" borderId="6" xfId="0" applyFont="1" applyFill="1" applyBorder="1" applyAlignment="1" applyProtection="1">
      <alignment horizontal="left" vertical="top"/>
      <protection locked="0"/>
    </xf>
    <xf numFmtId="0" fontId="6" fillId="0" borderId="2" xfId="0" applyFont="1" applyFill="1" applyBorder="1" applyAlignment="1" applyProtection="1">
      <alignment horizontal="left" vertical="top"/>
      <protection locked="0"/>
    </xf>
    <xf numFmtId="0" fontId="6" fillId="0" borderId="3" xfId="0" applyFont="1" applyFill="1" applyBorder="1" applyAlignment="1" applyProtection="1">
      <alignment horizontal="left" vertical="top"/>
      <protection locked="0"/>
    </xf>
    <xf numFmtId="0" fontId="6" fillId="0" borderId="8" xfId="0" applyFont="1" applyFill="1" applyBorder="1" applyAlignment="1" applyProtection="1">
      <alignment horizontal="left" vertical="top"/>
      <protection locked="0"/>
    </xf>
    <xf numFmtId="0" fontId="6" fillId="0" borderId="20" xfId="0" applyFont="1" applyFill="1" applyBorder="1" applyAlignment="1" applyProtection="1">
      <alignment horizontal="left" vertical="top"/>
      <protection locked="0"/>
    </xf>
    <xf numFmtId="0" fontId="6" fillId="0" borderId="13" xfId="0" applyFont="1" applyFill="1" applyBorder="1" applyAlignment="1" applyProtection="1">
      <alignment horizontal="left" vertical="top"/>
      <protection locked="0"/>
    </xf>
    <xf numFmtId="0" fontId="29" fillId="12" borderId="9" xfId="0" applyFont="1" applyFill="1" applyBorder="1" applyAlignment="1" applyProtection="1">
      <alignment horizontal="left"/>
      <protection locked="0"/>
    </xf>
    <xf numFmtId="0" fontId="29" fillId="12" borderId="1" xfId="0" applyFont="1" applyFill="1" applyBorder="1" applyAlignment="1" applyProtection="1">
      <alignment horizontal="left"/>
      <protection locked="0"/>
    </xf>
    <xf numFmtId="0" fontId="29" fillId="12" borderId="4" xfId="0" applyFont="1" applyFill="1" applyBorder="1" applyAlignment="1" applyProtection="1">
      <alignment horizontal="left"/>
      <protection locked="0"/>
    </xf>
    <xf numFmtId="0" fontId="0" fillId="0" borderId="0" xfId="0" applyFill="1" applyBorder="1" applyAlignment="1">
      <alignment horizontal="center"/>
    </xf>
  </cellXfs>
  <cellStyles count="9">
    <cellStyle name="\P" xfId="1"/>
    <cellStyle name="パーセント2" xfId="2"/>
    <cellStyle name="ハイパーリンク" xfId="3" builtinId="8"/>
    <cellStyle name="見出し" xfId="4"/>
    <cellStyle name="標準" xfId="0" builtinId="0"/>
    <cellStyle name="標準 2" xfId="5"/>
    <cellStyle name="標準 3" xfId="6"/>
    <cellStyle name="標準_Book1" xfId="7"/>
    <cellStyle name="標準_Book2" xfId="8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Lines="10" dropStyle="combo" dx="22" fmlaRange="#REF!" noThreeD="1" sel="0" val="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Drop" dropLines="10" dropStyle="combo" dx="22" fmlaRange="#REF!" noThreeD="1" sel="0" val="0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Drop" dropLines="10" dropStyle="combo" dx="22" fmlaRange="#REF!" noThreeD="1" sel="0" val="0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Drop" dropLines="10" dropStyle="combo" dx="22" fmlaRange="#REF!" noThreeD="1" sel="0" val="0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Lines="10" dropStyle="combo" dx="22" fmlaRange="#REF!" noThreeD="1" sel="0" val="0"/>
</file>

<file path=xl/ctrlProps/ctrlProp10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95233" name="cboTYPE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xmlns="" id="{00000000-0008-0000-01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95234" name="chkTYPE" hidden="1">
              <a:extLst>
                <a:ext uri="{63B3BB69-23CF-44E3-9099-C40C66FF867C}">
                  <a14:compatExt spid="_x0000_s95234"/>
                </a:ext>
                <a:ext uri="{FF2B5EF4-FFF2-40B4-BE49-F238E27FC236}">
                  <a16:creationId xmlns:a16="http://schemas.microsoft.com/office/drawing/2014/main" xmlns="" id="{00000000-0008-0000-0100-000002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2" name="角丸四角形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 bwMode="auto">
        <a:xfrm>
          <a:off x="2076449" y="1949697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7" name="角丸四角形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 bwMode="auto">
        <a:xfrm>
          <a:off x="5524499" y="1962150"/>
          <a:ext cx="92392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54</xdr:row>
      <xdr:rowOff>192405</xdr:rowOff>
    </xdr:from>
    <xdr:to>
      <xdr:col>1</xdr:col>
      <xdr:colOff>1619250</xdr:colOff>
      <xdr:row>54</xdr:row>
      <xdr:rowOff>485766</xdr:rowOff>
    </xdr:to>
    <xdr:sp macro="[0]!ClientSelTableInfo" textlink="">
      <xdr:nvSpPr>
        <xdr:cNvPr id="8" name="角丸四角形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/>
      </xdr:nvSpPr>
      <xdr:spPr bwMode="auto">
        <a:xfrm>
          <a:off x="73151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9" name="角丸四角形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10" name="角丸四角形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/>
      </xdr:nvSpPr>
      <xdr:spPr bwMode="auto">
        <a:xfrm>
          <a:off x="4152899" y="1301997"/>
          <a:ext cx="714375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11" name="角丸四角形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/>
      </xdr:nvSpPr>
      <xdr:spPr bwMode="auto">
        <a:xfrm>
          <a:off x="5514974" y="77812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2" name="角丸四角形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/>
      </xdr:nvSpPr>
      <xdr:spPr bwMode="auto">
        <a:xfrm>
          <a:off x="8277224" y="787647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3" name="角丸四角形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/>
      </xdr:nvSpPr>
      <xdr:spPr bwMode="auto">
        <a:xfrm>
          <a:off x="8277225" y="1304925"/>
          <a:ext cx="194309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4" name="角丸四角形 13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SpPr/>
      </xdr:nvSpPr>
      <xdr:spPr bwMode="auto">
        <a:xfrm>
          <a:off x="2105024" y="797172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4" name="直線矢印コネクタ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CxnSpPr>
          <a:stCxn id="2" idx="3"/>
          <a:endCxn id="10" idx="1"/>
        </xdr:cNvCxnSpPr>
      </xdr:nvCxnSpPr>
      <xdr:spPr bwMode="auto">
        <a:xfrm flipV="1">
          <a:off x="3895725" y="1440110"/>
          <a:ext cx="257174" cy="64770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7" name="直線矢印コネクタ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CxnSpPr>
          <a:stCxn id="14" idx="3"/>
          <a:endCxn id="10" idx="1"/>
        </xdr:cNvCxnSpPr>
      </xdr:nvCxnSpPr>
      <xdr:spPr bwMode="auto">
        <a:xfrm>
          <a:off x="3924300" y="935285"/>
          <a:ext cx="228599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8" name="フローチャート: 判断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SpPr/>
      </xdr:nvSpPr>
      <xdr:spPr bwMode="auto">
        <a:xfrm>
          <a:off x="6886575" y="711447"/>
          <a:ext cx="895350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24" name="直線矢印コネクタ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CxnSpPr>
          <a:stCxn id="11" idx="3"/>
          <a:endCxn id="18" idx="1"/>
        </xdr:cNvCxnSpPr>
      </xdr:nvCxnSpPr>
      <xdr:spPr bwMode="auto">
        <a:xfrm>
          <a:off x="6410325" y="916235"/>
          <a:ext cx="476250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29" name="直線矢印コネクタ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CxnSpPr>
          <a:stCxn id="18" idx="3"/>
          <a:endCxn id="12" idx="1"/>
        </xdr:cNvCxnSpPr>
      </xdr:nvCxnSpPr>
      <xdr:spPr bwMode="auto">
        <a:xfrm>
          <a:off x="7781925" y="916235"/>
          <a:ext cx="495299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901" name="グループ化 95231">
          <a:extLst>
            <a:ext uri="{FF2B5EF4-FFF2-40B4-BE49-F238E27FC236}">
              <a16:creationId xmlns:a16="http://schemas.microsoft.com/office/drawing/2014/main" xmlns="" id="{00000000-0008-0000-0100-00008DCC01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914" name="正方形/長方形 29">
            <a:extLst>
              <a:ext uri="{FF2B5EF4-FFF2-40B4-BE49-F238E27FC236}">
                <a16:creationId xmlns:a16="http://schemas.microsoft.com/office/drawing/2014/main" xmlns="" id="{00000000-0008-0000-0100-00009ACC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1" name="正方形/長方形 30">
            <a:extLst>
              <a:ext uri="{FF2B5EF4-FFF2-40B4-BE49-F238E27FC236}">
                <a16:creationId xmlns:a16="http://schemas.microsoft.com/office/drawing/2014/main" xmlns="" id="{00000000-0008-0000-0100-00001F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902" name="グループ化 34">
          <a:extLst>
            <a:ext uri="{FF2B5EF4-FFF2-40B4-BE49-F238E27FC236}">
              <a16:creationId xmlns:a16="http://schemas.microsoft.com/office/drawing/2014/main" xmlns="" id="{00000000-0008-0000-0100-00008ECC01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912" name="正方形/長方形 35">
            <a:extLst>
              <a:ext uri="{FF2B5EF4-FFF2-40B4-BE49-F238E27FC236}">
                <a16:creationId xmlns:a16="http://schemas.microsoft.com/office/drawing/2014/main" xmlns="" id="{00000000-0008-0000-0100-000098CC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7" name="正方形/長方形 36">
            <a:extLst>
              <a:ext uri="{FF2B5EF4-FFF2-40B4-BE49-F238E27FC236}">
                <a16:creationId xmlns:a16="http://schemas.microsoft.com/office/drawing/2014/main" xmlns="" id="{00000000-0008-0000-0100-000025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903" name="カギ線コネクタ 95243">
          <a:extLst>
            <a:ext uri="{FF2B5EF4-FFF2-40B4-BE49-F238E27FC236}">
              <a16:creationId xmlns:a16="http://schemas.microsoft.com/office/drawing/2014/main" xmlns="" id="{00000000-0008-0000-0100-00008FCC0100}"/>
            </a:ext>
          </a:extLst>
        </xdr:cNvPr>
        <xdr:cNvCxnSpPr>
          <a:cxnSpLocks noChangeShapeType="1"/>
          <a:stCxn id="10" idx="3"/>
          <a:endCxn id="11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904" name="カギ線コネクタ 49">
          <a:extLst>
            <a:ext uri="{FF2B5EF4-FFF2-40B4-BE49-F238E27FC236}">
              <a16:creationId xmlns:a16="http://schemas.microsoft.com/office/drawing/2014/main" xmlns="" id="{00000000-0008-0000-0100-000090CC0100}"/>
            </a:ext>
          </a:extLst>
        </xdr:cNvPr>
        <xdr:cNvCxnSpPr>
          <a:cxnSpLocks noChangeShapeType="1"/>
          <a:stCxn id="10" idx="3"/>
          <a:endCxn id="7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54</xdr:row>
      <xdr:rowOff>192405</xdr:rowOff>
    </xdr:from>
    <xdr:to>
      <xdr:col>2</xdr:col>
      <xdr:colOff>1257300</xdr:colOff>
      <xdr:row>54</xdr:row>
      <xdr:rowOff>485766</xdr:rowOff>
    </xdr:to>
    <xdr:sp macro="[0]!InsActiveData" textlink="">
      <xdr:nvSpPr>
        <xdr:cNvPr id="27" name="角丸四角形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SpPr/>
      </xdr:nvSpPr>
      <xdr:spPr bwMode="auto">
        <a:xfrm>
          <a:off x="208406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54</xdr:row>
      <xdr:rowOff>114300</xdr:rowOff>
    </xdr:from>
    <xdr:to>
      <xdr:col>12</xdr:col>
      <xdr:colOff>171450</xdr:colOff>
      <xdr:row>54</xdr:row>
      <xdr:rowOff>2886075</xdr:rowOff>
    </xdr:to>
    <xdr:sp macro="" textlink="">
      <xdr:nvSpPr>
        <xdr:cNvPr id="3" name="SqlPanel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 bwMode="auto">
        <a:xfrm>
          <a:off x="3419475" y="8829675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54</xdr:row>
      <xdr:rowOff>116205</xdr:rowOff>
    </xdr:from>
    <xdr:to>
      <xdr:col>10</xdr:col>
      <xdr:colOff>1866900</xdr:colOff>
      <xdr:row>54</xdr:row>
      <xdr:rowOff>409566</xdr:rowOff>
    </xdr:to>
    <xdr:sp macro="[0]!InsActiveData" textlink="">
      <xdr:nvSpPr>
        <xdr:cNvPr id="30" name="角丸四角形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SpPr/>
      </xdr:nvSpPr>
      <xdr:spPr bwMode="auto">
        <a:xfrm>
          <a:off x="7760969" y="8831580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2" name="Text Box 4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33475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3" name="四角形吹き出し 3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911" name="正方形/長方形 4">
          <a:extLst>
            <a:ext uri="{FF2B5EF4-FFF2-40B4-BE49-F238E27FC236}">
              <a16:creationId xmlns:a16="http://schemas.microsoft.com/office/drawing/2014/main" xmlns="" id="{00000000-0008-0000-0100-000097CC01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8" name="角丸四角形 37">
          <a:extLst>
            <a:ext uri="{FF2B5EF4-FFF2-40B4-BE49-F238E27FC236}">
              <a16:creationId xmlns:a16="http://schemas.microsoft.com/office/drawing/2014/main" xmlns="" id="{00000000-0008-0000-0100-000026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3905" name="cboTYPE" hidden="1">
              <a:extLst>
                <a:ext uri="{63B3BB69-23CF-44E3-9099-C40C66FF867C}">
                  <a14:compatExt spid="_x0000_s123905"/>
                </a:ext>
                <a:ext uri="{FF2B5EF4-FFF2-40B4-BE49-F238E27FC236}">
                  <a16:creationId xmlns:a16="http://schemas.microsoft.com/office/drawing/2014/main" xmlns="" id="{00000000-0008-0000-0200-000001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23906" name="chkTYPE" hidden="1">
              <a:extLst>
                <a:ext uri="{63B3BB69-23CF-44E3-9099-C40C66FF867C}">
                  <a14:compatExt spid="_x0000_s123906"/>
                </a:ext>
                <a:ext uri="{FF2B5EF4-FFF2-40B4-BE49-F238E27FC236}">
                  <a16:creationId xmlns:a16="http://schemas.microsoft.com/office/drawing/2014/main" xmlns="" id="{00000000-0008-0000-0200-000002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38</xdr:row>
      <xdr:rowOff>192405</xdr:rowOff>
    </xdr:from>
    <xdr:to>
      <xdr:col>1</xdr:col>
      <xdr:colOff>1619250</xdr:colOff>
      <xdr:row>38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10327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38</xdr:row>
      <xdr:rowOff>192405</xdr:rowOff>
    </xdr:from>
    <xdr:to>
      <xdr:col>2</xdr:col>
      <xdr:colOff>1257300</xdr:colOff>
      <xdr:row>38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10327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38</xdr:row>
      <xdr:rowOff>114300</xdr:rowOff>
    </xdr:from>
    <xdr:to>
      <xdr:col>12</xdr:col>
      <xdr:colOff>171450</xdr:colOff>
      <xdr:row>38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10248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m_file_kind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kind='aspx'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m_file_kind SELECT 'aspx'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38</xdr:row>
      <xdr:rowOff>116205</xdr:rowOff>
    </xdr:from>
    <xdr:to>
      <xdr:col>10</xdr:col>
      <xdr:colOff>1866900</xdr:colOff>
      <xdr:row>38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10250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4929" name="cboTYPE" hidden="1">
              <a:extLst>
                <a:ext uri="{63B3BB69-23CF-44E3-9099-C40C66FF867C}">
                  <a14:compatExt spid="_x0000_s124929"/>
                </a:ext>
                <a:ext uri="{FF2B5EF4-FFF2-40B4-BE49-F238E27FC236}">
                  <a16:creationId xmlns:a16="http://schemas.microsoft.com/office/drawing/2014/main" xmlns="" id="{00000000-0008-0000-0300-000001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24930" name="chkTYPE" hidden="1">
              <a:extLst>
                <a:ext uri="{63B3BB69-23CF-44E3-9099-C40C66FF867C}">
                  <a14:compatExt spid="_x0000_s124930"/>
                </a:ext>
                <a:ext uri="{FF2B5EF4-FFF2-40B4-BE49-F238E27FC236}">
                  <a16:creationId xmlns:a16="http://schemas.microsoft.com/office/drawing/2014/main" xmlns="" id="{00000000-0008-0000-0300-000002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38</xdr:row>
      <xdr:rowOff>192405</xdr:rowOff>
    </xdr:from>
    <xdr:to>
      <xdr:col>1</xdr:col>
      <xdr:colOff>1619250</xdr:colOff>
      <xdr:row>38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3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3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3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3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3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3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3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3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3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38</xdr:row>
      <xdr:rowOff>192405</xdr:rowOff>
    </xdr:from>
    <xdr:to>
      <xdr:col>2</xdr:col>
      <xdr:colOff>1257300</xdr:colOff>
      <xdr:row>38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3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38</xdr:row>
      <xdr:rowOff>114300</xdr:rowOff>
    </xdr:from>
    <xdr:to>
      <xdr:col>12</xdr:col>
      <xdr:colOff>171450</xdr:colOff>
      <xdr:row>38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3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38</xdr:row>
      <xdr:rowOff>116205</xdr:rowOff>
    </xdr:from>
    <xdr:to>
      <xdr:col>10</xdr:col>
      <xdr:colOff>1866900</xdr:colOff>
      <xdr:row>38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3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3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3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3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3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5953" name="cboTYPE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:a16="http://schemas.microsoft.com/office/drawing/2014/main" xmlns="" id="{00000000-0008-0000-0400-000001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25954" name="chkTYPE" hidden="1">
              <a:extLst>
                <a:ext uri="{63B3BB69-23CF-44E3-9099-C40C66FF867C}">
                  <a14:compatExt spid="_x0000_s125954"/>
                </a:ext>
                <a:ext uri="{FF2B5EF4-FFF2-40B4-BE49-F238E27FC236}">
                  <a16:creationId xmlns:a16="http://schemas.microsoft.com/office/drawing/2014/main" xmlns="" id="{00000000-0008-0000-0400-000002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37</xdr:row>
      <xdr:rowOff>192405</xdr:rowOff>
    </xdr:from>
    <xdr:to>
      <xdr:col>1</xdr:col>
      <xdr:colOff>1619250</xdr:colOff>
      <xdr:row>37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4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4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4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4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37</xdr:row>
      <xdr:rowOff>192405</xdr:rowOff>
    </xdr:from>
    <xdr:to>
      <xdr:col>2</xdr:col>
      <xdr:colOff>1257300</xdr:colOff>
      <xdr:row>37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37</xdr:row>
      <xdr:rowOff>114300</xdr:rowOff>
    </xdr:from>
    <xdr:to>
      <xdr:col>12</xdr:col>
      <xdr:colOff>171450</xdr:colOff>
      <xdr:row>37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m_system_name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system_name='VTHM'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m_system_name SELECT 'VTHM'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37</xdr:row>
      <xdr:rowOff>116205</xdr:rowOff>
    </xdr:from>
    <xdr:to>
      <xdr:col>10</xdr:col>
      <xdr:colOff>1866900</xdr:colOff>
      <xdr:row>37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14689" name="cboTYPE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xmlns="" id="{00000000-0008-0000-07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14690" name="chkTYPE" hidden="1">
              <a:extLst>
                <a:ext uri="{63B3BB69-23CF-44E3-9099-C40C66FF867C}">
                  <a14:compatExt spid="_x0000_s114690"/>
                </a:ext>
                <a:ext uri="{FF2B5EF4-FFF2-40B4-BE49-F238E27FC236}">
                  <a16:creationId xmlns:a16="http://schemas.microsoft.com/office/drawing/2014/main" xmlns="" id="{00000000-0008-0000-0700-00000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3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4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45</xdr:row>
      <xdr:rowOff>192405</xdr:rowOff>
    </xdr:from>
    <xdr:to>
      <xdr:col>1</xdr:col>
      <xdr:colOff>1619250</xdr:colOff>
      <xdr:row>45</xdr:row>
      <xdr:rowOff>485766</xdr:rowOff>
    </xdr:to>
    <xdr:sp macro="[0]!ClientSelTableInfo" textlink="">
      <xdr:nvSpPr>
        <xdr:cNvPr id="6" name="角丸四角形 5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SpPr/>
      </xdr:nvSpPr>
      <xdr:spPr bwMode="auto">
        <a:xfrm>
          <a:off x="73151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作成" textlink="">
      <xdr:nvSpPr>
        <xdr:cNvPr id="7" name="角丸四角形 6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7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8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9"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0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1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12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3">
          <a:extLst>
            <a:ext uri="{FF2B5EF4-FFF2-40B4-BE49-F238E27FC236}">
              <a16:creationId xmlns:a16="http://schemas.microsoft.com/office/drawing/2014/main" xmlns="" id="{00000000-0008-0000-07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4"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16"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325" name="グループ化 95231">
          <a:extLst>
            <a:ext uri="{FF2B5EF4-FFF2-40B4-BE49-F238E27FC236}">
              <a16:creationId xmlns:a16="http://schemas.microsoft.com/office/drawing/2014/main" xmlns="" id="{00000000-0008-0000-0700-00004DCA01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338" name="正方形/長方形 29">
            <a:extLst>
              <a:ext uri="{FF2B5EF4-FFF2-40B4-BE49-F238E27FC236}">
                <a16:creationId xmlns:a16="http://schemas.microsoft.com/office/drawing/2014/main" xmlns="" id="{00000000-0008-0000-0700-00005ACA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19">
            <a:extLst>
              <a:ext uri="{FF2B5EF4-FFF2-40B4-BE49-F238E27FC236}">
                <a16:creationId xmlns:a16="http://schemas.microsoft.com/office/drawing/2014/main" xmlns="" id="{00000000-0008-0000-07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326" name="グループ化 34">
          <a:extLst>
            <a:ext uri="{FF2B5EF4-FFF2-40B4-BE49-F238E27FC236}">
              <a16:creationId xmlns:a16="http://schemas.microsoft.com/office/drawing/2014/main" xmlns="" id="{00000000-0008-0000-0700-00004ECA01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336" name="正方形/長方形 35">
            <a:extLst>
              <a:ext uri="{FF2B5EF4-FFF2-40B4-BE49-F238E27FC236}">
                <a16:creationId xmlns:a16="http://schemas.microsoft.com/office/drawing/2014/main" xmlns="" id="{00000000-0008-0000-0700-000058CA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22">
            <a:extLst>
              <a:ext uri="{FF2B5EF4-FFF2-40B4-BE49-F238E27FC236}">
                <a16:creationId xmlns:a16="http://schemas.microsoft.com/office/drawing/2014/main" xmlns="" id="{00000000-0008-0000-07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資料保存用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327" name="カギ線コネクタ 95243">
          <a:extLst>
            <a:ext uri="{FF2B5EF4-FFF2-40B4-BE49-F238E27FC236}">
              <a16:creationId xmlns:a16="http://schemas.microsoft.com/office/drawing/2014/main" xmlns="" id="{00000000-0008-0000-0700-00004FCA01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328" name="カギ線コネクタ 49">
          <a:extLst>
            <a:ext uri="{FF2B5EF4-FFF2-40B4-BE49-F238E27FC236}">
              <a16:creationId xmlns:a16="http://schemas.microsoft.com/office/drawing/2014/main" xmlns="" id="{00000000-0008-0000-0700-000050CA01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76200</xdr:colOff>
      <xdr:row>9</xdr:row>
      <xdr:rowOff>0</xdr:rowOff>
    </xdr:from>
    <xdr:to>
      <xdr:col>13</xdr:col>
      <xdr:colOff>350536</xdr:colOff>
      <xdr:row>15</xdr:row>
      <xdr:rowOff>38100</xdr:rowOff>
    </xdr:to>
    <xdr:sp macro="" textlink="">
      <xdr:nvSpPr>
        <xdr:cNvPr id="26" name="四角形吹き出し 25">
          <a:extLst>
            <a:ext uri="{FF2B5EF4-FFF2-40B4-BE49-F238E27FC236}">
              <a16:creationId xmlns:a16="http://schemas.microsoft.com/office/drawing/2014/main" xmlns="" id="{00000000-0008-0000-0700-00001A000000}"/>
            </a:ext>
          </a:extLst>
        </xdr:cNvPr>
        <xdr:cNvSpPr/>
      </xdr:nvSpPr>
      <xdr:spPr bwMode="auto">
        <a:xfrm>
          <a:off x="10391775" y="3705225"/>
          <a:ext cx="2036461" cy="895350"/>
        </a:xfrm>
        <a:prstGeom prst="wedgeRectCallout">
          <a:avLst>
            <a:gd name="adj1" fmla="val -77375"/>
            <a:gd name="adj2" fmla="val -42819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>
              <a:solidFill>
                <a:srgbClr val="FF0000"/>
              </a:solidFill>
            </a:rPr>
            <a:t>行削除の操作しないしてください</a:t>
          </a:r>
        </a:p>
      </xdr:txBody>
    </xdr:sp>
    <xdr:clientData/>
  </xdr:twoCellAnchor>
  <xdr:twoCellAnchor>
    <xdr:from>
      <xdr:col>2</xdr:col>
      <xdr:colOff>74294</xdr:colOff>
      <xdr:row>45</xdr:row>
      <xdr:rowOff>192405</xdr:rowOff>
    </xdr:from>
    <xdr:to>
      <xdr:col>2</xdr:col>
      <xdr:colOff>1257300</xdr:colOff>
      <xdr:row>45</xdr:row>
      <xdr:rowOff>485766</xdr:rowOff>
    </xdr:to>
    <xdr:sp macro="[0]!InsActiveData" textlink="">
      <xdr:nvSpPr>
        <xdr:cNvPr id="27" name="角丸四角形 26">
          <a:extLst>
            <a:ext uri="{FF2B5EF4-FFF2-40B4-BE49-F238E27FC236}">
              <a16:creationId xmlns:a16="http://schemas.microsoft.com/office/drawing/2014/main" xmlns="" id="{00000000-0008-0000-0700-00001B000000}"/>
            </a:ext>
          </a:extLst>
        </xdr:cNvPr>
        <xdr:cNvSpPr/>
      </xdr:nvSpPr>
      <xdr:spPr bwMode="auto">
        <a:xfrm>
          <a:off x="208406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45</xdr:row>
      <xdr:rowOff>114300</xdr:rowOff>
    </xdr:from>
    <xdr:to>
      <xdr:col>12</xdr:col>
      <xdr:colOff>171450</xdr:colOff>
      <xdr:row>45</xdr:row>
      <xdr:rowOff>2886075</xdr:rowOff>
    </xdr:to>
    <xdr:sp macro="" textlink="">
      <xdr:nvSpPr>
        <xdr:cNvPr id="28" name="SqlPanel">
          <a:extLst>
            <a:ext uri="{FF2B5EF4-FFF2-40B4-BE49-F238E27FC236}">
              <a16:creationId xmlns:a16="http://schemas.microsoft.com/office/drawing/2014/main" xmlns="" id="{00000000-0008-0000-0700-00001C000000}"/>
            </a:ext>
          </a:extLst>
        </xdr:cNvPr>
        <xdr:cNvSpPr/>
      </xdr:nvSpPr>
      <xdr:spPr bwMode="auto">
        <a:xfrm>
          <a:off x="3419475" y="9105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45</xdr:row>
      <xdr:rowOff>116205</xdr:rowOff>
    </xdr:from>
    <xdr:to>
      <xdr:col>10</xdr:col>
      <xdr:colOff>1866900</xdr:colOff>
      <xdr:row>45</xdr:row>
      <xdr:rowOff>409566</xdr:rowOff>
    </xdr:to>
    <xdr:sp macro="[0]!InsActiveData" textlink="">
      <xdr:nvSpPr>
        <xdr:cNvPr id="29" name="角丸四角形 28">
          <a:extLst>
            <a:ext uri="{FF2B5EF4-FFF2-40B4-BE49-F238E27FC236}">
              <a16:creationId xmlns:a16="http://schemas.microsoft.com/office/drawing/2014/main" xmlns="" id="{00000000-0008-0000-0700-00001D000000}"/>
            </a:ext>
          </a:extLst>
        </xdr:cNvPr>
        <xdr:cNvSpPr/>
      </xdr:nvSpPr>
      <xdr:spPr bwMode="auto">
        <a:xfrm>
          <a:off x="7760969" y="9107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0" name="Text Box 4">
          <a:extLst>
            <a:ext uri="{FF2B5EF4-FFF2-40B4-BE49-F238E27FC236}">
              <a16:creationId xmlns:a16="http://schemas.microsoft.com/office/drawing/2014/main" xmlns="" id="{00000000-0008-0000-0700-00001E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10</xdr:col>
      <xdr:colOff>3152775</xdr:colOff>
      <xdr:row>0</xdr:row>
      <xdr:rowOff>57150</xdr:rowOff>
    </xdr:from>
    <xdr:to>
      <xdr:col>14</xdr:col>
      <xdr:colOff>76200</xdr:colOff>
      <xdr:row>2</xdr:row>
      <xdr:rowOff>457200</xdr:rowOff>
    </xdr:to>
    <xdr:sp macro="" textlink="">
      <xdr:nvSpPr>
        <xdr:cNvPr id="31" name="四角形吹き出し 30">
          <a:extLst>
            <a:ext uri="{FF2B5EF4-FFF2-40B4-BE49-F238E27FC236}">
              <a16:creationId xmlns:a16="http://schemas.microsoft.com/office/drawing/2014/main" xmlns="" id="{00000000-0008-0000-0700-00001F000000}"/>
            </a:ext>
          </a:extLst>
        </xdr:cNvPr>
        <xdr:cNvSpPr/>
      </xdr:nvSpPr>
      <xdr:spPr bwMode="auto">
        <a:xfrm>
          <a:off x="10229850" y="5715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335" name="正方形/長方形 31">
          <a:extLst>
            <a:ext uri="{FF2B5EF4-FFF2-40B4-BE49-F238E27FC236}">
              <a16:creationId xmlns:a16="http://schemas.microsoft.com/office/drawing/2014/main" xmlns="" id="{00000000-0008-0000-0700-000057CA01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1</xdr:row>
      <xdr:rowOff>95250</xdr:rowOff>
    </xdr:from>
    <xdr:to>
      <xdr:col>6</xdr:col>
      <xdr:colOff>361950</xdr:colOff>
      <xdr:row>3</xdr:row>
      <xdr:rowOff>69367</xdr:rowOff>
    </xdr:to>
    <xdr:sp macro="[0]!GetTableList" textlink="">
      <xdr:nvSpPr>
        <xdr:cNvPr id="2" name="角丸四角形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 bwMode="auto">
        <a:xfrm>
          <a:off x="2238375" y="247650"/>
          <a:ext cx="1781175" cy="27891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Table Name </a:t>
          </a:r>
          <a:r>
            <a:rPr kumimoji="1" lang="ja-JP" altLang="en-US" sz="1100"/>
            <a:t>取得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925861</xdr:colOff>
      <xdr:row>3</xdr:row>
      <xdr:rowOff>122035</xdr:rowOff>
    </xdr:to>
    <xdr:sp macro="[0]!DoCopyTable" textlink="">
      <xdr:nvSpPr>
        <xdr:cNvPr id="2" name="角丸四角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 bwMode="auto">
        <a:xfrm>
          <a:off x="1219200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COPY </a:t>
          </a:r>
          <a:r>
            <a:rPr kumimoji="1" lang="ja-JP" altLang="en-US" sz="1100"/>
            <a:t>→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3</xdr:col>
      <xdr:colOff>925861</xdr:colOff>
      <xdr:row>3</xdr:row>
      <xdr:rowOff>122035</xdr:rowOff>
    </xdr:to>
    <xdr:sp macro="[0]!DoTableRestore" textlink="">
      <xdr:nvSpPr>
        <xdr:cNvPr id="3" name="角丸四角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 bwMode="auto">
        <a:xfrm>
          <a:off x="2390775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←復元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529590</xdr:colOff>
      <xdr:row>4</xdr:row>
      <xdr:rowOff>114300</xdr:rowOff>
    </xdr:from>
    <xdr:to>
      <xdr:col>1</xdr:col>
      <xdr:colOff>1674449</xdr:colOff>
      <xdr:row>7</xdr:row>
      <xdr:rowOff>57150</xdr:rowOff>
    </xdr:to>
    <xdr:sp macro="[0]!UPDATE_REP" textlink="">
      <xdr:nvSpPr>
        <xdr:cNvPr id="2" name="角丸四角形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SpPr/>
      </xdr:nvSpPr>
      <xdr:spPr bwMode="auto">
        <a:xfrm>
          <a:off x="1628775" y="723900"/>
          <a:ext cx="1143000" cy="40005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UPDATE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4:I7"/>
  <sheetViews>
    <sheetView workbookViewId="0">
      <selection activeCell="C16" sqref="C16"/>
    </sheetView>
  </sheetViews>
  <sheetFormatPr defaultColWidth="9.140625" defaultRowHeight="21"/>
  <cols>
    <col min="1" max="2" width="9.140625" style="119"/>
    <col min="3" max="3" width="13.140625" style="119" customWidth="1"/>
    <col min="4" max="16384" width="9.140625" style="119"/>
  </cols>
  <sheetData>
    <row r="4" spans="2:9">
      <c r="B4" s="120" t="s">
        <v>559</v>
      </c>
      <c r="C4" s="118" t="s">
        <v>554</v>
      </c>
    </row>
    <row r="5" spans="2:9">
      <c r="B5" s="120" t="s">
        <v>560</v>
      </c>
      <c r="C5" s="118" t="s">
        <v>555</v>
      </c>
    </row>
    <row r="6" spans="2:9">
      <c r="B6" s="120" t="s">
        <v>561</v>
      </c>
      <c r="C6" s="118" t="s">
        <v>556</v>
      </c>
    </row>
    <row r="7" spans="2:9">
      <c r="B7" s="120" t="s">
        <v>562</v>
      </c>
      <c r="C7" s="118" t="s">
        <v>557</v>
      </c>
      <c r="I7" s="119" t="s">
        <v>558</v>
      </c>
    </row>
  </sheetData>
  <phoneticPr fontId="5"/>
  <hyperlinks>
    <hyperlink ref="C4" location="DB_INFO!A1" display="DB接続設定"/>
    <hyperlink ref="C5" location="GetTableNameList!A1" display="TABLE一覧取得"/>
    <hyperlink ref="C6" location="CopyTable!A1" display="TABLEのCopy"/>
    <hyperlink ref="C7" location="TABLE_TMP!A1" display="TABLE作成のTemplete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1:Y1057"/>
  <sheetViews>
    <sheetView showGridLines="0" zoomScaleNormal="100" workbookViewId="0">
      <selection activeCell="F31" sqref="F31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2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25" s="8" customFormat="1" ht="13.5">
      <c r="A5" s="19" t="s">
        <v>41</v>
      </c>
      <c r="B5" s="9"/>
      <c r="C5" s="159" t="s">
        <v>664</v>
      </c>
      <c r="D5" s="160"/>
      <c r="E5" s="161"/>
      <c r="F5" s="162" t="s">
        <v>665</v>
      </c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25" s="8" customFormat="1" ht="13.5">
      <c r="A6" s="19" t="s">
        <v>19</v>
      </c>
      <c r="B6" s="9"/>
      <c r="C6" s="159" t="s">
        <v>643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25" s="8" customFormat="1" ht="13.5">
      <c r="A7" s="10"/>
      <c r="B7" s="20" t="s">
        <v>2</v>
      </c>
      <c r="C7" s="42" t="s">
        <v>623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25" ht="11.25">
      <c r="A9" s="69">
        <v>1</v>
      </c>
      <c r="B9" s="68" t="s">
        <v>136</v>
      </c>
      <c r="C9" s="69" t="s">
        <v>624</v>
      </c>
      <c r="D9" s="69" t="s">
        <v>532</v>
      </c>
      <c r="E9" s="69"/>
      <c r="F9" s="69" t="s">
        <v>585</v>
      </c>
      <c r="G9" s="69" t="s">
        <v>586</v>
      </c>
      <c r="H9" s="69"/>
      <c r="I9" s="69"/>
      <c r="J9" s="69"/>
      <c r="K9" s="69"/>
    </row>
    <row r="10" spans="1:25" ht="11.25">
      <c r="A10" s="69">
        <v>2</v>
      </c>
      <c r="B10" s="68" t="s">
        <v>662</v>
      </c>
      <c r="C10" s="69" t="s">
        <v>519</v>
      </c>
      <c r="D10" s="69" t="s">
        <v>531</v>
      </c>
      <c r="E10" s="69">
        <v>10</v>
      </c>
      <c r="F10" s="69" t="s">
        <v>593</v>
      </c>
      <c r="G10" s="69" t="s">
        <v>586</v>
      </c>
      <c r="H10" s="69"/>
      <c r="I10" s="69"/>
      <c r="J10" s="69"/>
      <c r="K10" s="69"/>
    </row>
    <row r="11" spans="1:25" ht="11.25">
      <c r="A11" s="69">
        <v>3</v>
      </c>
      <c r="B11" s="68" t="s">
        <v>640</v>
      </c>
      <c r="C11" s="69" t="s">
        <v>641</v>
      </c>
      <c r="D11" s="69" t="s">
        <v>531</v>
      </c>
      <c r="E11" s="69">
        <v>50</v>
      </c>
      <c r="F11" s="69" t="s">
        <v>594</v>
      </c>
      <c r="G11" s="69" t="s">
        <v>586</v>
      </c>
      <c r="H11" s="69"/>
      <c r="I11" s="69"/>
      <c r="J11" s="69"/>
      <c r="K11" s="69"/>
    </row>
    <row r="12" spans="1:25" ht="11.25">
      <c r="A12" s="69">
        <v>4</v>
      </c>
      <c r="B12" s="68" t="s">
        <v>663</v>
      </c>
      <c r="C12" s="69" t="s">
        <v>626</v>
      </c>
      <c r="D12" s="69" t="s">
        <v>676</v>
      </c>
      <c r="E12" s="69">
        <v>20</v>
      </c>
      <c r="F12" s="69" t="s">
        <v>595</v>
      </c>
      <c r="G12" s="69" t="s">
        <v>586</v>
      </c>
      <c r="H12" s="69"/>
      <c r="I12" s="69"/>
      <c r="J12" s="69"/>
      <c r="K12" s="69"/>
    </row>
    <row r="13" spans="1:25" ht="11.25">
      <c r="A13" s="69">
        <v>5</v>
      </c>
      <c r="B13" s="68" t="s">
        <v>628</v>
      </c>
      <c r="C13" s="69" t="s">
        <v>629</v>
      </c>
      <c r="D13" s="69" t="s">
        <v>531</v>
      </c>
      <c r="E13" s="69">
        <v>200</v>
      </c>
      <c r="F13" s="69"/>
      <c r="G13" s="69"/>
      <c r="H13" s="69"/>
      <c r="I13" s="69"/>
      <c r="J13" s="69"/>
      <c r="K13" s="69"/>
    </row>
    <row r="14" spans="1:25" ht="11.25">
      <c r="A14" s="69">
        <v>6</v>
      </c>
      <c r="B14" s="68" t="s">
        <v>656</v>
      </c>
      <c r="C14" s="69" t="s">
        <v>657</v>
      </c>
      <c r="D14" s="69" t="s">
        <v>676</v>
      </c>
      <c r="E14" s="69">
        <v>200</v>
      </c>
      <c r="F14" s="69"/>
      <c r="G14" s="69"/>
      <c r="H14" s="69"/>
      <c r="I14" s="69"/>
      <c r="J14" s="69"/>
      <c r="K14" s="69"/>
    </row>
    <row r="15" spans="1:25" ht="11.25">
      <c r="A15" s="69">
        <v>7</v>
      </c>
      <c r="B15" s="68" t="s">
        <v>679</v>
      </c>
      <c r="C15" s="69" t="s">
        <v>677</v>
      </c>
      <c r="D15" s="69" t="s">
        <v>631</v>
      </c>
      <c r="E15" s="69"/>
      <c r="F15" s="69"/>
      <c r="G15" s="69"/>
      <c r="H15" s="69"/>
      <c r="I15" s="69"/>
      <c r="J15" s="69"/>
      <c r="K15" s="69"/>
    </row>
    <row r="16" spans="1:25" ht="11.25">
      <c r="A16" s="69">
        <v>8</v>
      </c>
      <c r="B16" s="68" t="s">
        <v>680</v>
      </c>
      <c r="C16" s="69" t="s">
        <v>678</v>
      </c>
      <c r="D16" s="69" t="s">
        <v>631</v>
      </c>
      <c r="E16" s="69"/>
      <c r="F16" s="69"/>
      <c r="G16" s="69"/>
      <c r="H16" s="69"/>
      <c r="I16" s="69"/>
      <c r="J16" s="69"/>
      <c r="K16" s="69"/>
      <c r="L16" s="8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</row>
    <row r="17" spans="1:25" ht="11.25">
      <c r="A17" s="69">
        <v>9</v>
      </c>
      <c r="B17" s="68" t="s">
        <v>651</v>
      </c>
      <c r="C17" s="70" t="s">
        <v>646</v>
      </c>
      <c r="D17" s="69" t="s">
        <v>631</v>
      </c>
      <c r="E17" s="69"/>
      <c r="F17" s="69"/>
      <c r="G17" s="69"/>
      <c r="H17" s="69"/>
      <c r="I17" s="69"/>
      <c r="J17" s="69"/>
      <c r="K17" s="69"/>
      <c r="L17" s="8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8" spans="1:25" ht="11.25">
      <c r="A18" s="69">
        <v>10</v>
      </c>
      <c r="B18" s="68" t="s">
        <v>652</v>
      </c>
      <c r="C18" s="70" t="s">
        <v>647</v>
      </c>
      <c r="D18" s="69" t="s">
        <v>631</v>
      </c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>
        <v>11</v>
      </c>
      <c r="B19" s="68" t="s">
        <v>653</v>
      </c>
      <c r="C19" s="70" t="s">
        <v>648</v>
      </c>
      <c r="D19" s="69" t="s">
        <v>631</v>
      </c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>
        <v>12</v>
      </c>
      <c r="B20" s="68" t="s">
        <v>654</v>
      </c>
      <c r="C20" s="70" t="s">
        <v>649</v>
      </c>
      <c r="D20" s="69" t="s">
        <v>631</v>
      </c>
      <c r="E20" s="69"/>
      <c r="F20" s="69"/>
      <c r="G20" s="69"/>
      <c r="H20" s="69"/>
      <c r="I20" s="69"/>
      <c r="J20" s="69"/>
      <c r="K20" s="69"/>
      <c r="L20" s="8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</row>
    <row r="21" spans="1:25" ht="11.25">
      <c r="A21" s="69">
        <v>13</v>
      </c>
      <c r="B21" s="68" t="s">
        <v>655</v>
      </c>
      <c r="C21" s="70" t="s">
        <v>650</v>
      </c>
      <c r="D21" s="69" t="s">
        <v>631</v>
      </c>
      <c r="E21" s="69"/>
      <c r="F21" s="69"/>
      <c r="G21" s="69"/>
      <c r="H21" s="69"/>
      <c r="I21" s="69"/>
      <c r="J21" s="69"/>
      <c r="K21" s="69"/>
      <c r="L21" s="8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</row>
    <row r="22" spans="1:25" ht="11.25">
      <c r="A22" s="69">
        <v>14</v>
      </c>
      <c r="B22" s="68" t="s">
        <v>644</v>
      </c>
      <c r="C22" s="69" t="s">
        <v>645</v>
      </c>
      <c r="D22" s="69" t="s">
        <v>531</v>
      </c>
      <c r="E22" s="69">
        <v>800</v>
      </c>
      <c r="F22" s="69"/>
      <c r="G22" s="69"/>
      <c r="H22" s="69"/>
      <c r="I22" s="69"/>
      <c r="J22" s="69"/>
      <c r="K22" s="69"/>
      <c r="L22" s="8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</row>
    <row r="23" spans="1:25" ht="11.25">
      <c r="A23" s="69">
        <v>15</v>
      </c>
      <c r="B23" s="68" t="s">
        <v>639</v>
      </c>
      <c r="C23" s="69" t="s">
        <v>637</v>
      </c>
      <c r="D23" s="69" t="s">
        <v>531</v>
      </c>
      <c r="E23" s="69">
        <v>1</v>
      </c>
      <c r="F23" s="69"/>
      <c r="G23" s="69"/>
      <c r="H23" s="69"/>
      <c r="I23" s="69"/>
      <c r="J23" s="69"/>
      <c r="K23" s="69"/>
      <c r="L23" s="8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</row>
    <row r="24" spans="1:25" ht="11.25">
      <c r="A24" s="69">
        <v>16</v>
      </c>
      <c r="B24" s="68" t="s">
        <v>636</v>
      </c>
      <c r="C24" s="69" t="s">
        <v>635</v>
      </c>
      <c r="D24" s="69" t="s">
        <v>531</v>
      </c>
      <c r="E24" s="69">
        <v>20</v>
      </c>
      <c r="F24" s="71"/>
      <c r="G24" s="71"/>
      <c r="H24" s="71"/>
      <c r="I24" s="71"/>
      <c r="J24" s="71"/>
      <c r="K24" s="70"/>
      <c r="L24" s="8"/>
      <c r="M24" s="14"/>
      <c r="N24" s="15"/>
    </row>
    <row r="25" spans="1:25" ht="11.25">
      <c r="A25" s="69">
        <v>17</v>
      </c>
      <c r="B25" s="68" t="s">
        <v>633</v>
      </c>
      <c r="C25" s="69" t="s">
        <v>634</v>
      </c>
      <c r="D25" s="69" t="s">
        <v>689</v>
      </c>
      <c r="E25" s="69"/>
      <c r="F25" s="71"/>
      <c r="G25" s="71"/>
      <c r="H25" s="71"/>
      <c r="I25" s="71"/>
      <c r="J25" s="71"/>
      <c r="K25" s="70"/>
      <c r="L25" s="8"/>
    </row>
    <row r="26" spans="1:25" ht="11.25">
      <c r="A26" s="69"/>
      <c r="B26" s="68"/>
      <c r="C26" s="70"/>
      <c r="D26" s="71"/>
      <c r="E26" s="71"/>
      <c r="F26" s="69"/>
      <c r="G26" s="69"/>
      <c r="H26" s="69"/>
      <c r="I26" s="69"/>
      <c r="J26" s="69"/>
      <c r="K26" s="70"/>
      <c r="L26" s="8"/>
      <c r="M26" s="14"/>
      <c r="N26" s="15"/>
    </row>
    <row r="27" spans="1:25" ht="11.25">
      <c r="A27" s="69"/>
      <c r="B27" s="68"/>
      <c r="C27" s="70"/>
      <c r="D27" s="71"/>
      <c r="E27" s="71"/>
      <c r="F27" s="72"/>
      <c r="G27" s="69"/>
      <c r="H27" s="71"/>
      <c r="I27" s="71"/>
      <c r="J27" s="71"/>
      <c r="K27" s="70"/>
      <c r="L27" s="8"/>
      <c r="M27" s="14"/>
      <c r="N27" s="15"/>
    </row>
    <row r="28" spans="1:25" ht="11.25">
      <c r="A28" s="69"/>
      <c r="B28" s="68"/>
      <c r="C28" s="70"/>
      <c r="D28" s="71"/>
      <c r="E28" s="71"/>
      <c r="F28" s="72"/>
      <c r="G28" s="69"/>
      <c r="H28" s="71"/>
      <c r="I28" s="71"/>
      <c r="J28" s="71"/>
      <c r="K28" s="70"/>
      <c r="L28" s="8"/>
    </row>
    <row r="29" spans="1:25" ht="11.25">
      <c r="A29" s="69"/>
      <c r="B29" s="68"/>
      <c r="C29" s="70"/>
      <c r="D29" s="71"/>
      <c r="E29" s="71"/>
      <c r="F29" s="73"/>
      <c r="G29" s="69"/>
      <c r="H29" s="71"/>
      <c r="I29" s="71"/>
      <c r="J29" s="71"/>
      <c r="K29" s="70"/>
      <c r="L29" s="8"/>
      <c r="M29" s="14"/>
      <c r="N29" s="15"/>
    </row>
    <row r="30" spans="1:25" ht="11.25">
      <c r="A30" s="69"/>
      <c r="B30" s="68"/>
      <c r="C30" s="70"/>
      <c r="D30" s="69"/>
      <c r="E30" s="71"/>
      <c r="F30" s="73"/>
      <c r="G30" s="69"/>
      <c r="H30" s="71"/>
      <c r="I30" s="71"/>
      <c r="J30" s="71"/>
      <c r="K30" s="70"/>
      <c r="L30" s="8"/>
      <c r="M30" s="3"/>
      <c r="N30" s="1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12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12" ht="11.25">
      <c r="A34" s="69"/>
      <c r="B34" s="68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12" ht="11.25">
      <c r="A35" s="69"/>
      <c r="B35" s="68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12" ht="11.25">
      <c r="A36" s="69"/>
      <c r="B36" s="68"/>
      <c r="C36" s="70"/>
      <c r="D36" s="69"/>
      <c r="E36" s="69"/>
      <c r="F36" s="69"/>
      <c r="G36" s="69"/>
      <c r="H36" s="69"/>
      <c r="I36" s="69"/>
      <c r="J36" s="69"/>
      <c r="K36" s="74"/>
      <c r="L36" s="8"/>
    </row>
    <row r="37" spans="1:12" ht="11.25">
      <c r="A37" s="69"/>
      <c r="B37" s="68"/>
      <c r="C37" s="70"/>
      <c r="D37" s="69"/>
      <c r="E37" s="69"/>
      <c r="F37" s="69"/>
      <c r="G37" s="69"/>
      <c r="H37" s="69"/>
      <c r="I37" s="69"/>
      <c r="J37" s="69"/>
      <c r="K37" s="74"/>
      <c r="L37" s="8"/>
    </row>
    <row r="38" spans="1:12" ht="11.25">
      <c r="A38" s="69"/>
      <c r="B38" s="68"/>
      <c r="C38" s="70"/>
      <c r="D38" s="69"/>
      <c r="E38" s="69"/>
      <c r="F38" s="69"/>
      <c r="G38" s="69"/>
      <c r="H38" s="69"/>
      <c r="I38" s="69"/>
      <c r="J38" s="69"/>
      <c r="K38" s="74"/>
      <c r="L38" s="8"/>
    </row>
    <row r="39" spans="1:12" ht="11.25">
      <c r="A39" s="69"/>
      <c r="B39" s="68"/>
      <c r="C39" s="70"/>
      <c r="D39" s="69"/>
      <c r="E39" s="69"/>
      <c r="F39" s="69"/>
      <c r="G39" s="69"/>
      <c r="H39" s="69"/>
      <c r="I39" s="69"/>
      <c r="J39" s="69"/>
      <c r="K39" s="74"/>
      <c r="L39" s="8"/>
    </row>
    <row r="40" spans="1:12" ht="11.25">
      <c r="A40" s="69"/>
      <c r="B40" s="69"/>
      <c r="C40" s="70"/>
      <c r="D40" s="69"/>
      <c r="E40" s="69"/>
      <c r="F40" s="69"/>
      <c r="G40" s="69"/>
      <c r="H40" s="69"/>
      <c r="I40" s="69"/>
      <c r="J40" s="69"/>
      <c r="K40" s="74"/>
      <c r="L40" s="8"/>
    </row>
    <row r="41" spans="1:12" ht="11.25">
      <c r="A41" s="69"/>
      <c r="B41" s="69"/>
      <c r="C41" s="70"/>
      <c r="D41" s="69"/>
      <c r="E41" s="69"/>
      <c r="F41" s="69"/>
      <c r="G41" s="69"/>
      <c r="H41" s="69"/>
      <c r="I41" s="69"/>
      <c r="J41" s="69"/>
      <c r="K41" s="74"/>
      <c r="L41" s="8"/>
    </row>
    <row r="42" spans="1:12" ht="11.25">
      <c r="A42" s="69"/>
      <c r="B42" s="75"/>
      <c r="C42" s="76"/>
      <c r="D42" s="76"/>
      <c r="E42" s="76"/>
      <c r="F42" s="69"/>
      <c r="G42" s="69"/>
      <c r="H42" s="69"/>
      <c r="I42" s="69"/>
      <c r="J42" s="69"/>
      <c r="K42" s="74"/>
      <c r="L42" s="60"/>
    </row>
    <row r="43" spans="1:12" ht="11.25">
      <c r="A43" s="69"/>
      <c r="B43" s="69"/>
      <c r="C43" s="69"/>
      <c r="D43" s="69"/>
      <c r="E43" s="69"/>
      <c r="F43" s="69"/>
      <c r="G43" s="69"/>
      <c r="H43" s="69"/>
      <c r="I43" s="69"/>
      <c r="J43" s="69"/>
      <c r="K43" s="74"/>
      <c r="L43" s="8"/>
    </row>
    <row r="44" spans="1:12" ht="11.25">
      <c r="A44" s="69"/>
      <c r="B44" s="69"/>
      <c r="C44" s="69"/>
      <c r="D44" s="69"/>
      <c r="E44" s="69"/>
      <c r="F44" s="69"/>
      <c r="G44" s="69"/>
      <c r="H44" s="69"/>
      <c r="I44" s="69"/>
      <c r="J44" s="69"/>
      <c r="K44" s="74"/>
      <c r="L44" s="8"/>
    </row>
    <row r="45" spans="1:12" ht="11.25">
      <c r="A45" s="69"/>
      <c r="B45" s="69"/>
      <c r="C45" s="74"/>
      <c r="D45" s="69"/>
      <c r="E45" s="69"/>
      <c r="F45" s="69"/>
      <c r="G45" s="69"/>
      <c r="H45" s="69"/>
      <c r="I45" s="69"/>
      <c r="J45" s="69"/>
      <c r="K45" s="74"/>
      <c r="L45" s="8"/>
    </row>
    <row r="46" spans="1:12" ht="11.25">
      <c r="A46" s="69"/>
      <c r="B46" s="69"/>
      <c r="C46" s="74"/>
      <c r="D46" s="69"/>
      <c r="E46" s="69"/>
      <c r="F46" s="69"/>
      <c r="G46" s="69"/>
      <c r="H46" s="69"/>
      <c r="I46" s="69"/>
      <c r="J46" s="69"/>
      <c r="K46" s="74"/>
      <c r="L46" s="8"/>
    </row>
    <row r="47" spans="1:12" ht="11.25">
      <c r="A47" s="69"/>
      <c r="B47" s="69"/>
      <c r="C47" s="74"/>
      <c r="D47" s="69"/>
      <c r="E47" s="69"/>
      <c r="F47" s="69"/>
      <c r="G47" s="69"/>
      <c r="H47" s="69"/>
      <c r="I47" s="69"/>
      <c r="J47" s="69"/>
      <c r="K47" s="74"/>
      <c r="L47" s="8"/>
    </row>
    <row r="48" spans="1:12" ht="11.25">
      <c r="A48" s="69"/>
      <c r="B48" s="69"/>
      <c r="C48" s="74"/>
      <c r="D48" s="69"/>
      <c r="E48" s="69"/>
      <c r="F48" s="69"/>
      <c r="G48" s="69"/>
      <c r="H48" s="69"/>
      <c r="I48" s="69"/>
      <c r="J48" s="69"/>
      <c r="K48" s="74"/>
      <c r="L48" s="8"/>
    </row>
    <row r="49" spans="1:25" ht="11.25">
      <c r="A49" s="69"/>
      <c r="B49" s="69"/>
      <c r="C49" s="74"/>
      <c r="D49" s="69"/>
      <c r="E49" s="69"/>
      <c r="F49" s="69"/>
      <c r="G49" s="69"/>
      <c r="H49" s="69"/>
      <c r="I49" s="69"/>
      <c r="J49" s="69"/>
      <c r="K49" s="74"/>
      <c r="L49" s="8"/>
    </row>
    <row r="50" spans="1:25" ht="11.25">
      <c r="A50" s="69"/>
      <c r="B50" s="69"/>
      <c r="C50" s="74"/>
      <c r="D50" s="69"/>
      <c r="E50" s="69"/>
      <c r="F50" s="69"/>
      <c r="G50" s="69"/>
      <c r="H50" s="69"/>
      <c r="I50" s="69"/>
      <c r="J50" s="69"/>
      <c r="K50" s="74"/>
      <c r="L50" s="8"/>
    </row>
    <row r="51" spans="1:25" ht="11.25">
      <c r="A51" s="69"/>
      <c r="B51" s="77"/>
      <c r="C51" s="74"/>
      <c r="D51" s="69"/>
      <c r="E51" s="69"/>
      <c r="F51" s="69"/>
      <c r="G51" s="69"/>
      <c r="H51" s="69"/>
      <c r="I51" s="69"/>
      <c r="J51" s="69"/>
      <c r="K51" s="74"/>
      <c r="L51" s="8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</row>
    <row r="52" spans="1:25" ht="11.25">
      <c r="A52" s="69"/>
      <c r="B52" s="77"/>
      <c r="C52" s="74"/>
      <c r="D52" s="69"/>
      <c r="E52" s="69"/>
      <c r="F52" s="69"/>
      <c r="G52" s="69"/>
      <c r="H52" s="69"/>
      <c r="I52" s="69"/>
      <c r="J52" s="69"/>
      <c r="K52" s="74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</row>
    <row r="53" spans="1:25" ht="11.25">
      <c r="A53" s="69"/>
      <c r="B53" s="77"/>
      <c r="C53" s="74"/>
      <c r="D53" s="69"/>
      <c r="E53" s="69"/>
      <c r="F53" s="69"/>
      <c r="G53" s="69"/>
      <c r="H53" s="69"/>
      <c r="I53" s="69"/>
      <c r="J53" s="69"/>
      <c r="K53" s="74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</row>
    <row r="54" spans="1:25" ht="11.25">
      <c r="A54" s="86"/>
      <c r="B54" s="87"/>
      <c r="C54" s="88"/>
      <c r="D54" s="86"/>
      <c r="E54" s="86"/>
      <c r="F54" s="86"/>
      <c r="G54" s="86"/>
      <c r="H54" s="86"/>
      <c r="I54" s="86"/>
      <c r="J54" s="86"/>
      <c r="K54" s="88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</row>
    <row r="55" spans="1:25" s="85" customFormat="1" ht="234.75" customHeight="1">
      <c r="A55" s="79" t="s">
        <v>587</v>
      </c>
      <c r="B55" s="80"/>
      <c r="C55" s="81"/>
      <c r="D55" s="82"/>
      <c r="E55" s="83"/>
      <c r="F55" s="84"/>
      <c r="G55" s="84"/>
      <c r="H55" s="84"/>
      <c r="I55" s="84"/>
      <c r="J55" s="84"/>
      <c r="K55" s="84"/>
    </row>
    <row r="56" spans="1:25" s="14" customFormat="1" ht="17.100000000000001" customHeight="1">
      <c r="B56" s="136" t="s">
        <v>588</v>
      </c>
      <c r="C56" s="137" t="s">
        <v>524</v>
      </c>
      <c r="D56" s="138" t="s">
        <v>525</v>
      </c>
      <c r="E56" s="139" t="s">
        <v>535</v>
      </c>
      <c r="F56" s="140" t="s">
        <v>526</v>
      </c>
      <c r="G56" s="140" t="s">
        <v>575</v>
      </c>
      <c r="H56" s="96"/>
      <c r="I56" s="96"/>
      <c r="J56" s="96"/>
      <c r="K56" s="96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</row>
    <row r="57" spans="1:25" s="14" customFormat="1" ht="17.100000000000001" customHeight="1">
      <c r="B57" s="140" t="s">
        <v>519</v>
      </c>
      <c r="C57" s="137" t="s">
        <v>520</v>
      </c>
      <c r="D57" s="138" t="s">
        <v>521</v>
      </c>
      <c r="E57" s="139" t="s">
        <v>522</v>
      </c>
      <c r="F57" s="140" t="s">
        <v>523</v>
      </c>
      <c r="G57" s="140" t="s">
        <v>527</v>
      </c>
      <c r="H57" s="96"/>
      <c r="I57" s="96"/>
      <c r="J57" s="96"/>
      <c r="K57" s="96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</row>
    <row r="58" spans="1:25" s="14" customFormat="1" ht="17.100000000000001" customHeight="1">
      <c r="B58" s="141" t="s">
        <v>576</v>
      </c>
      <c r="C58" s="142" t="s">
        <v>577</v>
      </c>
      <c r="D58" s="143" t="s">
        <v>578</v>
      </c>
      <c r="E58" s="144">
        <v>1</v>
      </c>
      <c r="F58" s="141" t="s">
        <v>579</v>
      </c>
      <c r="G58" s="141" t="s">
        <v>580</v>
      </c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5" s="14" customFormat="1" ht="17.100000000000001" customHeight="1">
      <c r="B59" s="141" t="s">
        <v>581</v>
      </c>
      <c r="C59" s="142" t="s">
        <v>577</v>
      </c>
      <c r="D59" s="143" t="s">
        <v>578</v>
      </c>
      <c r="E59" s="144">
        <v>1</v>
      </c>
      <c r="F59" s="141" t="s">
        <v>579</v>
      </c>
      <c r="G59" s="141" t="s">
        <v>580</v>
      </c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5" s="14" customFormat="1" ht="17.100000000000001" customHeight="1">
      <c r="B60" s="141" t="s">
        <v>582</v>
      </c>
      <c r="C60" s="142" t="s">
        <v>577</v>
      </c>
      <c r="D60" s="143" t="s">
        <v>578</v>
      </c>
      <c r="E60" s="144">
        <v>6</v>
      </c>
      <c r="F60" s="141" t="s">
        <v>579</v>
      </c>
      <c r="G60" s="141" t="s">
        <v>580</v>
      </c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5" s="14" customFormat="1" ht="17.100000000000001" customHeight="1">
      <c r="B61" s="141" t="s">
        <v>583</v>
      </c>
      <c r="C61" s="142" t="s">
        <v>577</v>
      </c>
      <c r="D61" s="143" t="s">
        <v>578</v>
      </c>
      <c r="E61" s="144">
        <v>3</v>
      </c>
      <c r="F61" s="141" t="s">
        <v>579</v>
      </c>
      <c r="G61" s="141" t="s">
        <v>580</v>
      </c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5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5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5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  <row r="1052" spans="2:23" s="14" customFormat="1" ht="17.100000000000001" customHeight="1">
      <c r="B1052" s="89"/>
      <c r="C1052" s="90"/>
      <c r="D1052" s="91"/>
      <c r="E1052" s="92"/>
      <c r="F1052" s="89"/>
      <c r="G1052" s="89"/>
      <c r="H1052" s="89"/>
      <c r="I1052" s="89"/>
      <c r="J1052" s="89"/>
      <c r="K1052" s="89"/>
      <c r="L1052" s="93"/>
      <c r="M1052" s="93"/>
      <c r="N1052" s="93"/>
      <c r="O1052" s="93"/>
      <c r="P1052" s="93"/>
      <c r="Q1052" s="93"/>
      <c r="R1052" s="93"/>
      <c r="S1052" s="93"/>
      <c r="T1052" s="93"/>
      <c r="U1052" s="93"/>
      <c r="V1052" s="93"/>
      <c r="W1052" s="93"/>
    </row>
    <row r="1053" spans="2:23" s="14" customFormat="1" ht="17.100000000000001" customHeight="1">
      <c r="B1053" s="89"/>
      <c r="C1053" s="90"/>
      <c r="D1053" s="91"/>
      <c r="E1053" s="92"/>
      <c r="F1053" s="89"/>
      <c r="G1053" s="89"/>
      <c r="H1053" s="89"/>
      <c r="I1053" s="89"/>
      <c r="J1053" s="89"/>
      <c r="K1053" s="89"/>
      <c r="L1053" s="93"/>
      <c r="M1053" s="93"/>
      <c r="N1053" s="93"/>
      <c r="O1053" s="93"/>
      <c r="P1053" s="93"/>
      <c r="Q1053" s="93"/>
      <c r="R1053" s="93"/>
      <c r="S1053" s="93"/>
      <c r="T1053" s="93"/>
      <c r="U1053" s="93"/>
      <c r="V1053" s="93"/>
      <c r="W1053" s="93"/>
    </row>
    <row r="1054" spans="2:23" s="14" customFormat="1" ht="17.100000000000001" customHeight="1">
      <c r="B1054" s="89"/>
      <c r="C1054" s="90"/>
      <c r="D1054" s="91"/>
      <c r="E1054" s="92"/>
      <c r="F1054" s="89"/>
      <c r="G1054" s="89"/>
      <c r="H1054" s="89"/>
      <c r="I1054" s="89"/>
      <c r="J1054" s="89"/>
      <c r="K1054" s="89"/>
      <c r="L1054" s="93"/>
      <c r="M1054" s="93"/>
      <c r="N1054" s="93"/>
      <c r="O1054" s="93"/>
      <c r="P1054" s="93"/>
      <c r="Q1054" s="93"/>
      <c r="R1054" s="93"/>
      <c r="S1054" s="93"/>
      <c r="T1054" s="93"/>
      <c r="U1054" s="93"/>
      <c r="V1054" s="93"/>
      <c r="W1054" s="93"/>
    </row>
    <row r="1055" spans="2:23" s="14" customFormat="1" ht="17.100000000000001" customHeight="1">
      <c r="B1055" s="89"/>
      <c r="C1055" s="90"/>
      <c r="D1055" s="91"/>
      <c r="E1055" s="92"/>
      <c r="F1055" s="89"/>
      <c r="G1055" s="89"/>
      <c r="H1055" s="89"/>
      <c r="I1055" s="89"/>
      <c r="J1055" s="89"/>
      <c r="K1055" s="89"/>
      <c r="L1055" s="93"/>
      <c r="M1055" s="93"/>
      <c r="N1055" s="93"/>
      <c r="O1055" s="93"/>
      <c r="P1055" s="93"/>
      <c r="Q1055" s="93"/>
      <c r="R1055" s="93"/>
      <c r="S1055" s="93"/>
      <c r="T1055" s="93"/>
      <c r="U1055" s="93"/>
      <c r="V1055" s="93"/>
      <c r="W1055" s="93"/>
    </row>
    <row r="1056" spans="2:23" s="14" customFormat="1" ht="17.100000000000001" customHeight="1">
      <c r="B1056" s="89"/>
      <c r="C1056" s="90"/>
      <c r="D1056" s="91"/>
      <c r="E1056" s="92"/>
      <c r="F1056" s="89"/>
      <c r="G1056" s="89"/>
      <c r="H1056" s="89"/>
      <c r="I1056" s="89"/>
      <c r="J1056" s="89"/>
      <c r="K1056" s="89"/>
      <c r="L1056" s="93"/>
      <c r="M1056" s="93"/>
      <c r="N1056" s="93"/>
      <c r="O1056" s="93"/>
      <c r="P1056" s="93"/>
      <c r="Q1056" s="93"/>
      <c r="R1056" s="93"/>
      <c r="S1056" s="93"/>
      <c r="T1056" s="93"/>
      <c r="U1056" s="93"/>
      <c r="V1056" s="93"/>
      <c r="W1056" s="93"/>
    </row>
    <row r="1057" spans="2:23" s="14" customFormat="1" ht="17.100000000000001" customHeight="1">
      <c r="B1057" s="89"/>
      <c r="C1057" s="90"/>
      <c r="D1057" s="91"/>
      <c r="E1057" s="92"/>
      <c r="F1057" s="89"/>
      <c r="G1057" s="89"/>
      <c r="H1057" s="89"/>
      <c r="I1057" s="89"/>
      <c r="J1057" s="89"/>
      <c r="K1057" s="89"/>
      <c r="L1057" s="93"/>
      <c r="M1057" s="93"/>
      <c r="N1057" s="93"/>
      <c r="O1057" s="93"/>
      <c r="P1057" s="93"/>
      <c r="Q1057" s="93"/>
      <c r="R1057" s="93"/>
      <c r="S1057" s="93"/>
      <c r="T1057" s="93"/>
      <c r="U1057" s="93"/>
      <c r="V1057" s="93"/>
      <c r="W1057" s="93"/>
    </row>
  </sheetData>
  <dataConsolidate/>
  <mergeCells count="3">
    <mergeCell ref="C5:E5"/>
    <mergeCell ref="C6:E6"/>
    <mergeCell ref="F5:K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/>
  <dimension ref="A1:Y1041"/>
  <sheetViews>
    <sheetView showGridLines="0" zoomScaleNormal="100" workbookViewId="0">
      <selection activeCell="C11" sqref="C11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9" t="s">
        <v>659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658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623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625</v>
      </c>
      <c r="C9" s="69" t="s">
        <v>627</v>
      </c>
      <c r="D9" s="69" t="s">
        <v>632</v>
      </c>
      <c r="E9" s="69">
        <v>20</v>
      </c>
      <c r="F9" s="69" t="s">
        <v>638</v>
      </c>
      <c r="G9" s="69"/>
      <c r="H9" s="69"/>
      <c r="I9" s="69"/>
      <c r="J9" s="69"/>
      <c r="K9" s="69" t="s">
        <v>642</v>
      </c>
    </row>
    <row r="10" spans="1:15" ht="11.25">
      <c r="A10" s="69"/>
      <c r="B10" s="68"/>
      <c r="C10" s="70"/>
      <c r="D10" s="71"/>
      <c r="E10" s="71"/>
      <c r="F10" s="69"/>
      <c r="G10" s="69"/>
      <c r="H10" s="69"/>
      <c r="I10" s="69"/>
      <c r="J10" s="69"/>
      <c r="K10" s="70"/>
      <c r="L10" s="8"/>
      <c r="M10" s="14"/>
      <c r="N10" s="15"/>
    </row>
    <row r="11" spans="1:15" ht="11.25">
      <c r="A11" s="69"/>
      <c r="B11" s="68"/>
      <c r="C11" s="70"/>
      <c r="D11" s="71"/>
      <c r="E11" s="71"/>
      <c r="F11" s="72"/>
      <c r="G11" s="69"/>
      <c r="H11" s="71"/>
      <c r="I11" s="71"/>
      <c r="J11" s="71"/>
      <c r="K11" s="70"/>
      <c r="L11" s="8"/>
      <c r="M11" s="14"/>
      <c r="N11" s="15"/>
    </row>
    <row r="12" spans="1:15" ht="11.25">
      <c r="A12" s="69"/>
      <c r="B12" s="68"/>
      <c r="C12" s="70"/>
      <c r="D12" s="71"/>
      <c r="E12" s="71"/>
      <c r="F12" s="72"/>
      <c r="G12" s="69"/>
      <c r="H12" s="71"/>
      <c r="I12" s="71"/>
      <c r="J12" s="71"/>
      <c r="K12" s="70"/>
      <c r="L12" s="8"/>
    </row>
    <row r="13" spans="1:15" ht="11.25">
      <c r="A13" s="69"/>
      <c r="B13" s="68"/>
      <c r="C13" s="70"/>
      <c r="D13" s="71"/>
      <c r="E13" s="71"/>
      <c r="F13" s="73"/>
      <c r="G13" s="69"/>
      <c r="H13" s="71"/>
      <c r="I13" s="71"/>
      <c r="J13" s="71"/>
      <c r="K13" s="70"/>
      <c r="L13" s="8"/>
      <c r="M13" s="14"/>
      <c r="N13" s="15"/>
    </row>
    <row r="14" spans="1:15" ht="11.25">
      <c r="A14" s="69"/>
      <c r="B14" s="68"/>
      <c r="C14" s="70"/>
      <c r="D14" s="69"/>
      <c r="E14" s="71"/>
      <c r="F14" s="73"/>
      <c r="G14" s="69"/>
      <c r="H14" s="71"/>
      <c r="I14" s="71"/>
      <c r="J14" s="71"/>
      <c r="K14" s="70"/>
      <c r="L14" s="8"/>
      <c r="M14" s="3"/>
      <c r="N14" s="1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69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2" ht="11.25">
      <c r="A26" s="69"/>
      <c r="B26" s="75"/>
      <c r="C26" s="76"/>
      <c r="D26" s="76"/>
      <c r="E26" s="76"/>
      <c r="F26" s="69"/>
      <c r="G26" s="69"/>
      <c r="H26" s="69"/>
      <c r="I26" s="69"/>
      <c r="J26" s="69"/>
      <c r="K26" s="74"/>
      <c r="L26" s="60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4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L35" s="8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69"/>
      <c r="B37" s="77"/>
      <c r="C37" s="74"/>
      <c r="D37" s="69"/>
      <c r="E37" s="69"/>
      <c r="F37" s="69"/>
      <c r="G37" s="69"/>
      <c r="H37" s="69"/>
      <c r="I37" s="69"/>
      <c r="J37" s="69"/>
      <c r="K37" s="74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11.25">
      <c r="A38" s="86"/>
      <c r="B38" s="87"/>
      <c r="C38" s="88"/>
      <c r="D38" s="86"/>
      <c r="E38" s="86"/>
      <c r="F38" s="86"/>
      <c r="G38" s="86"/>
      <c r="H38" s="86"/>
      <c r="I38" s="86"/>
      <c r="J38" s="86"/>
      <c r="K38" s="88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s="85" customFormat="1" ht="234.75" customHeight="1">
      <c r="A39" s="79" t="s">
        <v>587</v>
      </c>
      <c r="B39" s="80"/>
      <c r="C39" s="81"/>
      <c r="D39" s="82"/>
      <c r="E39" s="83"/>
      <c r="F39" s="84"/>
      <c r="G39" s="84"/>
      <c r="H39" s="84"/>
      <c r="I39" s="84"/>
      <c r="J39" s="84"/>
      <c r="K39" s="84"/>
    </row>
    <row r="40" spans="1:25" s="14" customFormat="1" ht="17.100000000000001" customHeight="1">
      <c r="B40" s="136" t="s">
        <v>666</v>
      </c>
      <c r="C40" s="156"/>
      <c r="D40" s="157"/>
      <c r="E40" s="158"/>
      <c r="F40" s="96"/>
      <c r="G40" s="96"/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40" t="s">
        <v>626</v>
      </c>
      <c r="C41" s="156"/>
      <c r="D41" s="157"/>
      <c r="E41" s="158"/>
      <c r="F41" s="96"/>
      <c r="G41" s="96"/>
      <c r="H41" s="96"/>
      <c r="I41" s="96"/>
      <c r="J41" s="96"/>
      <c r="K41" s="96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</row>
    <row r="42" spans="1:25" s="14" customFormat="1" ht="17.100000000000001" customHeight="1">
      <c r="B42" s="141" t="s">
        <v>671</v>
      </c>
      <c r="C42" s="90"/>
      <c r="D42" s="91"/>
      <c r="E42" s="92"/>
      <c r="F42" s="89"/>
      <c r="G42" s="89"/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1" t="s">
        <v>670</v>
      </c>
      <c r="C43" s="90"/>
      <c r="D43" s="91"/>
      <c r="E43" s="92"/>
      <c r="F43" s="89"/>
      <c r="G43" s="89"/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141" t="s">
        <v>669</v>
      </c>
      <c r="C44" s="90"/>
      <c r="D44" s="91"/>
      <c r="E44" s="92"/>
      <c r="F44" s="89"/>
      <c r="G44" s="89"/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141" t="s">
        <v>668</v>
      </c>
      <c r="C45" s="90"/>
      <c r="D45" s="91"/>
      <c r="E45" s="92"/>
      <c r="F45" s="89"/>
      <c r="G45" s="89"/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141" t="s">
        <v>630</v>
      </c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141" t="s">
        <v>667</v>
      </c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5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6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1:Y1041"/>
  <sheetViews>
    <sheetView showGridLines="0" tabSelected="1" zoomScaleNormal="100" workbookViewId="0">
      <selection activeCell="B14" sqref="B14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9" t="s">
        <v>659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661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623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691</v>
      </c>
      <c r="C9" s="69" t="s">
        <v>519</v>
      </c>
      <c r="D9" s="69" t="s">
        <v>531</v>
      </c>
      <c r="E9" s="69">
        <v>10</v>
      </c>
      <c r="F9" s="69" t="s">
        <v>585</v>
      </c>
      <c r="G9" s="69" t="s">
        <v>586</v>
      </c>
      <c r="H9" s="69"/>
      <c r="I9" s="69"/>
      <c r="J9" s="69"/>
      <c r="K9" s="69"/>
    </row>
    <row r="10" spans="1:15" ht="11.25">
      <c r="A10" s="69">
        <v>2</v>
      </c>
      <c r="B10" s="68" t="s">
        <v>692</v>
      </c>
      <c r="C10" s="69" t="s">
        <v>690</v>
      </c>
      <c r="D10" s="69" t="s">
        <v>531</v>
      </c>
      <c r="E10" s="69">
        <v>200</v>
      </c>
      <c r="F10" s="69"/>
      <c r="G10" s="69"/>
      <c r="H10" s="69"/>
      <c r="I10" s="69"/>
      <c r="J10" s="69"/>
      <c r="K10" s="69"/>
    </row>
    <row r="11" spans="1:15" ht="11.25">
      <c r="A11" s="69"/>
      <c r="B11" s="68"/>
      <c r="C11" s="70"/>
      <c r="D11" s="71"/>
      <c r="E11" s="71"/>
      <c r="F11" s="72"/>
      <c r="G11" s="69"/>
      <c r="H11" s="71"/>
      <c r="I11" s="71"/>
      <c r="J11" s="71"/>
      <c r="K11" s="70"/>
      <c r="L11" s="8"/>
      <c r="M11" s="14"/>
      <c r="N11" s="15"/>
    </row>
    <row r="12" spans="1:15" ht="11.25">
      <c r="A12" s="69"/>
      <c r="B12" s="68"/>
      <c r="C12" s="70"/>
      <c r="D12" s="71"/>
      <c r="E12" s="71"/>
      <c r="F12" s="72"/>
      <c r="G12" s="69"/>
      <c r="H12" s="71"/>
      <c r="I12" s="71"/>
      <c r="J12" s="71"/>
      <c r="K12" s="70"/>
      <c r="L12" s="8"/>
    </row>
    <row r="13" spans="1:15" ht="11.25">
      <c r="A13" s="69"/>
      <c r="B13" s="68"/>
      <c r="C13" s="70"/>
      <c r="D13" s="71"/>
      <c r="E13" s="71"/>
      <c r="F13" s="73"/>
      <c r="G13" s="69"/>
      <c r="H13" s="71"/>
      <c r="I13" s="71"/>
      <c r="J13" s="71"/>
      <c r="K13" s="70"/>
      <c r="L13" s="8"/>
      <c r="M13" s="14"/>
      <c r="N13" s="15"/>
    </row>
    <row r="14" spans="1:15" ht="11.25">
      <c r="A14" s="69"/>
      <c r="B14" s="68"/>
      <c r="C14" s="70"/>
      <c r="D14" s="69"/>
      <c r="E14" s="71"/>
      <c r="F14" s="73"/>
      <c r="G14" s="69"/>
      <c r="H14" s="71"/>
      <c r="I14" s="71"/>
      <c r="J14" s="71"/>
      <c r="K14" s="70"/>
      <c r="L14" s="8"/>
      <c r="M14" s="3"/>
      <c r="N14" s="1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69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2" ht="11.25">
      <c r="A26" s="69"/>
      <c r="B26" s="75"/>
      <c r="C26" s="76"/>
      <c r="D26" s="76"/>
      <c r="E26" s="76"/>
      <c r="F26" s="69"/>
      <c r="G26" s="69"/>
      <c r="H26" s="69"/>
      <c r="I26" s="69"/>
      <c r="J26" s="69"/>
      <c r="K26" s="74"/>
      <c r="L26" s="60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4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L35" s="8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69"/>
      <c r="B37" s="77"/>
      <c r="C37" s="74"/>
      <c r="D37" s="69"/>
      <c r="E37" s="69"/>
      <c r="F37" s="69"/>
      <c r="G37" s="69"/>
      <c r="H37" s="69"/>
      <c r="I37" s="69"/>
      <c r="J37" s="69"/>
      <c r="K37" s="74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11.25">
      <c r="A38" s="86"/>
      <c r="B38" s="87"/>
      <c r="C38" s="88"/>
      <c r="D38" s="86"/>
      <c r="E38" s="86"/>
      <c r="F38" s="86"/>
      <c r="G38" s="86"/>
      <c r="H38" s="86"/>
      <c r="I38" s="86"/>
      <c r="J38" s="86"/>
      <c r="K38" s="88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s="85" customFormat="1" ht="234.75" customHeight="1">
      <c r="A39" s="79" t="s">
        <v>587</v>
      </c>
      <c r="B39" s="80"/>
      <c r="C39" s="81"/>
      <c r="D39" s="82"/>
      <c r="E39" s="83"/>
      <c r="F39" s="84"/>
      <c r="G39" s="84"/>
      <c r="H39" s="84"/>
      <c r="I39" s="84"/>
      <c r="J39" s="84"/>
      <c r="K39" s="84"/>
    </row>
    <row r="40" spans="1:25" s="14" customFormat="1" ht="17.100000000000001" customHeight="1">
      <c r="B40" s="136" t="s">
        <v>588</v>
      </c>
      <c r="C40" s="137" t="s">
        <v>524</v>
      </c>
      <c r="D40" s="138" t="s">
        <v>525</v>
      </c>
      <c r="E40" s="139" t="s">
        <v>535</v>
      </c>
      <c r="F40" s="140" t="s">
        <v>526</v>
      </c>
      <c r="G40" s="140" t="s">
        <v>575</v>
      </c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40" t="s">
        <v>519</v>
      </c>
      <c r="C41" s="137" t="s">
        <v>520</v>
      </c>
      <c r="D41" s="138" t="s">
        <v>521</v>
      </c>
      <c r="E41" s="139" t="s">
        <v>522</v>
      </c>
      <c r="F41" s="140" t="s">
        <v>523</v>
      </c>
      <c r="G41" s="140" t="s">
        <v>527</v>
      </c>
      <c r="H41" s="96"/>
      <c r="I41" s="96"/>
      <c r="J41" s="96"/>
      <c r="K41" s="96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</row>
    <row r="42" spans="1:25" s="14" customFormat="1" ht="17.100000000000001" customHeight="1">
      <c r="B42" s="141" t="s">
        <v>576</v>
      </c>
      <c r="C42" s="142" t="s">
        <v>577</v>
      </c>
      <c r="D42" s="143" t="s">
        <v>578</v>
      </c>
      <c r="E42" s="144">
        <v>1</v>
      </c>
      <c r="F42" s="141" t="s">
        <v>579</v>
      </c>
      <c r="G42" s="141" t="s">
        <v>580</v>
      </c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1" t="s">
        <v>581</v>
      </c>
      <c r="C43" s="142" t="s">
        <v>577</v>
      </c>
      <c r="D43" s="143" t="s">
        <v>578</v>
      </c>
      <c r="E43" s="144">
        <v>1</v>
      </c>
      <c r="F43" s="141" t="s">
        <v>579</v>
      </c>
      <c r="G43" s="141" t="s">
        <v>580</v>
      </c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141" t="s">
        <v>582</v>
      </c>
      <c r="C44" s="142" t="s">
        <v>577</v>
      </c>
      <c r="D44" s="143" t="s">
        <v>578</v>
      </c>
      <c r="E44" s="144">
        <v>6</v>
      </c>
      <c r="F44" s="141" t="s">
        <v>579</v>
      </c>
      <c r="G44" s="141" t="s">
        <v>580</v>
      </c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141" t="s">
        <v>583</v>
      </c>
      <c r="C45" s="142" t="s">
        <v>577</v>
      </c>
      <c r="D45" s="143" t="s">
        <v>578</v>
      </c>
      <c r="E45" s="144">
        <v>3</v>
      </c>
      <c r="F45" s="141" t="s">
        <v>579</v>
      </c>
      <c r="G45" s="141" t="s">
        <v>580</v>
      </c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2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1:Y1040"/>
  <sheetViews>
    <sheetView showGridLines="0" zoomScaleNormal="100" workbookViewId="0">
      <selection activeCell="F11" sqref="F11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9" t="s">
        <v>683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660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623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640</v>
      </c>
      <c r="C9" s="69" t="s">
        <v>641</v>
      </c>
      <c r="D9" s="69" t="s">
        <v>531</v>
      </c>
      <c r="E9" s="69">
        <v>50</v>
      </c>
      <c r="F9" s="69" t="s">
        <v>586</v>
      </c>
      <c r="G9" s="69"/>
      <c r="H9" s="69"/>
      <c r="I9" s="69"/>
      <c r="J9" s="69"/>
      <c r="K9" s="69" t="s">
        <v>682</v>
      </c>
    </row>
    <row r="10" spans="1:15" ht="11.25">
      <c r="A10" s="69"/>
      <c r="B10" s="68"/>
      <c r="C10" s="70"/>
      <c r="D10" s="71"/>
      <c r="E10" s="71"/>
      <c r="F10" s="72"/>
      <c r="G10" s="69"/>
      <c r="H10" s="71"/>
      <c r="I10" s="71"/>
      <c r="J10" s="71"/>
      <c r="K10" s="70"/>
      <c r="L10" s="8"/>
      <c r="M10" s="14"/>
      <c r="N10" s="15"/>
    </row>
    <row r="11" spans="1:15" ht="11.25">
      <c r="A11" s="69"/>
      <c r="B11" s="68"/>
      <c r="C11" s="70"/>
      <c r="D11" s="71"/>
      <c r="E11" s="71"/>
      <c r="F11" s="72"/>
      <c r="G11" s="69"/>
      <c r="H11" s="71"/>
      <c r="I11" s="71"/>
      <c r="J11" s="71"/>
      <c r="K11" s="70"/>
      <c r="L11" s="8"/>
    </row>
    <row r="12" spans="1:15" ht="11.25">
      <c r="A12" s="69"/>
      <c r="B12" s="68"/>
      <c r="C12" s="70"/>
      <c r="D12" s="71"/>
      <c r="E12" s="71"/>
      <c r="F12" s="73"/>
      <c r="G12" s="69"/>
      <c r="H12" s="71"/>
      <c r="I12" s="71"/>
      <c r="J12" s="71"/>
      <c r="K12" s="70"/>
      <c r="L12" s="8"/>
      <c r="M12" s="14"/>
      <c r="N12" s="15"/>
    </row>
    <row r="13" spans="1:15" ht="11.25">
      <c r="A13" s="69"/>
      <c r="B13" s="68"/>
      <c r="C13" s="70"/>
      <c r="D13" s="69"/>
      <c r="E13" s="71"/>
      <c r="F13" s="73"/>
      <c r="G13" s="69"/>
      <c r="H13" s="71"/>
      <c r="I13" s="71"/>
      <c r="J13" s="71"/>
      <c r="K13" s="70"/>
      <c r="L13" s="8"/>
      <c r="M13" s="3"/>
      <c r="N13" s="1"/>
    </row>
    <row r="14" spans="1:15" ht="11.25">
      <c r="A14" s="69"/>
      <c r="B14" s="68"/>
      <c r="C14" s="70"/>
      <c r="D14" s="69"/>
      <c r="E14" s="69"/>
      <c r="F14" s="69"/>
      <c r="G14" s="69"/>
      <c r="H14" s="69"/>
      <c r="I14" s="69"/>
      <c r="J14" s="69"/>
      <c r="K14" s="74"/>
      <c r="L14" s="8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9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75"/>
      <c r="C25" s="76"/>
      <c r="D25" s="76"/>
      <c r="E25" s="76"/>
      <c r="F25" s="69"/>
      <c r="G25" s="69"/>
      <c r="H25" s="69"/>
      <c r="I25" s="69"/>
      <c r="J25" s="69"/>
      <c r="K25" s="74"/>
      <c r="L25" s="60"/>
    </row>
    <row r="26" spans="1:12" ht="11.25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74"/>
      <c r="L26" s="8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74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77"/>
      <c r="C34" s="74"/>
      <c r="D34" s="69"/>
      <c r="E34" s="69"/>
      <c r="F34" s="69"/>
      <c r="G34" s="69"/>
      <c r="H34" s="69"/>
      <c r="I34" s="69"/>
      <c r="J34" s="69"/>
      <c r="K34" s="74"/>
      <c r="L34" s="8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86"/>
      <c r="B37" s="87"/>
      <c r="C37" s="88"/>
      <c r="D37" s="86"/>
      <c r="E37" s="86"/>
      <c r="F37" s="86"/>
      <c r="G37" s="86"/>
      <c r="H37" s="86"/>
      <c r="I37" s="86"/>
      <c r="J37" s="86"/>
      <c r="K37" s="88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s="85" customFormat="1" ht="234.75" customHeight="1">
      <c r="A38" s="79" t="s">
        <v>587</v>
      </c>
      <c r="B38" s="80"/>
      <c r="C38" s="81"/>
      <c r="D38" s="82"/>
      <c r="E38" s="83"/>
      <c r="F38" s="84"/>
      <c r="G38" s="84"/>
      <c r="H38" s="84"/>
      <c r="I38" s="84"/>
      <c r="J38" s="84"/>
      <c r="K38" s="84"/>
    </row>
    <row r="39" spans="1:25" s="14" customFormat="1" ht="17.100000000000001" customHeight="1">
      <c r="B39" s="136" t="s">
        <v>675</v>
      </c>
      <c r="C39" s="156"/>
      <c r="D39" s="157"/>
      <c r="E39" s="158"/>
      <c r="F39" s="96"/>
      <c r="G39" s="96"/>
      <c r="H39" s="96"/>
      <c r="I39" s="96"/>
      <c r="J39" s="96"/>
      <c r="K39" s="96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</row>
    <row r="40" spans="1:25" s="14" customFormat="1" ht="17.100000000000001" customHeight="1">
      <c r="B40" s="140" t="s">
        <v>641</v>
      </c>
      <c r="C40" s="156"/>
      <c r="D40" s="157"/>
      <c r="E40" s="158"/>
      <c r="F40" s="96"/>
      <c r="G40" s="96"/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41" t="s">
        <v>673</v>
      </c>
      <c r="C41" s="90"/>
      <c r="D41" s="91"/>
      <c r="E41" s="92"/>
      <c r="F41" s="89"/>
      <c r="G41" s="89"/>
      <c r="H41" s="89"/>
      <c r="I41" s="89"/>
      <c r="J41" s="89"/>
      <c r="K41" s="89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</row>
    <row r="42" spans="1:25" s="14" customFormat="1" ht="17.100000000000001" customHeight="1">
      <c r="B42" s="141" t="s">
        <v>672</v>
      </c>
      <c r="C42" s="90"/>
      <c r="D42" s="91"/>
      <c r="E42" s="92"/>
      <c r="F42" s="89"/>
      <c r="G42" s="89"/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1" t="s">
        <v>674</v>
      </c>
      <c r="C43" s="90"/>
      <c r="D43" s="91"/>
      <c r="E43" s="92"/>
      <c r="F43" s="89"/>
      <c r="G43" s="89"/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89"/>
      <c r="C44" s="90"/>
      <c r="D44" s="91"/>
      <c r="E44" s="92"/>
      <c r="F44" s="89"/>
      <c r="G44" s="89"/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89"/>
      <c r="C45" s="90"/>
      <c r="D45" s="91"/>
      <c r="E45" s="92"/>
      <c r="F45" s="89"/>
      <c r="G45" s="89"/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95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J44" sqref="J44"/>
    </sheetView>
  </sheetViews>
  <sheetFormatPr defaultRowHeight="12"/>
  <sheetData/>
  <phoneticPr fontId="5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0"/>
  <sheetViews>
    <sheetView zoomScale="85" zoomScaleNormal="85" workbookViewId="0">
      <selection activeCell="A9" sqref="A9"/>
    </sheetView>
  </sheetViews>
  <sheetFormatPr defaultColWidth="9.140625" defaultRowHeight="14.25"/>
  <cols>
    <col min="1" max="1" width="22.5703125" style="151" customWidth="1"/>
    <col min="2" max="2" width="133.28515625" style="147" customWidth="1"/>
    <col min="3" max="16384" width="9.140625" style="147"/>
  </cols>
  <sheetData>
    <row r="1" spans="1:2">
      <c r="A1" s="146" t="s">
        <v>621</v>
      </c>
      <c r="B1" s="145" t="s">
        <v>681</v>
      </c>
    </row>
    <row r="2" spans="1:2">
      <c r="A2" s="146" t="s">
        <v>42</v>
      </c>
      <c r="B2" s="145" t="str">
        <f>GetConnDataByKey(B$1,A2)</f>
        <v>10.160.200.39</v>
      </c>
    </row>
    <row r="3" spans="1:2">
      <c r="A3" s="146" t="s">
        <v>43</v>
      </c>
      <c r="B3" s="145" t="str">
        <f>GetConnDataByKey(B$1,A3)</f>
        <v>auto_savedata</v>
      </c>
    </row>
    <row r="4" spans="1:2" s="149" customFormat="1">
      <c r="A4" s="148" t="s">
        <v>622</v>
      </c>
      <c r="B4" s="145" t="s">
        <v>44</v>
      </c>
    </row>
    <row r="5" spans="1:2" s="149" customFormat="1">
      <c r="A5" s="148" t="s">
        <v>42</v>
      </c>
      <c r="B5" s="145" t="str">
        <f>GetConnDataByKey(B$1,A5)</f>
        <v>10.160.200.39</v>
      </c>
    </row>
    <row r="6" spans="1:2" s="149" customFormat="1">
      <c r="A6" s="148" t="s">
        <v>43</v>
      </c>
      <c r="B6" s="145" t="str">
        <f>GetConnDataByKey(B$1,A6)</f>
        <v>auto_savedata</v>
      </c>
    </row>
    <row r="7" spans="1:2" s="149" customFormat="1">
      <c r="A7" s="154" t="s">
        <v>589</v>
      </c>
      <c r="B7" s="145" t="s">
        <v>688</v>
      </c>
    </row>
    <row r="8" spans="1:2" s="149" customFormat="1">
      <c r="A8" s="154" t="s">
        <v>684</v>
      </c>
      <c r="B8" s="145" t="s">
        <v>686</v>
      </c>
    </row>
    <row r="9" spans="1:2" s="149" customFormat="1">
      <c r="A9" s="154" t="s">
        <v>685</v>
      </c>
      <c r="B9" s="145" t="s">
        <v>687</v>
      </c>
    </row>
    <row r="10" spans="1:2" s="149" customFormat="1">
      <c r="A10" s="150"/>
      <c r="B10" s="78"/>
    </row>
    <row r="11" spans="1:2" s="149" customFormat="1">
      <c r="A11" s="150"/>
      <c r="B11" s="78"/>
    </row>
    <row r="12" spans="1:2" s="149" customFormat="1">
      <c r="A12" s="150"/>
      <c r="B12" s="78"/>
    </row>
    <row r="13" spans="1:2" s="149" customFormat="1">
      <c r="A13" s="150"/>
      <c r="B13" s="78"/>
    </row>
    <row r="14" spans="1:2" s="149" customFormat="1">
      <c r="A14" s="150"/>
      <c r="B14" s="78"/>
    </row>
    <row r="15" spans="1:2" s="149" customFormat="1">
      <c r="A15" s="150"/>
      <c r="B15" s="78"/>
    </row>
    <row r="16" spans="1:2" s="149" customFormat="1">
      <c r="A16" s="150"/>
      <c r="B16" s="78"/>
    </row>
    <row r="17" spans="1:2" s="149" customFormat="1">
      <c r="A17" s="150"/>
      <c r="B17" s="78"/>
    </row>
    <row r="18" spans="1:2" s="149" customFormat="1">
      <c r="A18" s="150"/>
      <c r="B18" s="78"/>
    </row>
    <row r="19" spans="1:2" s="149" customFormat="1">
      <c r="A19" s="150"/>
      <c r="B19" s="78"/>
    </row>
    <row r="20" spans="1:2" s="149" customFormat="1">
      <c r="A20" s="150"/>
      <c r="B20" s="78"/>
    </row>
    <row r="21" spans="1:2" s="149" customFormat="1">
      <c r="A21" s="150"/>
      <c r="B21" s="78"/>
    </row>
    <row r="22" spans="1:2" s="149" customFormat="1">
      <c r="A22" s="150" t="s">
        <v>549</v>
      </c>
      <c r="B22" s="78"/>
    </row>
    <row r="23" spans="1:2">
      <c r="A23" s="153" t="s">
        <v>550</v>
      </c>
      <c r="B23" s="145" t="s">
        <v>530</v>
      </c>
    </row>
    <row r="24" spans="1:2">
      <c r="A24" s="153" t="s">
        <v>565</v>
      </c>
      <c r="B24" s="145" t="s">
        <v>596</v>
      </c>
    </row>
    <row r="25" spans="1:2">
      <c r="A25" s="153" t="s">
        <v>552</v>
      </c>
      <c r="B25" s="145" t="s">
        <v>551</v>
      </c>
    </row>
    <row r="26" spans="1:2">
      <c r="A26" s="153" t="s">
        <v>564</v>
      </c>
      <c r="B26" s="145" t="s">
        <v>44</v>
      </c>
    </row>
    <row r="27" spans="1:2">
      <c r="A27" s="153" t="s">
        <v>563</v>
      </c>
      <c r="B27" s="145" t="s">
        <v>553</v>
      </c>
    </row>
    <row r="28" spans="1:2">
      <c r="B28" s="155" t="s">
        <v>597</v>
      </c>
    </row>
    <row r="29" spans="1:2">
      <c r="B29" s="152"/>
    </row>
    <row r="30" spans="1:2">
      <c r="B30" s="152"/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1:Y46"/>
  <sheetViews>
    <sheetView showGridLines="0" zoomScaleNormal="100" workbookViewId="0">
      <selection activeCell="E29" sqref="E29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121" t="s">
        <v>539</v>
      </c>
      <c r="B1" s="122"/>
      <c r="C1" s="123"/>
      <c r="D1" s="100"/>
      <c r="E1" s="124"/>
      <c r="F1" s="125" t="s">
        <v>543</v>
      </c>
      <c r="G1" s="103"/>
      <c r="H1" s="103"/>
      <c r="I1" s="126" t="s">
        <v>540</v>
      </c>
      <c r="J1" s="105"/>
      <c r="K1" s="127" t="s">
        <v>590</v>
      </c>
    </row>
    <row r="2" spans="1:25" s="29" customFormat="1" ht="17.100000000000001" customHeight="1" thickBot="1">
      <c r="A2" s="128" t="s">
        <v>591</v>
      </c>
      <c r="B2" s="129"/>
      <c r="C2" s="130" t="s">
        <v>541</v>
      </c>
      <c r="D2" s="131"/>
      <c r="E2" s="132"/>
      <c r="F2" s="61"/>
      <c r="G2" s="61"/>
      <c r="H2" s="61"/>
      <c r="I2" s="61"/>
      <c r="J2" s="133"/>
      <c r="K2" s="62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45"/>
      <c r="M3" s="46"/>
      <c r="N3" s="47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8"/>
      <c r="M4" s="49" t="s">
        <v>21</v>
      </c>
      <c r="N4" s="50"/>
    </row>
    <row r="5" spans="1:25" s="8" customFormat="1" ht="13.5">
      <c r="A5" s="19" t="s">
        <v>41</v>
      </c>
      <c r="B5" s="9"/>
      <c r="C5" s="168"/>
      <c r="D5" s="169"/>
      <c r="E5" s="170"/>
      <c r="F5" s="171"/>
      <c r="G5" s="172"/>
      <c r="H5" s="172"/>
      <c r="I5" s="172"/>
      <c r="J5" s="172"/>
      <c r="K5" s="173"/>
      <c r="L5" s="51" t="s">
        <v>22</v>
      </c>
      <c r="M5" s="49" t="s">
        <v>23</v>
      </c>
      <c r="N5" s="52"/>
    </row>
    <row r="6" spans="1:25" s="8" customFormat="1" ht="13.5">
      <c r="A6" s="19" t="s">
        <v>19</v>
      </c>
      <c r="B6" s="9"/>
      <c r="C6" s="177"/>
      <c r="D6" s="178"/>
      <c r="E6" s="179"/>
      <c r="F6" s="174"/>
      <c r="G6" s="175"/>
      <c r="H6" s="175"/>
      <c r="I6" s="175"/>
      <c r="J6" s="175"/>
      <c r="K6" s="176"/>
      <c r="L6" s="49" t="s">
        <v>24</v>
      </c>
      <c r="M6" s="53" t="s">
        <v>25</v>
      </c>
      <c r="N6" s="54">
        <f>N4*N5</f>
        <v>0</v>
      </c>
    </row>
    <row r="7" spans="1:25" s="8" customFormat="1" ht="13.5">
      <c r="A7" s="10"/>
      <c r="B7" s="20" t="s">
        <v>2</v>
      </c>
      <c r="C7" s="42" t="s">
        <v>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  <c r="L7" s="51" t="s">
        <v>26</v>
      </c>
      <c r="M7" s="53" t="s">
        <v>23</v>
      </c>
      <c r="N7" s="54"/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  <c r="L8" s="49" t="s">
        <v>24</v>
      </c>
      <c r="M8" s="53" t="s">
        <v>25</v>
      </c>
      <c r="N8" s="54">
        <f>N4*N7</f>
        <v>0</v>
      </c>
    </row>
    <row r="9" spans="1:25" ht="11.25">
      <c r="A9" s="69"/>
      <c r="B9" s="68"/>
      <c r="C9" s="69"/>
      <c r="D9" s="69"/>
      <c r="E9" s="69"/>
      <c r="F9" s="69"/>
      <c r="G9" s="69"/>
      <c r="H9" s="69"/>
      <c r="I9" s="69"/>
      <c r="J9" s="69"/>
      <c r="K9" s="69"/>
    </row>
    <row r="10" spans="1:25" ht="11.25">
      <c r="A10" s="69"/>
      <c r="B10" s="68"/>
      <c r="C10" s="69"/>
      <c r="D10" s="69"/>
      <c r="E10" s="69"/>
      <c r="F10" s="69"/>
      <c r="G10" s="69"/>
      <c r="H10" s="69"/>
      <c r="I10" s="69"/>
      <c r="J10" s="69"/>
      <c r="K10" s="69"/>
    </row>
    <row r="11" spans="1:25" ht="11.25">
      <c r="A11" s="69"/>
      <c r="B11" s="68"/>
      <c r="C11" s="69"/>
      <c r="D11" s="69"/>
      <c r="E11" s="69"/>
      <c r="F11" s="69"/>
      <c r="G11" s="69"/>
      <c r="H11" s="69"/>
      <c r="I11" s="69"/>
      <c r="J11" s="69"/>
      <c r="K11" s="69"/>
    </row>
    <row r="12" spans="1:2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9"/>
    </row>
    <row r="13" spans="1:2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  <c r="L13" s="8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ht="11.25">
      <c r="A14" s="69"/>
      <c r="B14" s="68"/>
      <c r="C14" s="69"/>
      <c r="D14" s="69"/>
      <c r="E14" s="69"/>
      <c r="F14" s="71"/>
      <c r="G14" s="71"/>
      <c r="H14" s="71"/>
      <c r="I14" s="71"/>
      <c r="J14" s="71"/>
      <c r="K14" s="70"/>
      <c r="L14" s="8"/>
      <c r="M14" s="14"/>
      <c r="N14" s="15"/>
    </row>
    <row r="15" spans="1:25" ht="11.25">
      <c r="A15" s="69"/>
      <c r="B15" s="68"/>
      <c r="C15" s="70"/>
      <c r="D15" s="71"/>
      <c r="E15" s="71"/>
      <c r="F15" s="71"/>
      <c r="G15" s="71"/>
      <c r="H15" s="71"/>
      <c r="I15" s="71"/>
      <c r="J15" s="71"/>
      <c r="K15" s="70"/>
      <c r="L15" s="8"/>
    </row>
    <row r="16" spans="1:25" ht="11.25">
      <c r="A16" s="69"/>
      <c r="B16" s="68"/>
      <c r="C16" s="70"/>
      <c r="D16" s="71"/>
      <c r="E16" s="71"/>
      <c r="F16" s="71"/>
      <c r="G16" s="71"/>
      <c r="H16" s="71"/>
      <c r="I16" s="71"/>
      <c r="J16" s="71"/>
      <c r="K16" s="70"/>
      <c r="L16" s="8"/>
      <c r="M16" s="14"/>
      <c r="N16" s="15"/>
    </row>
    <row r="17" spans="1:14" ht="11.25">
      <c r="A17" s="69"/>
      <c r="B17" s="68"/>
      <c r="C17" s="70"/>
      <c r="D17" s="71"/>
      <c r="E17" s="71"/>
      <c r="F17" s="69"/>
      <c r="G17" s="69"/>
      <c r="H17" s="69"/>
      <c r="I17" s="69"/>
      <c r="J17" s="69"/>
      <c r="K17" s="70"/>
      <c r="L17" s="8"/>
      <c r="M17" s="14"/>
      <c r="N17" s="15"/>
    </row>
    <row r="18" spans="1:14" ht="11.25">
      <c r="A18" s="69"/>
      <c r="B18" s="68"/>
      <c r="C18" s="70"/>
      <c r="D18" s="71"/>
      <c r="E18" s="71"/>
      <c r="F18" s="72"/>
      <c r="G18" s="69"/>
      <c r="H18" s="71"/>
      <c r="I18" s="71"/>
      <c r="J18" s="71"/>
      <c r="K18" s="70"/>
      <c r="L18" s="8"/>
      <c r="M18" s="14"/>
      <c r="N18" s="15"/>
    </row>
    <row r="19" spans="1:14" ht="11.25">
      <c r="A19" s="69"/>
      <c r="B19" s="68"/>
      <c r="C19" s="70"/>
      <c r="D19" s="71"/>
      <c r="E19" s="71"/>
      <c r="F19" s="72"/>
      <c r="G19" s="69"/>
      <c r="H19" s="71"/>
      <c r="I19" s="71"/>
      <c r="J19" s="71"/>
      <c r="K19" s="70"/>
      <c r="L19" s="8"/>
    </row>
    <row r="20" spans="1:14" ht="11.25">
      <c r="A20" s="69"/>
      <c r="B20" s="68"/>
      <c r="C20" s="70"/>
      <c r="D20" s="71"/>
      <c r="E20" s="71"/>
      <c r="F20" s="73"/>
      <c r="G20" s="69"/>
      <c r="H20" s="71"/>
      <c r="I20" s="71"/>
      <c r="J20" s="71"/>
      <c r="K20" s="70"/>
      <c r="L20" s="8"/>
      <c r="M20" s="14"/>
      <c r="N20" s="15"/>
    </row>
    <row r="21" spans="1:14" ht="11.25">
      <c r="A21" s="69"/>
      <c r="B21" s="68"/>
      <c r="C21" s="70"/>
      <c r="D21" s="69"/>
      <c r="E21" s="71"/>
      <c r="F21" s="73"/>
      <c r="G21" s="69"/>
      <c r="H21" s="71"/>
      <c r="I21" s="71"/>
      <c r="J21" s="71"/>
      <c r="K21" s="70"/>
      <c r="L21" s="8"/>
      <c r="M21" s="3"/>
      <c r="N21" s="1"/>
    </row>
    <row r="22" spans="1:14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4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4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4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4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14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14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14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14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14" ht="11.25">
      <c r="A31" s="69"/>
      <c r="B31" s="69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14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75"/>
      <c r="C33" s="76"/>
      <c r="D33" s="76"/>
      <c r="E33" s="76"/>
      <c r="F33" s="69"/>
      <c r="G33" s="69"/>
      <c r="H33" s="69"/>
      <c r="I33" s="69"/>
      <c r="J33" s="69"/>
      <c r="K33" s="74"/>
      <c r="L33" s="60"/>
    </row>
    <row r="34" spans="1:25" ht="11.25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74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77"/>
      <c r="C42" s="74"/>
      <c r="D42" s="69"/>
      <c r="E42" s="69"/>
      <c r="F42" s="69"/>
      <c r="G42" s="69"/>
      <c r="H42" s="69"/>
      <c r="I42" s="69"/>
      <c r="J42" s="69"/>
      <c r="K42" s="74"/>
      <c r="L42" s="8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86"/>
      <c r="B45" s="87"/>
      <c r="C45" s="88"/>
      <c r="D45" s="86"/>
      <c r="E45" s="86"/>
      <c r="F45" s="86"/>
      <c r="G45" s="86"/>
      <c r="H45" s="86"/>
      <c r="I45" s="86"/>
      <c r="J45" s="86"/>
      <c r="K45" s="8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s="85" customFormat="1" ht="234.75" customHeight="1">
      <c r="A46" s="79" t="s">
        <v>528</v>
      </c>
      <c r="B46" s="80" t="s">
        <v>529</v>
      </c>
      <c r="C46" s="81"/>
      <c r="D46" s="82"/>
      <c r="E46" s="83"/>
      <c r="F46" s="84"/>
      <c r="G46" s="84"/>
      <c r="H46" s="84"/>
      <c r="I46" s="84"/>
      <c r="J46" s="84"/>
      <c r="K46" s="84"/>
    </row>
  </sheetData>
  <dataConsolidate/>
  <mergeCells count="3">
    <mergeCell ref="C5:E5"/>
    <mergeCell ref="F5:K6"/>
    <mergeCell ref="C6:E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0:B35"/>
  <sheetViews>
    <sheetView workbookViewId="0">
      <selection activeCell="H16" sqref="H16"/>
    </sheetView>
  </sheetViews>
  <sheetFormatPr defaultRowHeight="12"/>
  <sheetData>
    <row r="10" spans="2:2">
      <c r="B10" t="s">
        <v>598</v>
      </c>
    </row>
    <row r="11" spans="2:2">
      <c r="B11" t="s">
        <v>599</v>
      </c>
    </row>
    <row r="12" spans="2:2">
      <c r="B12" t="s">
        <v>547</v>
      </c>
    </row>
    <row r="13" spans="2:2">
      <c r="B13" t="s">
        <v>600</v>
      </c>
    </row>
    <row r="14" spans="2:2">
      <c r="B14" t="s">
        <v>601</v>
      </c>
    </row>
    <row r="15" spans="2:2">
      <c r="B15" t="s">
        <v>602</v>
      </c>
    </row>
    <row r="16" spans="2:2">
      <c r="B16" t="s">
        <v>603</v>
      </c>
    </row>
    <row r="17" spans="2:2">
      <c r="B17" t="s">
        <v>604</v>
      </c>
    </row>
    <row r="18" spans="2:2">
      <c r="B18" t="s">
        <v>605</v>
      </c>
    </row>
    <row r="19" spans="2:2">
      <c r="B19" t="s">
        <v>548</v>
      </c>
    </row>
    <row r="20" spans="2:2">
      <c r="B20" t="s">
        <v>606</v>
      </c>
    </row>
    <row r="21" spans="2:2">
      <c r="B21" t="s">
        <v>584</v>
      </c>
    </row>
    <row r="22" spans="2:2">
      <c r="B22" t="s">
        <v>607</v>
      </c>
    </row>
    <row r="23" spans="2:2">
      <c r="B23" t="s">
        <v>608</v>
      </c>
    </row>
    <row r="24" spans="2:2">
      <c r="B24" t="s">
        <v>609</v>
      </c>
    </row>
    <row r="25" spans="2:2">
      <c r="B25" t="s">
        <v>610</v>
      </c>
    </row>
    <row r="26" spans="2:2">
      <c r="B26" t="s">
        <v>611</v>
      </c>
    </row>
    <row r="27" spans="2:2">
      <c r="B27" t="s">
        <v>612</v>
      </c>
    </row>
    <row r="28" spans="2:2">
      <c r="B28" t="s">
        <v>613</v>
      </c>
    </row>
    <row r="29" spans="2:2">
      <c r="B29" t="s">
        <v>614</v>
      </c>
    </row>
    <row r="30" spans="2:2">
      <c r="B30" t="s">
        <v>615</v>
      </c>
    </row>
    <row r="31" spans="2:2">
      <c r="B31" t="s">
        <v>616</v>
      </c>
    </row>
    <row r="32" spans="2:2">
      <c r="B32" t="s">
        <v>617</v>
      </c>
    </row>
    <row r="33" spans="2:2">
      <c r="B33" t="s">
        <v>618</v>
      </c>
    </row>
    <row r="34" spans="2:2">
      <c r="B34" t="s">
        <v>619</v>
      </c>
    </row>
    <row r="35" spans="2:2">
      <c r="B35" t="s">
        <v>620</v>
      </c>
    </row>
  </sheetData>
  <phoneticPr fontId="5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1:K442"/>
  <sheetViews>
    <sheetView zoomScale="85" zoomScaleNormal="85" workbookViewId="0">
      <selection activeCell="G7" sqref="G7"/>
    </sheetView>
  </sheetViews>
  <sheetFormatPr defaultRowHeight="12"/>
  <cols>
    <col min="1" max="2" width="4" customWidth="1"/>
    <col min="3" max="3" width="17.5703125" bestFit="1" customWidth="1"/>
    <col min="4" max="4" width="23.28515625" customWidth="1"/>
    <col min="5" max="6" width="2.5703125" customWidth="1"/>
    <col min="7" max="7" width="60.7109375" bestFit="1" customWidth="1"/>
    <col min="8" max="8" width="71.5703125" bestFit="1" customWidth="1"/>
  </cols>
  <sheetData>
    <row r="1" spans="3:11">
      <c r="C1" t="s">
        <v>538</v>
      </c>
    </row>
    <row r="2" spans="3:11">
      <c r="C2" t="s">
        <v>546</v>
      </c>
    </row>
    <row r="10" spans="3:11">
      <c r="C10" s="115" t="s">
        <v>536</v>
      </c>
      <c r="D10" s="115" t="s">
        <v>537</v>
      </c>
      <c r="G10" s="116" t="s">
        <v>544</v>
      </c>
      <c r="H10" s="116" t="s">
        <v>545</v>
      </c>
    </row>
    <row r="11" spans="3:11" ht="13.5">
      <c r="C11" s="135" t="s">
        <v>572</v>
      </c>
      <c r="D11" s="117" t="str">
        <f>C11 &amp; "_lis6_back3"</f>
        <v>t_test_item_info_lis6_back3</v>
      </c>
      <c r="E11" s="94"/>
      <c r="F11" s="94"/>
      <c r="G11" s="94" t="str">
        <f>"SELECT * INTO " &amp; D11 &amp; " FROM " &amp;C11</f>
        <v>SELECT * INTO t_test_item_info_lis6_back3 FROM t_test_item_info</v>
      </c>
      <c r="H11" s="94" t="str">
        <f t="shared" ref="H11:H30" si="0">"INSERT INTO " &amp; C11 &amp; " SELECT * FROM " &amp;D11</f>
        <v>INSERT INTO t_test_item_info SELECT * FROM t_test_item_info_lis6_back3</v>
      </c>
      <c r="J11" t="str">
        <f>"select count(*) from " &amp;C11</f>
        <v>select count(*) from t_test_item_info</v>
      </c>
      <c r="K11" t="str">
        <f>"select count(*) from " &amp;D11</f>
        <v>select count(*) from t_test_item_info_lis6_back3</v>
      </c>
    </row>
    <row r="12" spans="3:11" ht="13.5">
      <c r="C12" s="135" t="s">
        <v>570</v>
      </c>
      <c r="D12" s="117" t="str">
        <f t="shared" ref="D12:D19" si="1">C12 &amp; "_lis6_back3"</f>
        <v>t_test_subject_info_lis6_back3</v>
      </c>
      <c r="E12" s="94"/>
      <c r="F12" s="94"/>
      <c r="G12" s="94" t="str">
        <f>"SELECT * INTO " &amp; D12 &amp; " FROM " &amp;C12</f>
        <v>SELECT * INTO t_test_subject_info_lis6_back3 FROM t_test_subject_info</v>
      </c>
      <c r="H12" s="94" t="str">
        <f t="shared" si="0"/>
        <v>INSERT INTO t_test_subject_info SELECT * FROM t_test_subject_info_lis6_back3</v>
      </c>
      <c r="J12" t="str">
        <f t="shared" ref="J12:J22" si="2">"select count(*) from " &amp;C12</f>
        <v>select count(*) from t_test_subject_info</v>
      </c>
      <c r="K12" t="str">
        <f t="shared" ref="K12:K23" si="3">"select count(*) from " &amp;D12</f>
        <v>select count(*) from t_test_subject_info_lis6_back3</v>
      </c>
    </row>
    <row r="13" spans="3:11" ht="13.5">
      <c r="C13" s="135" t="s">
        <v>574</v>
      </c>
      <c r="D13" s="117" t="str">
        <f t="shared" si="1"/>
        <v>t_test_question_lis6_back3</v>
      </c>
      <c r="E13" s="94"/>
      <c r="F13" s="94"/>
      <c r="G13" s="94" t="str">
        <f t="shared" ref="G13:G45" si="4">"SELECT * INTO " &amp; D13 &amp; " FROM " &amp;C13</f>
        <v>SELECT * INTO t_test_question_lis6_back3 FROM t_test_question</v>
      </c>
      <c r="H13" s="94" t="str">
        <f t="shared" si="0"/>
        <v>INSERT INTO t_test_question SELECT * FROM t_test_question_lis6_back3</v>
      </c>
      <c r="J13" t="str">
        <f t="shared" si="2"/>
        <v>select count(*) from t_test_question</v>
      </c>
      <c r="K13" t="str">
        <f t="shared" si="3"/>
        <v>select count(*) from t_test_question_lis6_back3</v>
      </c>
    </row>
    <row r="14" spans="3:11" ht="13.5">
      <c r="C14" s="135" t="s">
        <v>573</v>
      </c>
      <c r="D14" s="117" t="str">
        <f t="shared" si="1"/>
        <v>t_test_learn_lis6_back3</v>
      </c>
      <c r="E14" s="94"/>
      <c r="F14" s="94"/>
      <c r="G14" s="94" t="str">
        <f t="shared" si="4"/>
        <v>SELECT * INTO t_test_learn_lis6_back3 FROM t_test_learn</v>
      </c>
      <c r="H14" s="94" t="str">
        <f t="shared" si="0"/>
        <v>INSERT INTO t_test_learn SELECT * FROM t_test_learn_lis6_back3</v>
      </c>
      <c r="J14" t="str">
        <f t="shared" si="2"/>
        <v>select count(*) from t_test_learn</v>
      </c>
      <c r="K14" t="str">
        <f t="shared" si="3"/>
        <v>select count(*) from t_test_learn_lis6_back3</v>
      </c>
    </row>
    <row r="15" spans="3:11" ht="13.5">
      <c r="C15" s="135" t="s">
        <v>566</v>
      </c>
      <c r="D15" s="117" t="str">
        <f t="shared" si="1"/>
        <v>t_test_item_confirm_lis6_back3</v>
      </c>
      <c r="E15" s="94"/>
      <c r="F15" s="94"/>
      <c r="G15" s="94" t="str">
        <f t="shared" si="4"/>
        <v>SELECT * INTO t_test_item_confirm_lis6_back3 FROM t_test_item_confirm</v>
      </c>
      <c r="H15" s="94" t="str">
        <f t="shared" si="0"/>
        <v>INSERT INTO t_test_item_confirm SELECT * FROM t_test_item_confirm_lis6_back3</v>
      </c>
      <c r="J15" t="str">
        <f t="shared" si="2"/>
        <v>select count(*) from t_test_item_confirm</v>
      </c>
      <c r="K15" t="str">
        <f t="shared" si="3"/>
        <v>select count(*) from t_test_item_confirm_lis6_back3</v>
      </c>
    </row>
    <row r="16" spans="3:11" ht="13.5">
      <c r="C16" s="135" t="s">
        <v>567</v>
      </c>
      <c r="D16" s="117" t="str">
        <f t="shared" si="1"/>
        <v>t_test_item_answer_lis6_back3</v>
      </c>
      <c r="E16" s="94"/>
      <c r="F16" s="94"/>
      <c r="G16" s="94" t="str">
        <f t="shared" si="4"/>
        <v>SELECT * INTO t_test_item_answer_lis6_back3 FROM t_test_item_answer</v>
      </c>
      <c r="H16" s="94" t="str">
        <f t="shared" si="0"/>
        <v>INSERT INTO t_test_item_answer SELECT * FROM t_test_item_answer_lis6_back3</v>
      </c>
      <c r="J16" t="str">
        <f t="shared" si="2"/>
        <v>select count(*) from t_test_item_answer</v>
      </c>
      <c r="K16" t="str">
        <f t="shared" si="3"/>
        <v>select count(*) from t_test_item_answer_lis6_back3</v>
      </c>
    </row>
    <row r="17" spans="3:11" ht="13.5">
      <c r="C17" s="135" t="s">
        <v>571</v>
      </c>
      <c r="D17" s="117" t="str">
        <f t="shared" si="1"/>
        <v>m_syain_lis6_back3</v>
      </c>
      <c r="E17" s="94"/>
      <c r="F17" s="94"/>
      <c r="G17" s="94" t="str">
        <f t="shared" si="4"/>
        <v>SELECT * INTO m_syain_lis6_back3 FROM m_syain</v>
      </c>
      <c r="H17" s="94" t="str">
        <f t="shared" si="0"/>
        <v>INSERT INTO m_syain SELECT * FROM m_syain_lis6_back3</v>
      </c>
      <c r="J17" t="str">
        <f t="shared" si="2"/>
        <v>select count(*) from m_syain</v>
      </c>
      <c r="K17" t="str">
        <f t="shared" si="3"/>
        <v>select count(*) from m_syain_lis6_back3</v>
      </c>
    </row>
    <row r="18" spans="3:11" ht="13.5">
      <c r="C18" s="135" t="s">
        <v>568</v>
      </c>
      <c r="D18" s="117" t="str">
        <f t="shared" si="1"/>
        <v>t_test_item_judge_lis6_back3</v>
      </c>
      <c r="E18" s="94"/>
      <c r="F18" s="94"/>
      <c r="G18" s="94" t="str">
        <f t="shared" si="4"/>
        <v>SELECT * INTO t_test_item_judge_lis6_back3 FROM t_test_item_judge</v>
      </c>
      <c r="H18" s="94" t="str">
        <f t="shared" si="0"/>
        <v>INSERT INTO t_test_item_judge SELECT * FROM t_test_item_judge_lis6_back3</v>
      </c>
      <c r="J18" t="str">
        <f t="shared" si="2"/>
        <v>select count(*) from t_test_item_judge</v>
      </c>
      <c r="K18" t="str">
        <f t="shared" si="3"/>
        <v>select count(*) from t_test_item_judge_lis6_back3</v>
      </c>
    </row>
    <row r="19" spans="3:11" ht="13.5">
      <c r="C19" s="135" t="s">
        <v>569</v>
      </c>
      <c r="D19" s="117" t="str">
        <f t="shared" si="1"/>
        <v>t_test_item_learn_cor_lis6_back3</v>
      </c>
      <c r="E19" s="94"/>
      <c r="F19" s="94"/>
      <c r="G19" s="94" t="str">
        <f t="shared" si="4"/>
        <v>SELECT * INTO t_test_item_learn_cor_lis6_back3 FROM t_test_item_learn_cor</v>
      </c>
      <c r="H19" s="94" t="str">
        <f t="shared" si="0"/>
        <v>INSERT INTO t_test_item_learn_cor SELECT * FROM t_test_item_learn_cor_lis6_back3</v>
      </c>
      <c r="J19" t="str">
        <f t="shared" si="2"/>
        <v>select count(*) from t_test_item_learn_cor</v>
      </c>
      <c r="K19" t="str">
        <f>"select count(*) from " &amp;D19</f>
        <v>select count(*) from t_test_item_learn_cor_lis6_back3</v>
      </c>
    </row>
    <row r="20" spans="3:11">
      <c r="C20" s="94"/>
      <c r="D20" s="117" t="str">
        <f t="shared" ref="D20:D68" si="5">C20 &amp; "_lis6_back"</f>
        <v>_lis6_back</v>
      </c>
      <c r="E20" s="94"/>
      <c r="F20" s="94"/>
      <c r="G20" s="94" t="str">
        <f t="shared" si="4"/>
        <v xml:space="preserve">SELECT * INTO _lis6_back FROM </v>
      </c>
      <c r="H20" s="94" t="str">
        <f t="shared" si="0"/>
        <v>INSERT INTO  SELECT * FROM _lis6_back</v>
      </c>
      <c r="J20" t="str">
        <f t="shared" si="2"/>
        <v xml:space="preserve">select count(*) from </v>
      </c>
      <c r="K20" t="str">
        <f t="shared" si="3"/>
        <v>select count(*) from _lis6_back</v>
      </c>
    </row>
    <row r="21" spans="3:11">
      <c r="C21" s="94"/>
      <c r="D21" s="117" t="str">
        <f t="shared" si="5"/>
        <v>_lis6_back</v>
      </c>
      <c r="E21" s="94"/>
      <c r="F21" s="94"/>
      <c r="G21" s="94" t="str">
        <f t="shared" si="4"/>
        <v xml:space="preserve">SELECT * INTO _lis6_back FROM </v>
      </c>
      <c r="H21" s="94" t="str">
        <f t="shared" si="0"/>
        <v>INSERT INTO  SELECT * FROM _lis6_back</v>
      </c>
      <c r="J21" t="str">
        <f t="shared" si="2"/>
        <v xml:space="preserve">select count(*) from </v>
      </c>
      <c r="K21" t="str">
        <f t="shared" si="3"/>
        <v>select count(*) from _lis6_back</v>
      </c>
    </row>
    <row r="22" spans="3:11">
      <c r="C22" s="94"/>
      <c r="D22" s="117" t="str">
        <f t="shared" si="5"/>
        <v>_lis6_back</v>
      </c>
      <c r="E22" s="94"/>
      <c r="F22" s="94"/>
      <c r="G22" s="94" t="str">
        <f t="shared" si="4"/>
        <v xml:space="preserve">SELECT * INTO _lis6_back FROM </v>
      </c>
      <c r="H22" s="94" t="str">
        <f t="shared" si="0"/>
        <v>INSERT INTO  SELECT * FROM _lis6_back</v>
      </c>
      <c r="J22" t="str">
        <f t="shared" si="2"/>
        <v xml:space="preserve">select count(*) from </v>
      </c>
      <c r="K22" t="str">
        <f t="shared" si="3"/>
        <v>select count(*) from _lis6_back</v>
      </c>
    </row>
    <row r="23" spans="3:11">
      <c r="C23" s="94"/>
      <c r="D23" s="117" t="str">
        <f t="shared" si="5"/>
        <v>_lis6_back</v>
      </c>
      <c r="E23" s="94"/>
      <c r="F23" s="94"/>
      <c r="G23" s="94" t="str">
        <f t="shared" si="4"/>
        <v xml:space="preserve">SELECT * INTO _lis6_back FROM </v>
      </c>
      <c r="H23" s="94" t="str">
        <f t="shared" si="0"/>
        <v>INSERT INTO  SELECT * FROM _lis6_back</v>
      </c>
      <c r="K23" t="str">
        <f t="shared" si="3"/>
        <v>select count(*) from _lis6_back</v>
      </c>
    </row>
    <row r="24" spans="3:11">
      <c r="C24" s="94"/>
      <c r="D24" s="117" t="str">
        <f t="shared" si="5"/>
        <v>_lis6_back</v>
      </c>
      <c r="E24" s="94"/>
      <c r="F24" s="94"/>
      <c r="G24" s="94" t="str">
        <f t="shared" si="4"/>
        <v xml:space="preserve">SELECT * INTO _lis6_back FROM </v>
      </c>
      <c r="H24" s="94" t="str">
        <f t="shared" si="0"/>
        <v>INSERT INTO  SELECT * FROM _lis6_back</v>
      </c>
    </row>
    <row r="25" spans="3:11">
      <c r="C25" s="94"/>
      <c r="D25" s="117" t="str">
        <f t="shared" si="5"/>
        <v>_lis6_back</v>
      </c>
      <c r="E25" s="94"/>
      <c r="F25" s="94"/>
      <c r="G25" s="94" t="str">
        <f t="shared" si="4"/>
        <v xml:space="preserve">SELECT * INTO _lis6_back FROM </v>
      </c>
      <c r="H25" s="94" t="str">
        <f t="shared" si="0"/>
        <v>INSERT INTO  SELECT * FROM _lis6_back</v>
      </c>
    </row>
    <row r="26" spans="3:11">
      <c r="C26" s="94"/>
      <c r="D26" s="117" t="str">
        <f t="shared" si="5"/>
        <v>_lis6_back</v>
      </c>
      <c r="E26" s="94"/>
      <c r="F26" s="94"/>
      <c r="G26" s="94" t="str">
        <f t="shared" si="4"/>
        <v xml:space="preserve">SELECT * INTO _lis6_back FROM </v>
      </c>
      <c r="H26" s="94" t="str">
        <f t="shared" si="0"/>
        <v>INSERT INTO  SELECT * FROM _lis6_back</v>
      </c>
    </row>
    <row r="27" spans="3:11">
      <c r="C27" s="94"/>
      <c r="D27" s="117" t="str">
        <f t="shared" si="5"/>
        <v>_lis6_back</v>
      </c>
      <c r="E27" s="94"/>
      <c r="F27" s="94"/>
      <c r="G27" s="94" t="str">
        <f t="shared" si="4"/>
        <v xml:space="preserve">SELECT * INTO _lis6_back FROM </v>
      </c>
      <c r="H27" s="94" t="str">
        <f t="shared" si="0"/>
        <v>INSERT INTO  SELECT * FROM _lis6_back</v>
      </c>
    </row>
    <row r="28" spans="3:11">
      <c r="C28" s="94"/>
      <c r="D28" s="117" t="str">
        <f t="shared" si="5"/>
        <v>_lis6_back</v>
      </c>
      <c r="E28" s="94"/>
      <c r="F28" s="94"/>
      <c r="G28" s="94" t="str">
        <f t="shared" si="4"/>
        <v xml:space="preserve">SELECT * INTO _lis6_back FROM </v>
      </c>
      <c r="H28" s="94" t="str">
        <f t="shared" si="0"/>
        <v>INSERT INTO  SELECT * FROM _lis6_back</v>
      </c>
    </row>
    <row r="29" spans="3:11">
      <c r="C29" s="94"/>
      <c r="D29" s="117" t="str">
        <f t="shared" si="5"/>
        <v>_lis6_back</v>
      </c>
      <c r="E29" s="94"/>
      <c r="F29" s="94"/>
      <c r="G29" s="94" t="str">
        <f t="shared" si="4"/>
        <v xml:space="preserve">SELECT * INTO _lis6_back FROM </v>
      </c>
      <c r="H29" s="94" t="str">
        <f t="shared" si="0"/>
        <v>INSERT INTO  SELECT * FROM _lis6_back</v>
      </c>
    </row>
    <row r="30" spans="3:11">
      <c r="C30" s="94"/>
      <c r="D30" s="117" t="str">
        <f t="shared" si="5"/>
        <v>_lis6_back</v>
      </c>
      <c r="E30" s="94"/>
      <c r="F30" s="94"/>
      <c r="G30" s="94" t="str">
        <f t="shared" si="4"/>
        <v xml:space="preserve">SELECT * INTO _lis6_back FROM </v>
      </c>
      <c r="H30" s="94" t="str">
        <f t="shared" si="0"/>
        <v>INSERT INTO  SELECT * FROM _lis6_back</v>
      </c>
    </row>
    <row r="31" spans="3:11">
      <c r="C31" s="94"/>
      <c r="D31" s="117" t="str">
        <f t="shared" si="5"/>
        <v>_lis6_back</v>
      </c>
      <c r="E31" s="94"/>
      <c r="F31" s="94"/>
      <c r="G31" s="94" t="str">
        <f t="shared" si="4"/>
        <v xml:space="preserve">SELECT * INTO _lis6_back FROM </v>
      </c>
      <c r="H31" s="94"/>
    </row>
    <row r="32" spans="3:11">
      <c r="C32" s="94"/>
      <c r="D32" s="117" t="str">
        <f t="shared" si="5"/>
        <v>_lis6_back</v>
      </c>
      <c r="E32" s="94"/>
      <c r="F32" s="94"/>
      <c r="G32" s="94" t="str">
        <f t="shared" si="4"/>
        <v xml:space="preserve">SELECT * INTO _lis6_back FROM </v>
      </c>
      <c r="H32" s="94"/>
    </row>
    <row r="33" spans="3:8">
      <c r="C33" s="94"/>
      <c r="D33" s="117" t="str">
        <f t="shared" si="5"/>
        <v>_lis6_back</v>
      </c>
      <c r="E33" s="94"/>
      <c r="F33" s="94"/>
      <c r="G33" s="94" t="str">
        <f t="shared" si="4"/>
        <v xml:space="preserve">SELECT * INTO _lis6_back FROM </v>
      </c>
      <c r="H33" s="94"/>
    </row>
    <row r="34" spans="3:8">
      <c r="C34" s="94"/>
      <c r="D34" s="117" t="str">
        <f t="shared" si="5"/>
        <v>_lis6_back</v>
      </c>
      <c r="E34" s="94"/>
      <c r="F34" s="94"/>
      <c r="G34" s="94" t="str">
        <f t="shared" si="4"/>
        <v xml:space="preserve">SELECT * INTO _lis6_back FROM </v>
      </c>
      <c r="H34" s="94"/>
    </row>
    <row r="35" spans="3:8">
      <c r="C35" s="94"/>
      <c r="D35" s="117" t="str">
        <f t="shared" si="5"/>
        <v>_lis6_back</v>
      </c>
      <c r="E35" s="94"/>
      <c r="F35" s="94"/>
      <c r="G35" s="94" t="str">
        <f t="shared" si="4"/>
        <v xml:space="preserve">SELECT * INTO _lis6_back FROM </v>
      </c>
      <c r="H35" s="94"/>
    </row>
    <row r="36" spans="3:8">
      <c r="C36" s="94"/>
      <c r="D36" s="117" t="str">
        <f t="shared" si="5"/>
        <v>_lis6_back</v>
      </c>
      <c r="E36" s="94"/>
      <c r="F36" s="94"/>
      <c r="G36" s="94" t="str">
        <f t="shared" si="4"/>
        <v xml:space="preserve">SELECT * INTO _lis6_back FROM </v>
      </c>
      <c r="H36" s="94"/>
    </row>
    <row r="37" spans="3:8">
      <c r="C37" s="94"/>
      <c r="D37" s="117" t="str">
        <f t="shared" si="5"/>
        <v>_lis6_back</v>
      </c>
      <c r="E37" s="94"/>
      <c r="F37" s="94"/>
      <c r="G37" s="94" t="str">
        <f t="shared" si="4"/>
        <v xml:space="preserve">SELECT * INTO _lis6_back FROM </v>
      </c>
      <c r="H37" s="94"/>
    </row>
    <row r="38" spans="3:8">
      <c r="C38" s="94"/>
      <c r="D38" s="117" t="str">
        <f t="shared" si="5"/>
        <v>_lis6_back</v>
      </c>
      <c r="E38" s="94"/>
      <c r="F38" s="94"/>
      <c r="G38" s="94" t="str">
        <f t="shared" si="4"/>
        <v xml:space="preserve">SELECT * INTO _lis6_back FROM </v>
      </c>
      <c r="H38" s="94"/>
    </row>
    <row r="39" spans="3:8">
      <c r="C39" s="94"/>
      <c r="D39" s="117" t="str">
        <f t="shared" si="5"/>
        <v>_lis6_back</v>
      </c>
      <c r="E39" s="94"/>
      <c r="F39" s="94"/>
      <c r="G39" s="94" t="str">
        <f t="shared" si="4"/>
        <v xml:space="preserve">SELECT * INTO _lis6_back FROM </v>
      </c>
      <c r="H39" s="94"/>
    </row>
    <row r="40" spans="3:8">
      <c r="C40" s="94"/>
      <c r="D40" s="117" t="str">
        <f t="shared" si="5"/>
        <v>_lis6_back</v>
      </c>
      <c r="E40" s="94"/>
      <c r="F40" s="94"/>
      <c r="G40" s="94" t="str">
        <f t="shared" si="4"/>
        <v xml:space="preserve">SELECT * INTO _lis6_back FROM </v>
      </c>
      <c r="H40" s="94"/>
    </row>
    <row r="41" spans="3:8">
      <c r="C41" s="94"/>
      <c r="D41" s="117" t="str">
        <f t="shared" si="5"/>
        <v>_lis6_back</v>
      </c>
      <c r="E41" s="94"/>
      <c r="F41" s="94"/>
      <c r="G41" s="94" t="str">
        <f t="shared" si="4"/>
        <v xml:space="preserve">SELECT * INTO _lis6_back FROM </v>
      </c>
      <c r="H41" s="94"/>
    </row>
    <row r="42" spans="3:8">
      <c r="C42" s="94"/>
      <c r="D42" s="117" t="str">
        <f t="shared" si="5"/>
        <v>_lis6_back</v>
      </c>
      <c r="E42" s="94"/>
      <c r="F42" s="94"/>
      <c r="G42" s="94" t="str">
        <f t="shared" si="4"/>
        <v xml:space="preserve">SELECT * INTO _lis6_back FROM </v>
      </c>
      <c r="H42" s="94"/>
    </row>
    <row r="43" spans="3:8">
      <c r="C43" s="94"/>
      <c r="D43" s="117" t="str">
        <f t="shared" si="5"/>
        <v>_lis6_back</v>
      </c>
      <c r="E43" s="94"/>
      <c r="F43" s="94"/>
      <c r="G43" s="94" t="str">
        <f t="shared" si="4"/>
        <v xml:space="preserve">SELECT * INTO _lis6_back FROM </v>
      </c>
      <c r="H43" s="94"/>
    </row>
    <row r="44" spans="3:8">
      <c r="C44" s="94"/>
      <c r="D44" s="117" t="str">
        <f t="shared" si="5"/>
        <v>_lis6_back</v>
      </c>
      <c r="E44" s="94"/>
      <c r="F44" s="94"/>
      <c r="G44" s="94" t="str">
        <f t="shared" si="4"/>
        <v xml:space="preserve">SELECT * INTO _lis6_back FROM </v>
      </c>
      <c r="H44" s="94"/>
    </row>
    <row r="45" spans="3:8">
      <c r="C45" s="94"/>
      <c r="D45" s="117" t="str">
        <f t="shared" si="5"/>
        <v>_lis6_back</v>
      </c>
      <c r="E45" s="94"/>
      <c r="F45" s="94"/>
      <c r="G45" s="94" t="str">
        <f t="shared" si="4"/>
        <v xml:space="preserve">SELECT * INTO _lis6_back FROM </v>
      </c>
      <c r="H45" s="94"/>
    </row>
    <row r="46" spans="3:8">
      <c r="C46" s="94"/>
      <c r="D46" s="117" t="str">
        <f t="shared" si="5"/>
        <v>_lis6_back</v>
      </c>
      <c r="E46" s="94"/>
      <c r="F46" s="94"/>
      <c r="G46" s="94"/>
      <c r="H46" s="94"/>
    </row>
    <row r="47" spans="3:8">
      <c r="C47" s="94"/>
      <c r="D47" s="117" t="str">
        <f t="shared" si="5"/>
        <v>_lis6_back</v>
      </c>
      <c r="E47" s="94"/>
      <c r="F47" s="94"/>
      <c r="G47" s="94"/>
      <c r="H47" s="94"/>
    </row>
    <row r="48" spans="3:8">
      <c r="C48" s="94"/>
      <c r="D48" s="117" t="str">
        <f t="shared" si="5"/>
        <v>_lis6_back</v>
      </c>
      <c r="E48" s="94"/>
      <c r="F48" s="94"/>
      <c r="G48" s="94"/>
      <c r="H48" s="94"/>
    </row>
    <row r="49" spans="3:8">
      <c r="C49" s="94"/>
      <c r="D49" s="117" t="str">
        <f t="shared" si="5"/>
        <v>_lis6_back</v>
      </c>
      <c r="E49" s="94"/>
      <c r="F49" s="94"/>
      <c r="G49" s="94"/>
      <c r="H49" s="94"/>
    </row>
    <row r="50" spans="3:8">
      <c r="C50" s="94"/>
      <c r="D50" s="117" t="str">
        <f t="shared" si="5"/>
        <v>_lis6_back</v>
      </c>
      <c r="E50" s="94"/>
      <c r="F50" s="94"/>
      <c r="G50" s="94"/>
      <c r="H50" s="94"/>
    </row>
    <row r="51" spans="3:8">
      <c r="C51" s="94"/>
      <c r="D51" s="117" t="str">
        <f t="shared" si="5"/>
        <v>_lis6_back</v>
      </c>
      <c r="E51" s="94"/>
      <c r="F51" s="94"/>
      <c r="G51" s="94"/>
      <c r="H51" s="94"/>
    </row>
    <row r="52" spans="3:8">
      <c r="C52" s="94"/>
      <c r="D52" s="117" t="str">
        <f t="shared" si="5"/>
        <v>_lis6_back</v>
      </c>
      <c r="E52" s="94"/>
      <c r="F52" s="94"/>
      <c r="G52" s="94"/>
      <c r="H52" s="94"/>
    </row>
    <row r="53" spans="3:8">
      <c r="C53" s="94"/>
      <c r="D53" s="117" t="str">
        <f t="shared" si="5"/>
        <v>_lis6_back</v>
      </c>
      <c r="E53" s="94"/>
      <c r="F53" s="94"/>
      <c r="G53" s="94"/>
      <c r="H53" s="94"/>
    </row>
    <row r="54" spans="3:8">
      <c r="C54" s="94"/>
      <c r="D54" s="117" t="str">
        <f t="shared" si="5"/>
        <v>_lis6_back</v>
      </c>
      <c r="E54" s="94"/>
      <c r="F54" s="94"/>
      <c r="G54" s="94"/>
      <c r="H54" s="94"/>
    </row>
    <row r="55" spans="3:8">
      <c r="C55" s="94"/>
      <c r="D55" s="117" t="str">
        <f t="shared" si="5"/>
        <v>_lis6_back</v>
      </c>
      <c r="E55" s="94"/>
      <c r="F55" s="94"/>
      <c r="G55" s="94"/>
      <c r="H55" s="94"/>
    </row>
    <row r="56" spans="3:8">
      <c r="C56" s="94"/>
      <c r="D56" s="117" t="str">
        <f t="shared" si="5"/>
        <v>_lis6_back</v>
      </c>
      <c r="E56" s="94"/>
      <c r="F56" s="94"/>
      <c r="G56" s="94"/>
      <c r="H56" s="94"/>
    </row>
    <row r="57" spans="3:8">
      <c r="C57" s="94"/>
      <c r="D57" s="117" t="str">
        <f t="shared" si="5"/>
        <v>_lis6_back</v>
      </c>
      <c r="E57" s="94"/>
      <c r="F57" s="94"/>
      <c r="G57" s="94"/>
      <c r="H57" s="94"/>
    </row>
    <row r="58" spans="3:8">
      <c r="C58" s="94"/>
      <c r="D58" s="117" t="str">
        <f t="shared" si="5"/>
        <v>_lis6_back</v>
      </c>
      <c r="E58" s="94"/>
      <c r="F58" s="94"/>
      <c r="G58" s="94"/>
      <c r="H58" s="94"/>
    </row>
    <row r="59" spans="3:8">
      <c r="C59" s="94"/>
      <c r="D59" s="117" t="str">
        <f t="shared" si="5"/>
        <v>_lis6_back</v>
      </c>
      <c r="E59" s="94"/>
      <c r="F59" s="94"/>
      <c r="G59" s="94"/>
      <c r="H59" s="94"/>
    </row>
    <row r="60" spans="3:8">
      <c r="C60" s="94"/>
      <c r="D60" s="117" t="str">
        <f t="shared" si="5"/>
        <v>_lis6_back</v>
      </c>
      <c r="E60" s="94"/>
      <c r="F60" s="94"/>
      <c r="G60" s="94"/>
      <c r="H60" s="94"/>
    </row>
    <row r="61" spans="3:8">
      <c r="C61" s="94"/>
      <c r="D61" s="117" t="str">
        <f t="shared" si="5"/>
        <v>_lis6_back</v>
      </c>
      <c r="E61" s="94"/>
      <c r="F61" s="94"/>
      <c r="G61" s="94"/>
      <c r="H61" s="94"/>
    </row>
    <row r="62" spans="3:8">
      <c r="C62" s="94"/>
      <c r="D62" s="117" t="str">
        <f t="shared" si="5"/>
        <v>_lis6_back</v>
      </c>
      <c r="E62" s="94"/>
      <c r="F62" s="94"/>
      <c r="G62" s="94"/>
      <c r="H62" s="94"/>
    </row>
    <row r="63" spans="3:8">
      <c r="C63" s="94"/>
      <c r="D63" s="117" t="str">
        <f t="shared" si="5"/>
        <v>_lis6_back</v>
      </c>
      <c r="E63" s="94"/>
      <c r="F63" s="94"/>
      <c r="G63" s="94"/>
      <c r="H63" s="94"/>
    </row>
    <row r="64" spans="3:8">
      <c r="C64" s="94"/>
      <c r="D64" s="117" t="str">
        <f t="shared" si="5"/>
        <v>_lis6_back</v>
      </c>
      <c r="E64" s="94"/>
      <c r="F64" s="94"/>
      <c r="G64" s="94"/>
      <c r="H64" s="94"/>
    </row>
    <row r="65" spans="3:8">
      <c r="C65" s="94"/>
      <c r="D65" s="117" t="str">
        <f t="shared" si="5"/>
        <v>_lis6_back</v>
      </c>
      <c r="E65" s="94"/>
      <c r="F65" s="94"/>
      <c r="G65" s="94"/>
      <c r="H65" s="94"/>
    </row>
    <row r="66" spans="3:8">
      <c r="C66" s="94"/>
      <c r="D66" s="117" t="str">
        <f t="shared" si="5"/>
        <v>_lis6_back</v>
      </c>
      <c r="E66" s="94"/>
      <c r="F66" s="94"/>
      <c r="G66" s="94"/>
      <c r="H66" s="94"/>
    </row>
    <row r="67" spans="3:8">
      <c r="C67" s="94"/>
      <c r="D67" s="117" t="str">
        <f t="shared" si="5"/>
        <v>_lis6_back</v>
      </c>
      <c r="E67" s="94"/>
      <c r="F67" s="94"/>
      <c r="G67" s="94"/>
      <c r="H67" s="94"/>
    </row>
    <row r="68" spans="3:8">
      <c r="C68" s="94"/>
      <c r="D68" s="117" t="str">
        <f t="shared" si="5"/>
        <v>_lis6_back</v>
      </c>
      <c r="E68" s="94"/>
      <c r="F68" s="94"/>
      <c r="G68" s="94"/>
      <c r="H68" s="94"/>
    </row>
    <row r="69" spans="3:8">
      <c r="C69" s="94"/>
      <c r="D69" s="94"/>
      <c r="E69" s="94"/>
      <c r="F69" s="94"/>
      <c r="G69" s="94"/>
      <c r="H69" s="94"/>
    </row>
    <row r="70" spans="3:8">
      <c r="C70" s="94"/>
      <c r="D70" s="94"/>
      <c r="E70" s="94"/>
      <c r="F70" s="94"/>
      <c r="G70" s="94"/>
      <c r="H70" s="94"/>
    </row>
    <row r="71" spans="3:8">
      <c r="C71" s="94"/>
      <c r="D71" s="94"/>
      <c r="E71" s="94"/>
      <c r="F71" s="94"/>
      <c r="G71" s="94"/>
      <c r="H71" s="94"/>
    </row>
    <row r="72" spans="3:8">
      <c r="C72" s="94"/>
      <c r="D72" s="94"/>
      <c r="E72" s="94"/>
      <c r="F72" s="94"/>
      <c r="G72" s="94"/>
      <c r="H72" s="94"/>
    </row>
    <row r="73" spans="3:8">
      <c r="C73" s="94"/>
      <c r="D73" s="94"/>
      <c r="E73" s="94"/>
      <c r="F73" s="94"/>
      <c r="G73" s="94"/>
      <c r="H73" s="94"/>
    </row>
    <row r="74" spans="3:8">
      <c r="C74" s="94"/>
      <c r="D74" s="94"/>
      <c r="E74" s="94"/>
      <c r="F74" s="94"/>
      <c r="G74" s="94"/>
      <c r="H74" s="94"/>
    </row>
    <row r="75" spans="3:8">
      <c r="C75" s="94"/>
      <c r="D75" s="94"/>
      <c r="E75" s="94"/>
      <c r="F75" s="94"/>
      <c r="G75" s="94"/>
      <c r="H75" s="94"/>
    </row>
    <row r="76" spans="3:8">
      <c r="C76" s="94"/>
      <c r="D76" s="94"/>
      <c r="E76" s="94"/>
      <c r="F76" s="94"/>
      <c r="G76" s="94"/>
      <c r="H76" s="94"/>
    </row>
    <row r="77" spans="3:8">
      <c r="C77" s="94"/>
      <c r="D77" s="94"/>
      <c r="E77" s="94"/>
      <c r="F77" s="94"/>
      <c r="G77" s="94"/>
      <c r="H77" s="94"/>
    </row>
    <row r="78" spans="3:8">
      <c r="C78" s="94"/>
      <c r="D78" s="94"/>
      <c r="E78" s="94"/>
      <c r="F78" s="94"/>
      <c r="G78" s="94"/>
      <c r="H78" s="94"/>
    </row>
    <row r="79" spans="3:8">
      <c r="C79" s="94"/>
      <c r="D79" s="94"/>
      <c r="E79" s="94"/>
      <c r="F79" s="94"/>
      <c r="G79" s="94"/>
      <c r="H79" s="94"/>
    </row>
    <row r="80" spans="3:8">
      <c r="C80" s="94"/>
      <c r="D80" s="94"/>
      <c r="E80" s="94"/>
      <c r="F80" s="94"/>
      <c r="G80" s="94"/>
      <c r="H80" s="94"/>
    </row>
    <row r="81" spans="3:8">
      <c r="C81" s="94"/>
      <c r="D81" s="94"/>
      <c r="E81" s="94"/>
      <c r="F81" s="94"/>
      <c r="G81" s="94"/>
      <c r="H81" s="94"/>
    </row>
    <row r="82" spans="3:8">
      <c r="C82" s="94"/>
      <c r="D82" s="94"/>
      <c r="E82" s="94"/>
      <c r="F82" s="94"/>
      <c r="G82" s="94"/>
      <c r="H82" s="94"/>
    </row>
    <row r="83" spans="3:8">
      <c r="C83" s="94"/>
      <c r="D83" s="94"/>
      <c r="E83" s="94"/>
      <c r="F83" s="94"/>
      <c r="G83" s="94"/>
      <c r="H83" s="94"/>
    </row>
    <row r="84" spans="3:8">
      <c r="C84" s="94"/>
      <c r="D84" s="94"/>
      <c r="E84" s="94"/>
      <c r="F84" s="94"/>
      <c r="G84" s="94"/>
      <c r="H84" s="94"/>
    </row>
    <row r="85" spans="3:8">
      <c r="C85" s="94"/>
      <c r="D85" s="94"/>
      <c r="E85" s="94"/>
      <c r="F85" s="94"/>
      <c r="G85" s="94"/>
      <c r="H85" s="94"/>
    </row>
    <row r="86" spans="3:8">
      <c r="C86" s="94"/>
      <c r="D86" s="94"/>
      <c r="E86" s="94"/>
      <c r="F86" s="94"/>
      <c r="G86" s="94"/>
      <c r="H86" s="94"/>
    </row>
    <row r="87" spans="3:8">
      <c r="C87" s="94"/>
      <c r="D87" s="94"/>
      <c r="E87" s="94"/>
      <c r="F87" s="94"/>
      <c r="G87" s="94"/>
      <c r="H87" s="94"/>
    </row>
    <row r="88" spans="3:8">
      <c r="C88" s="94"/>
      <c r="D88" s="94"/>
      <c r="E88" s="94"/>
      <c r="F88" s="94"/>
      <c r="G88" s="94"/>
      <c r="H88" s="94"/>
    </row>
    <row r="89" spans="3:8">
      <c r="C89" s="94"/>
      <c r="D89" s="94"/>
      <c r="E89" s="94"/>
      <c r="F89" s="94"/>
      <c r="G89" s="94"/>
      <c r="H89" s="94"/>
    </row>
    <row r="90" spans="3:8">
      <c r="C90" s="94"/>
      <c r="D90" s="94"/>
      <c r="E90" s="94"/>
      <c r="F90" s="94"/>
      <c r="G90" s="94"/>
      <c r="H90" s="94"/>
    </row>
    <row r="91" spans="3:8">
      <c r="C91" s="94"/>
      <c r="D91" s="94"/>
      <c r="E91" s="94"/>
      <c r="F91" s="94"/>
      <c r="G91" s="94"/>
      <c r="H91" s="94"/>
    </row>
    <row r="92" spans="3:8">
      <c r="C92" s="94"/>
      <c r="D92" s="94"/>
      <c r="E92" s="94"/>
      <c r="F92" s="94"/>
      <c r="G92" s="94"/>
      <c r="H92" s="94"/>
    </row>
    <row r="93" spans="3:8">
      <c r="C93" s="94"/>
      <c r="D93" s="94"/>
      <c r="E93" s="94"/>
      <c r="F93" s="94"/>
      <c r="G93" s="94"/>
      <c r="H93" s="94"/>
    </row>
    <row r="94" spans="3:8">
      <c r="C94" s="94"/>
      <c r="D94" s="94"/>
      <c r="E94" s="94"/>
      <c r="F94" s="94"/>
      <c r="G94" s="94"/>
      <c r="H94" s="94"/>
    </row>
    <row r="95" spans="3:8">
      <c r="C95" s="94"/>
      <c r="D95" s="94"/>
      <c r="E95" s="94"/>
      <c r="F95" s="94"/>
      <c r="G95" s="94"/>
      <c r="H95" s="94"/>
    </row>
    <row r="96" spans="3:8">
      <c r="C96" s="94"/>
      <c r="D96" s="94"/>
      <c r="E96" s="94"/>
      <c r="F96" s="94"/>
      <c r="G96" s="94"/>
      <c r="H96" s="94"/>
    </row>
    <row r="97" spans="3:8">
      <c r="C97" s="94"/>
      <c r="D97" s="94"/>
      <c r="E97" s="94"/>
      <c r="F97" s="94"/>
      <c r="G97" s="94"/>
      <c r="H97" s="94"/>
    </row>
    <row r="98" spans="3:8">
      <c r="C98" s="94"/>
      <c r="D98" s="94"/>
      <c r="E98" s="94"/>
      <c r="F98" s="94"/>
      <c r="G98" s="94"/>
      <c r="H98" s="94"/>
    </row>
    <row r="99" spans="3:8">
      <c r="C99" s="94"/>
      <c r="D99" s="94"/>
      <c r="E99" s="94"/>
      <c r="F99" s="94"/>
      <c r="G99" s="94"/>
      <c r="H99" s="94"/>
    </row>
    <row r="100" spans="3:8">
      <c r="C100" s="94"/>
      <c r="D100" s="94"/>
      <c r="E100" s="94"/>
      <c r="F100" s="94"/>
      <c r="G100" s="94"/>
      <c r="H100" s="94"/>
    </row>
    <row r="101" spans="3:8">
      <c r="C101" s="94"/>
      <c r="D101" s="94"/>
      <c r="E101" s="94"/>
      <c r="F101" s="94"/>
      <c r="G101" s="94"/>
      <c r="H101" s="94"/>
    </row>
    <row r="102" spans="3:8">
      <c r="C102" s="94"/>
      <c r="D102" s="94"/>
      <c r="E102" s="94"/>
      <c r="F102" s="94"/>
      <c r="G102" s="94"/>
      <c r="H102" s="94"/>
    </row>
    <row r="103" spans="3:8">
      <c r="C103" s="94"/>
      <c r="D103" s="94"/>
      <c r="E103" s="94"/>
      <c r="F103" s="94"/>
      <c r="G103" s="94"/>
      <c r="H103" s="94"/>
    </row>
    <row r="104" spans="3:8">
      <c r="C104" s="94"/>
      <c r="D104" s="94"/>
      <c r="E104" s="94"/>
      <c r="F104" s="94"/>
      <c r="G104" s="94"/>
      <c r="H104" s="94"/>
    </row>
    <row r="105" spans="3:8">
      <c r="C105" s="94"/>
      <c r="D105" s="94"/>
      <c r="E105" s="94"/>
      <c r="F105" s="94"/>
      <c r="G105" s="94"/>
      <c r="H105" s="94"/>
    </row>
    <row r="106" spans="3:8">
      <c r="C106" s="94"/>
      <c r="D106" s="94"/>
      <c r="E106" s="94"/>
      <c r="F106" s="94"/>
      <c r="G106" s="94"/>
      <c r="H106" s="94"/>
    </row>
    <row r="107" spans="3:8">
      <c r="C107" s="94"/>
      <c r="D107" s="94"/>
      <c r="E107" s="94"/>
      <c r="F107" s="94"/>
      <c r="G107" s="94"/>
      <c r="H107" s="94"/>
    </row>
    <row r="108" spans="3:8">
      <c r="C108" s="94"/>
      <c r="D108" s="94"/>
      <c r="E108" s="94"/>
      <c r="F108" s="94"/>
      <c r="G108" s="94"/>
      <c r="H108" s="94"/>
    </row>
    <row r="109" spans="3:8">
      <c r="C109" s="94"/>
      <c r="D109" s="94"/>
      <c r="E109" s="94"/>
      <c r="F109" s="94"/>
      <c r="G109" s="94"/>
      <c r="H109" s="94"/>
    </row>
    <row r="110" spans="3:8">
      <c r="C110" s="94"/>
      <c r="D110" s="94"/>
      <c r="E110" s="94"/>
      <c r="F110" s="94"/>
      <c r="G110" s="94"/>
      <c r="H110" s="94"/>
    </row>
    <row r="111" spans="3:8">
      <c r="C111" s="94"/>
      <c r="D111" s="94"/>
      <c r="E111" s="94"/>
      <c r="F111" s="94"/>
      <c r="G111" s="94"/>
      <c r="H111" s="94"/>
    </row>
    <row r="112" spans="3:8">
      <c r="C112" s="94"/>
      <c r="D112" s="94"/>
      <c r="E112" s="94"/>
      <c r="F112" s="94"/>
      <c r="G112" s="94"/>
      <c r="H112" s="94"/>
    </row>
    <row r="113" spans="3:8">
      <c r="C113" s="94"/>
      <c r="D113" s="94"/>
      <c r="E113" s="94"/>
      <c r="F113" s="94"/>
      <c r="G113" s="94"/>
      <c r="H113" s="94"/>
    </row>
    <row r="114" spans="3:8">
      <c r="C114" s="94"/>
      <c r="D114" s="94"/>
      <c r="E114" s="94"/>
      <c r="F114" s="94"/>
      <c r="G114" s="94"/>
      <c r="H114" s="94"/>
    </row>
    <row r="115" spans="3:8">
      <c r="C115" s="94"/>
      <c r="D115" s="94"/>
      <c r="E115" s="94"/>
      <c r="F115" s="94"/>
      <c r="G115" s="94"/>
      <c r="H115" s="94"/>
    </row>
    <row r="116" spans="3:8">
      <c r="C116" s="94"/>
      <c r="D116" s="94"/>
      <c r="E116" s="94"/>
      <c r="F116" s="94"/>
      <c r="G116" s="94"/>
      <c r="H116" s="94"/>
    </row>
    <row r="117" spans="3:8">
      <c r="C117" s="94"/>
      <c r="D117" s="94"/>
      <c r="E117" s="94"/>
      <c r="F117" s="94"/>
      <c r="G117" s="94"/>
      <c r="H117" s="94"/>
    </row>
    <row r="118" spans="3:8">
      <c r="C118" s="94"/>
      <c r="D118" s="94"/>
      <c r="E118" s="94"/>
      <c r="F118" s="94"/>
      <c r="G118" s="94"/>
      <c r="H118" s="94"/>
    </row>
    <row r="119" spans="3:8">
      <c r="C119" s="94"/>
      <c r="D119" s="94"/>
      <c r="E119" s="94"/>
      <c r="F119" s="94"/>
      <c r="G119" s="94"/>
      <c r="H119" s="94"/>
    </row>
    <row r="120" spans="3:8">
      <c r="C120" s="94"/>
      <c r="D120" s="94"/>
      <c r="E120" s="94"/>
      <c r="F120" s="94"/>
      <c r="G120" s="94"/>
      <c r="H120" s="94"/>
    </row>
    <row r="121" spans="3:8">
      <c r="C121" s="94"/>
      <c r="D121" s="94"/>
      <c r="E121" s="94"/>
      <c r="F121" s="94"/>
      <c r="G121" s="94"/>
      <c r="H121" s="94"/>
    </row>
    <row r="122" spans="3:8">
      <c r="C122" s="94"/>
      <c r="D122" s="94"/>
      <c r="E122" s="94"/>
      <c r="F122" s="94"/>
      <c r="G122" s="94"/>
      <c r="H122" s="94"/>
    </row>
    <row r="123" spans="3:8">
      <c r="C123" s="94"/>
      <c r="D123" s="94"/>
      <c r="E123" s="94"/>
      <c r="F123" s="94"/>
      <c r="G123" s="94"/>
      <c r="H123" s="94"/>
    </row>
    <row r="124" spans="3:8">
      <c r="C124" s="94"/>
      <c r="D124" s="94"/>
      <c r="E124" s="94"/>
      <c r="F124" s="94"/>
      <c r="G124" s="94"/>
      <c r="H124" s="94"/>
    </row>
    <row r="125" spans="3:8">
      <c r="C125" s="94"/>
      <c r="D125" s="94"/>
      <c r="E125" s="94"/>
      <c r="F125" s="94"/>
      <c r="G125" s="94"/>
      <c r="H125" s="94"/>
    </row>
    <row r="126" spans="3:8">
      <c r="C126" s="94"/>
      <c r="D126" s="94"/>
      <c r="E126" s="94"/>
      <c r="F126" s="94"/>
      <c r="G126" s="94"/>
      <c r="H126" s="94"/>
    </row>
    <row r="127" spans="3:8">
      <c r="C127" s="94"/>
      <c r="D127" s="94"/>
      <c r="E127" s="94"/>
      <c r="F127" s="94"/>
      <c r="G127" s="94"/>
      <c r="H127" s="94"/>
    </row>
    <row r="128" spans="3:8">
      <c r="C128" s="94"/>
      <c r="D128" s="94"/>
      <c r="E128" s="94"/>
      <c r="F128" s="94"/>
      <c r="G128" s="94"/>
      <c r="H128" s="94"/>
    </row>
    <row r="129" spans="3:8">
      <c r="C129" s="94"/>
      <c r="D129" s="94"/>
      <c r="E129" s="94"/>
      <c r="F129" s="94"/>
      <c r="G129" s="94"/>
      <c r="H129" s="94"/>
    </row>
    <row r="130" spans="3:8">
      <c r="C130" s="94"/>
      <c r="D130" s="94"/>
      <c r="E130" s="94"/>
      <c r="F130" s="94"/>
      <c r="G130" s="94"/>
      <c r="H130" s="94"/>
    </row>
    <row r="131" spans="3:8">
      <c r="C131" s="94"/>
      <c r="D131" s="94"/>
      <c r="E131" s="94"/>
      <c r="F131" s="94"/>
      <c r="G131" s="94"/>
      <c r="H131" s="94"/>
    </row>
    <row r="132" spans="3:8">
      <c r="C132" s="94"/>
      <c r="D132" s="94"/>
      <c r="E132" s="94"/>
      <c r="F132" s="94"/>
      <c r="G132" s="94"/>
      <c r="H132" s="94"/>
    </row>
    <row r="133" spans="3:8">
      <c r="C133" s="94"/>
      <c r="D133" s="94"/>
      <c r="E133" s="94"/>
      <c r="F133" s="94"/>
      <c r="G133" s="94"/>
      <c r="H133" s="94"/>
    </row>
    <row r="134" spans="3:8">
      <c r="C134" s="94"/>
      <c r="D134" s="94"/>
      <c r="E134" s="94"/>
      <c r="F134" s="94"/>
      <c r="G134" s="94"/>
      <c r="H134" s="94"/>
    </row>
    <row r="135" spans="3:8">
      <c r="C135" s="94"/>
      <c r="D135" s="94"/>
      <c r="E135" s="94"/>
      <c r="F135" s="94"/>
      <c r="G135" s="94"/>
      <c r="H135" s="94"/>
    </row>
    <row r="136" spans="3:8">
      <c r="C136" s="94"/>
      <c r="D136" s="94"/>
      <c r="E136" s="94"/>
      <c r="F136" s="94"/>
      <c r="G136" s="94"/>
      <c r="H136" s="94"/>
    </row>
    <row r="137" spans="3:8">
      <c r="C137" s="94"/>
      <c r="D137" s="94"/>
      <c r="E137" s="94"/>
      <c r="F137" s="94"/>
      <c r="G137" s="94"/>
      <c r="H137" s="94"/>
    </row>
    <row r="138" spans="3:8">
      <c r="C138" s="94"/>
      <c r="D138" s="94"/>
      <c r="E138" s="94"/>
      <c r="F138" s="94"/>
      <c r="G138" s="94"/>
      <c r="H138" s="94"/>
    </row>
    <row r="139" spans="3:8">
      <c r="C139" s="94"/>
      <c r="D139" s="94"/>
      <c r="E139" s="94"/>
      <c r="F139" s="94"/>
      <c r="G139" s="94"/>
      <c r="H139" s="94"/>
    </row>
    <row r="140" spans="3:8">
      <c r="C140" s="94"/>
      <c r="D140" s="94"/>
      <c r="E140" s="94"/>
      <c r="F140" s="94"/>
      <c r="G140" s="94"/>
      <c r="H140" s="94"/>
    </row>
    <row r="141" spans="3:8">
      <c r="C141" s="94"/>
      <c r="D141" s="94"/>
      <c r="E141" s="94"/>
      <c r="F141" s="94"/>
      <c r="G141" s="94"/>
      <c r="H141" s="94"/>
    </row>
    <row r="142" spans="3:8">
      <c r="C142" s="94"/>
      <c r="D142" s="94"/>
      <c r="E142" s="94"/>
      <c r="F142" s="94"/>
      <c r="G142" s="94"/>
      <c r="H142" s="94"/>
    </row>
    <row r="143" spans="3:8">
      <c r="C143" s="94"/>
      <c r="D143" s="94"/>
      <c r="E143" s="94"/>
      <c r="F143" s="94"/>
      <c r="G143" s="94"/>
      <c r="H143" s="94"/>
    </row>
    <row r="144" spans="3:8">
      <c r="C144" s="94"/>
      <c r="D144" s="94"/>
      <c r="E144" s="94"/>
      <c r="F144" s="94"/>
      <c r="G144" s="94"/>
      <c r="H144" s="94"/>
    </row>
    <row r="145" spans="3:8">
      <c r="C145" s="94"/>
      <c r="D145" s="94"/>
      <c r="E145" s="94"/>
      <c r="F145" s="94"/>
      <c r="G145" s="94"/>
      <c r="H145" s="94"/>
    </row>
    <row r="146" spans="3:8">
      <c r="C146" s="94"/>
      <c r="D146" s="94"/>
      <c r="E146" s="94"/>
      <c r="F146" s="94"/>
      <c r="G146" s="94"/>
      <c r="H146" s="94"/>
    </row>
    <row r="147" spans="3:8">
      <c r="C147" s="94"/>
      <c r="D147" s="94"/>
      <c r="E147" s="94"/>
      <c r="F147" s="94"/>
      <c r="G147" s="94"/>
      <c r="H147" s="94"/>
    </row>
    <row r="148" spans="3:8">
      <c r="C148" s="94"/>
      <c r="D148" s="94"/>
      <c r="E148" s="94"/>
      <c r="F148" s="94"/>
      <c r="G148" s="94"/>
      <c r="H148" s="94"/>
    </row>
    <row r="149" spans="3:8">
      <c r="C149" s="94"/>
      <c r="D149" s="94"/>
      <c r="E149" s="94"/>
      <c r="F149" s="94"/>
      <c r="G149" s="94"/>
      <c r="H149" s="94"/>
    </row>
    <row r="150" spans="3:8">
      <c r="C150" s="94"/>
      <c r="D150" s="94"/>
      <c r="E150" s="94"/>
      <c r="F150" s="94"/>
      <c r="G150" s="94"/>
      <c r="H150" s="94"/>
    </row>
    <row r="151" spans="3:8">
      <c r="C151" s="94"/>
      <c r="D151" s="94"/>
      <c r="E151" s="94"/>
      <c r="F151" s="94"/>
      <c r="G151" s="94"/>
      <c r="H151" s="94"/>
    </row>
    <row r="152" spans="3:8">
      <c r="C152" s="94"/>
      <c r="D152" s="94"/>
      <c r="E152" s="94"/>
      <c r="F152" s="94"/>
      <c r="G152" s="94"/>
      <c r="H152" s="94"/>
    </row>
    <row r="153" spans="3:8">
      <c r="C153" s="94"/>
      <c r="D153" s="94"/>
      <c r="E153" s="94"/>
      <c r="F153" s="94"/>
      <c r="G153" s="94"/>
      <c r="H153" s="94"/>
    </row>
    <row r="154" spans="3:8">
      <c r="C154" s="94"/>
      <c r="D154" s="94"/>
      <c r="E154" s="94"/>
      <c r="F154" s="94"/>
      <c r="G154" s="94"/>
      <c r="H154" s="94"/>
    </row>
    <row r="155" spans="3:8">
      <c r="C155" s="94"/>
      <c r="D155" s="94"/>
      <c r="E155" s="94"/>
      <c r="F155" s="94"/>
      <c r="G155" s="94"/>
      <c r="H155" s="94"/>
    </row>
    <row r="156" spans="3:8">
      <c r="C156" s="94"/>
      <c r="D156" s="94"/>
      <c r="E156" s="94"/>
      <c r="F156" s="94"/>
      <c r="G156" s="94"/>
      <c r="H156" s="94"/>
    </row>
    <row r="157" spans="3:8">
      <c r="C157" s="94"/>
      <c r="D157" s="94"/>
      <c r="E157" s="94"/>
      <c r="F157" s="94"/>
      <c r="G157" s="94"/>
      <c r="H157" s="94"/>
    </row>
    <row r="158" spans="3:8">
      <c r="C158" s="94"/>
      <c r="D158" s="94"/>
      <c r="E158" s="94"/>
      <c r="F158" s="94"/>
      <c r="G158" s="94"/>
      <c r="H158" s="94"/>
    </row>
    <row r="159" spans="3:8">
      <c r="C159" s="94"/>
      <c r="D159" s="94"/>
      <c r="E159" s="94"/>
      <c r="F159" s="94"/>
      <c r="G159" s="94"/>
      <c r="H159" s="94"/>
    </row>
    <row r="160" spans="3:8">
      <c r="C160" s="94"/>
      <c r="D160" s="94"/>
      <c r="E160" s="94"/>
      <c r="F160" s="94"/>
      <c r="G160" s="94"/>
      <c r="H160" s="94"/>
    </row>
    <row r="161" spans="3:8">
      <c r="C161" s="94"/>
      <c r="D161" s="94"/>
      <c r="E161" s="94"/>
      <c r="F161" s="94"/>
      <c r="G161" s="94"/>
      <c r="H161" s="94"/>
    </row>
    <row r="162" spans="3:8">
      <c r="C162" s="94"/>
      <c r="D162" s="94"/>
      <c r="E162" s="94"/>
      <c r="F162" s="94"/>
      <c r="G162" s="94"/>
      <c r="H162" s="94"/>
    </row>
    <row r="163" spans="3:8">
      <c r="C163" s="94"/>
      <c r="D163" s="94"/>
      <c r="E163" s="94"/>
      <c r="F163" s="94"/>
      <c r="G163" s="94"/>
      <c r="H163" s="94"/>
    </row>
    <row r="164" spans="3:8">
      <c r="C164" s="94"/>
      <c r="D164" s="94"/>
      <c r="E164" s="94"/>
      <c r="F164" s="94"/>
      <c r="G164" s="94"/>
      <c r="H164" s="94"/>
    </row>
    <row r="165" spans="3:8">
      <c r="C165" s="94"/>
      <c r="D165" s="94"/>
      <c r="E165" s="94"/>
      <c r="F165" s="94"/>
      <c r="G165" s="94"/>
      <c r="H165" s="94"/>
    </row>
    <row r="166" spans="3:8">
      <c r="C166" s="94"/>
      <c r="D166" s="94"/>
      <c r="E166" s="94"/>
      <c r="F166" s="94"/>
      <c r="G166" s="94"/>
      <c r="H166" s="94"/>
    </row>
    <row r="167" spans="3:8">
      <c r="C167" s="94"/>
      <c r="D167" s="94"/>
      <c r="E167" s="94"/>
      <c r="F167" s="94"/>
      <c r="G167" s="94"/>
      <c r="H167" s="94"/>
    </row>
    <row r="168" spans="3:8">
      <c r="C168" s="94"/>
      <c r="D168" s="94"/>
      <c r="E168" s="94"/>
      <c r="F168" s="94"/>
      <c r="G168" s="94"/>
      <c r="H168" s="94"/>
    </row>
    <row r="169" spans="3:8">
      <c r="C169" s="94"/>
      <c r="D169" s="94"/>
      <c r="E169" s="94"/>
      <c r="F169" s="94"/>
      <c r="G169" s="94"/>
      <c r="H169" s="94"/>
    </row>
    <row r="170" spans="3:8">
      <c r="C170" s="94"/>
      <c r="D170" s="94"/>
      <c r="E170" s="94"/>
      <c r="F170" s="94"/>
      <c r="G170" s="94"/>
      <c r="H170" s="94"/>
    </row>
    <row r="171" spans="3:8">
      <c r="C171" s="94"/>
      <c r="D171" s="94"/>
      <c r="E171" s="94"/>
      <c r="F171" s="94"/>
      <c r="G171" s="94"/>
      <c r="H171" s="94"/>
    </row>
    <row r="172" spans="3:8">
      <c r="C172" s="94"/>
      <c r="D172" s="94"/>
      <c r="E172" s="94"/>
      <c r="F172" s="94"/>
      <c r="G172" s="94"/>
      <c r="H172" s="94"/>
    </row>
    <row r="173" spans="3:8">
      <c r="C173" s="94"/>
      <c r="D173" s="94"/>
      <c r="E173" s="94"/>
      <c r="F173" s="94"/>
      <c r="G173" s="94"/>
      <c r="H173" s="94"/>
    </row>
    <row r="174" spans="3:8">
      <c r="C174" s="94"/>
      <c r="D174" s="94"/>
      <c r="E174" s="94"/>
      <c r="F174" s="94"/>
      <c r="G174" s="94"/>
      <c r="H174" s="94"/>
    </row>
    <row r="175" spans="3:8">
      <c r="C175" s="94"/>
      <c r="D175" s="94"/>
      <c r="E175" s="94"/>
      <c r="F175" s="94"/>
      <c r="G175" s="94"/>
      <c r="H175" s="94"/>
    </row>
    <row r="176" spans="3:8">
      <c r="C176" s="94"/>
      <c r="D176" s="94"/>
      <c r="E176" s="94"/>
      <c r="F176" s="94"/>
      <c r="G176" s="94"/>
      <c r="H176" s="94"/>
    </row>
    <row r="177" spans="3:8">
      <c r="C177" s="94"/>
      <c r="D177" s="94"/>
      <c r="E177" s="94"/>
      <c r="F177" s="94"/>
      <c r="G177" s="94"/>
      <c r="H177" s="94"/>
    </row>
    <row r="178" spans="3:8">
      <c r="C178" s="94"/>
      <c r="D178" s="94"/>
      <c r="E178" s="94"/>
      <c r="F178" s="94"/>
      <c r="G178" s="94"/>
      <c r="H178" s="94"/>
    </row>
    <row r="179" spans="3:8">
      <c r="C179" s="94"/>
      <c r="D179" s="94"/>
      <c r="E179" s="94"/>
      <c r="F179" s="94"/>
      <c r="G179" s="94"/>
      <c r="H179" s="94"/>
    </row>
    <row r="180" spans="3:8">
      <c r="C180" s="94"/>
      <c r="D180" s="94"/>
      <c r="E180" s="94"/>
      <c r="F180" s="94"/>
      <c r="G180" s="94"/>
      <c r="H180" s="94"/>
    </row>
    <row r="181" spans="3:8">
      <c r="C181" s="94"/>
      <c r="D181" s="94"/>
      <c r="E181" s="94"/>
      <c r="F181" s="94"/>
      <c r="G181" s="94"/>
      <c r="H181" s="94"/>
    </row>
    <row r="182" spans="3:8">
      <c r="C182" s="94"/>
      <c r="D182" s="94"/>
      <c r="E182" s="94"/>
      <c r="F182" s="94"/>
      <c r="G182" s="94"/>
      <c r="H182" s="94"/>
    </row>
    <row r="183" spans="3:8">
      <c r="C183" s="94"/>
      <c r="D183" s="94"/>
      <c r="E183" s="94"/>
      <c r="F183" s="94"/>
      <c r="G183" s="94"/>
      <c r="H183" s="94"/>
    </row>
    <row r="184" spans="3:8">
      <c r="C184" s="94"/>
      <c r="D184" s="94"/>
      <c r="E184" s="94"/>
      <c r="F184" s="94"/>
      <c r="G184" s="94"/>
      <c r="H184" s="94"/>
    </row>
    <row r="185" spans="3:8">
      <c r="C185" s="94"/>
      <c r="D185" s="94"/>
      <c r="E185" s="94"/>
      <c r="F185" s="94"/>
      <c r="G185" s="94"/>
      <c r="H185" s="94"/>
    </row>
    <row r="186" spans="3:8">
      <c r="C186" s="94"/>
      <c r="D186" s="94"/>
      <c r="E186" s="94"/>
      <c r="F186" s="94"/>
      <c r="G186" s="94"/>
      <c r="H186" s="94"/>
    </row>
    <row r="187" spans="3:8">
      <c r="C187" s="94"/>
      <c r="D187" s="94"/>
      <c r="E187" s="94"/>
      <c r="F187" s="94"/>
      <c r="G187" s="94"/>
      <c r="H187" s="94"/>
    </row>
    <row r="188" spans="3:8">
      <c r="C188" s="94"/>
      <c r="D188" s="94"/>
      <c r="E188" s="94"/>
      <c r="F188" s="94"/>
      <c r="G188" s="94"/>
      <c r="H188" s="94"/>
    </row>
    <row r="189" spans="3:8">
      <c r="C189" s="94"/>
      <c r="D189" s="94"/>
      <c r="E189" s="94"/>
      <c r="F189" s="94"/>
      <c r="G189" s="94"/>
      <c r="H189" s="94"/>
    </row>
    <row r="190" spans="3:8">
      <c r="C190" s="94"/>
      <c r="D190" s="94"/>
      <c r="E190" s="94"/>
      <c r="F190" s="94"/>
      <c r="G190" s="94"/>
      <c r="H190" s="94"/>
    </row>
    <row r="191" spans="3:8">
      <c r="C191" s="94"/>
      <c r="D191" s="94"/>
      <c r="E191" s="94"/>
      <c r="F191" s="94"/>
      <c r="G191" s="94"/>
      <c r="H191" s="94"/>
    </row>
    <row r="192" spans="3:8">
      <c r="C192" s="94"/>
      <c r="D192" s="94"/>
      <c r="E192" s="94"/>
      <c r="F192" s="94"/>
      <c r="G192" s="94"/>
      <c r="H192" s="94"/>
    </row>
    <row r="193" spans="3:8">
      <c r="C193" s="94"/>
      <c r="D193" s="94"/>
      <c r="E193" s="94"/>
      <c r="F193" s="94"/>
      <c r="G193" s="94"/>
      <c r="H193" s="94"/>
    </row>
    <row r="194" spans="3:8">
      <c r="C194" s="94"/>
      <c r="D194" s="94"/>
      <c r="E194" s="94"/>
      <c r="F194" s="94"/>
      <c r="G194" s="94"/>
      <c r="H194" s="94"/>
    </row>
    <row r="195" spans="3:8">
      <c r="C195" s="94"/>
      <c r="D195" s="94"/>
      <c r="E195" s="94"/>
      <c r="F195" s="94"/>
      <c r="G195" s="94"/>
      <c r="H195" s="94"/>
    </row>
    <row r="196" spans="3:8">
      <c r="C196" s="94"/>
      <c r="D196" s="94"/>
      <c r="E196" s="94"/>
      <c r="F196" s="94"/>
      <c r="G196" s="94"/>
      <c r="H196" s="94"/>
    </row>
    <row r="197" spans="3:8">
      <c r="C197" s="94"/>
      <c r="D197" s="94"/>
      <c r="E197" s="94"/>
      <c r="F197" s="94"/>
      <c r="G197" s="94"/>
      <c r="H197" s="94"/>
    </row>
    <row r="198" spans="3:8">
      <c r="C198" s="94"/>
      <c r="D198" s="94"/>
      <c r="E198" s="94"/>
      <c r="F198" s="94"/>
      <c r="G198" s="94"/>
      <c r="H198" s="94"/>
    </row>
    <row r="199" spans="3:8">
      <c r="C199" s="94"/>
      <c r="D199" s="94"/>
      <c r="E199" s="94"/>
      <c r="F199" s="94"/>
      <c r="G199" s="94"/>
      <c r="H199" s="94"/>
    </row>
    <row r="200" spans="3:8">
      <c r="C200" s="94"/>
      <c r="D200" s="94"/>
      <c r="E200" s="94"/>
      <c r="F200" s="94"/>
      <c r="G200" s="94"/>
      <c r="H200" s="94"/>
    </row>
    <row r="201" spans="3:8">
      <c r="C201" s="94"/>
      <c r="D201" s="94"/>
      <c r="E201" s="94"/>
      <c r="F201" s="94"/>
      <c r="G201" s="94"/>
      <c r="H201" s="94"/>
    </row>
    <row r="202" spans="3:8">
      <c r="C202" s="94"/>
      <c r="D202" s="94"/>
      <c r="E202" s="94"/>
      <c r="F202" s="94"/>
      <c r="G202" s="94"/>
      <c r="H202" s="94"/>
    </row>
    <row r="203" spans="3:8">
      <c r="C203" s="94"/>
      <c r="D203" s="94"/>
      <c r="E203" s="94"/>
      <c r="F203" s="94"/>
      <c r="G203" s="94"/>
      <c r="H203" s="94"/>
    </row>
    <row r="204" spans="3:8">
      <c r="C204" s="94"/>
      <c r="D204" s="94"/>
      <c r="E204" s="94"/>
      <c r="F204" s="94"/>
      <c r="G204" s="94"/>
      <c r="H204" s="94"/>
    </row>
    <row r="205" spans="3:8">
      <c r="C205" s="94"/>
      <c r="D205" s="94"/>
      <c r="E205" s="94"/>
      <c r="F205" s="94"/>
      <c r="G205" s="94"/>
      <c r="H205" s="94"/>
    </row>
    <row r="206" spans="3:8">
      <c r="C206" s="94"/>
      <c r="D206" s="94"/>
      <c r="E206" s="94"/>
      <c r="F206" s="94"/>
      <c r="G206" s="94"/>
      <c r="H206" s="94"/>
    </row>
    <row r="207" spans="3:8">
      <c r="C207" s="94"/>
      <c r="D207" s="94"/>
      <c r="E207" s="94"/>
      <c r="F207" s="94"/>
      <c r="G207" s="94"/>
      <c r="H207" s="94"/>
    </row>
    <row r="208" spans="3:8">
      <c r="C208" s="94"/>
      <c r="D208" s="94"/>
      <c r="E208" s="94"/>
      <c r="F208" s="94"/>
      <c r="G208" s="94"/>
      <c r="H208" s="94"/>
    </row>
    <row r="209" spans="3:8">
      <c r="C209" s="94"/>
      <c r="D209" s="94"/>
      <c r="E209" s="94"/>
      <c r="F209" s="94"/>
      <c r="G209" s="94"/>
      <c r="H209" s="94"/>
    </row>
    <row r="210" spans="3:8">
      <c r="C210" s="94"/>
      <c r="D210" s="94"/>
      <c r="E210" s="94"/>
      <c r="F210" s="94"/>
      <c r="G210" s="94"/>
      <c r="H210" s="94"/>
    </row>
    <row r="211" spans="3:8">
      <c r="C211" s="94"/>
      <c r="D211" s="94"/>
      <c r="E211" s="94"/>
      <c r="F211" s="94"/>
      <c r="G211" s="94"/>
      <c r="H211" s="94"/>
    </row>
    <row r="212" spans="3:8">
      <c r="C212" s="94"/>
      <c r="D212" s="94"/>
      <c r="E212" s="94"/>
      <c r="F212" s="94"/>
      <c r="G212" s="94"/>
      <c r="H212" s="94"/>
    </row>
    <row r="213" spans="3:8">
      <c r="C213" s="94"/>
      <c r="D213" s="94"/>
      <c r="E213" s="94"/>
      <c r="F213" s="94"/>
      <c r="G213" s="94"/>
      <c r="H213" s="94"/>
    </row>
    <row r="214" spans="3:8">
      <c r="C214" s="94"/>
      <c r="D214" s="94"/>
      <c r="E214" s="94"/>
      <c r="F214" s="94"/>
      <c r="G214" s="94"/>
      <c r="H214" s="94"/>
    </row>
    <row r="215" spans="3:8">
      <c r="C215" s="94"/>
      <c r="D215" s="94"/>
      <c r="E215" s="94"/>
      <c r="F215" s="94"/>
      <c r="G215" s="94"/>
      <c r="H215" s="94"/>
    </row>
    <row r="216" spans="3:8">
      <c r="C216" s="94"/>
      <c r="D216" s="94"/>
      <c r="E216" s="94"/>
      <c r="F216" s="94"/>
      <c r="G216" s="94"/>
      <c r="H216" s="94"/>
    </row>
    <row r="217" spans="3:8">
      <c r="C217" s="94"/>
      <c r="D217" s="94"/>
      <c r="E217" s="94"/>
      <c r="F217" s="94"/>
      <c r="G217" s="94"/>
      <c r="H217" s="94"/>
    </row>
    <row r="218" spans="3:8">
      <c r="C218" s="94"/>
      <c r="D218" s="94"/>
      <c r="E218" s="94"/>
      <c r="F218" s="94"/>
      <c r="G218" s="94"/>
      <c r="H218" s="94"/>
    </row>
    <row r="219" spans="3:8">
      <c r="C219" s="94"/>
      <c r="D219" s="94"/>
      <c r="E219" s="94"/>
      <c r="F219" s="94"/>
      <c r="G219" s="94"/>
      <c r="H219" s="94"/>
    </row>
    <row r="220" spans="3:8">
      <c r="C220" s="94"/>
      <c r="D220" s="94"/>
      <c r="E220" s="94"/>
      <c r="F220" s="94"/>
      <c r="G220" s="94"/>
      <c r="H220" s="94"/>
    </row>
    <row r="221" spans="3:8">
      <c r="C221" s="94"/>
      <c r="D221" s="94"/>
      <c r="E221" s="94"/>
      <c r="F221" s="94"/>
      <c r="G221" s="94"/>
      <c r="H221" s="94"/>
    </row>
    <row r="222" spans="3:8">
      <c r="C222" s="94"/>
      <c r="D222" s="94"/>
      <c r="E222" s="94"/>
      <c r="F222" s="94"/>
      <c r="G222" s="94"/>
      <c r="H222" s="94"/>
    </row>
    <row r="223" spans="3:8">
      <c r="C223" s="94"/>
      <c r="D223" s="94"/>
      <c r="E223" s="94"/>
      <c r="F223" s="94"/>
      <c r="G223" s="94"/>
      <c r="H223" s="94"/>
    </row>
    <row r="224" spans="3:8">
      <c r="C224" s="94"/>
      <c r="D224" s="94"/>
      <c r="E224" s="94"/>
      <c r="F224" s="94"/>
      <c r="G224" s="94"/>
      <c r="H224" s="94"/>
    </row>
    <row r="225" spans="3:8">
      <c r="C225" s="94"/>
      <c r="D225" s="94"/>
      <c r="E225" s="94"/>
      <c r="F225" s="94"/>
      <c r="G225" s="94"/>
      <c r="H225" s="94"/>
    </row>
    <row r="226" spans="3:8">
      <c r="C226" s="94"/>
      <c r="D226" s="94"/>
      <c r="E226" s="94"/>
      <c r="F226" s="94"/>
      <c r="G226" s="94"/>
      <c r="H226" s="94"/>
    </row>
    <row r="227" spans="3:8">
      <c r="C227" s="94"/>
      <c r="D227" s="94"/>
      <c r="E227" s="94"/>
      <c r="F227" s="94"/>
      <c r="G227" s="94"/>
      <c r="H227" s="94"/>
    </row>
    <row r="228" spans="3:8">
      <c r="C228" s="94"/>
      <c r="D228" s="94"/>
      <c r="E228" s="94"/>
      <c r="F228" s="94"/>
      <c r="G228" s="94"/>
      <c r="H228" s="94"/>
    </row>
    <row r="229" spans="3:8">
      <c r="C229" s="94"/>
      <c r="D229" s="94"/>
      <c r="E229" s="94"/>
      <c r="F229" s="94"/>
      <c r="G229" s="94"/>
      <c r="H229" s="94"/>
    </row>
    <row r="230" spans="3:8">
      <c r="C230" s="94"/>
      <c r="D230" s="94"/>
      <c r="E230" s="94"/>
      <c r="F230" s="94"/>
      <c r="G230" s="94"/>
      <c r="H230" s="94"/>
    </row>
    <row r="231" spans="3:8">
      <c r="C231" s="94"/>
      <c r="D231" s="94"/>
      <c r="E231" s="94"/>
      <c r="F231" s="94"/>
      <c r="G231" s="94"/>
      <c r="H231" s="94"/>
    </row>
    <row r="232" spans="3:8">
      <c r="C232" s="94"/>
      <c r="D232" s="94"/>
      <c r="E232" s="94"/>
      <c r="F232" s="94"/>
      <c r="G232" s="94"/>
      <c r="H232" s="94"/>
    </row>
    <row r="233" spans="3:8">
      <c r="C233" s="94"/>
      <c r="D233" s="94"/>
      <c r="E233" s="94"/>
      <c r="F233" s="94"/>
      <c r="G233" s="94"/>
      <c r="H233" s="94"/>
    </row>
    <row r="234" spans="3:8">
      <c r="C234" s="94"/>
      <c r="D234" s="94"/>
      <c r="E234" s="94"/>
      <c r="F234" s="94"/>
      <c r="G234" s="94"/>
      <c r="H234" s="94"/>
    </row>
    <row r="235" spans="3:8">
      <c r="C235" s="94"/>
      <c r="D235" s="94"/>
      <c r="E235" s="94"/>
      <c r="F235" s="94"/>
      <c r="G235" s="94"/>
      <c r="H235" s="94"/>
    </row>
    <row r="236" spans="3:8">
      <c r="C236" s="94"/>
      <c r="D236" s="94"/>
      <c r="E236" s="94"/>
      <c r="F236" s="94"/>
      <c r="G236" s="94"/>
      <c r="H236" s="94"/>
    </row>
    <row r="237" spans="3:8">
      <c r="C237" s="94"/>
      <c r="D237" s="94"/>
      <c r="E237" s="94"/>
      <c r="F237" s="94"/>
      <c r="G237" s="94"/>
      <c r="H237" s="94"/>
    </row>
    <row r="238" spans="3:8">
      <c r="C238" s="94"/>
      <c r="D238" s="94"/>
      <c r="E238" s="94"/>
      <c r="F238" s="94"/>
      <c r="G238" s="94"/>
      <c r="H238" s="94"/>
    </row>
    <row r="239" spans="3:8">
      <c r="C239" s="94"/>
      <c r="D239" s="94"/>
      <c r="E239" s="94"/>
      <c r="F239" s="94"/>
      <c r="G239" s="94"/>
      <c r="H239" s="94"/>
    </row>
    <row r="240" spans="3:8">
      <c r="C240" s="94"/>
      <c r="D240" s="94"/>
      <c r="E240" s="94"/>
      <c r="F240" s="94"/>
      <c r="G240" s="94"/>
      <c r="H240" s="94"/>
    </row>
    <row r="241" spans="3:8">
      <c r="C241" s="94"/>
      <c r="D241" s="94"/>
      <c r="E241" s="94"/>
      <c r="F241" s="94"/>
      <c r="G241" s="94"/>
      <c r="H241" s="94"/>
    </row>
    <row r="242" spans="3:8">
      <c r="C242" s="94"/>
      <c r="D242" s="94"/>
      <c r="E242" s="94"/>
      <c r="F242" s="94"/>
      <c r="G242" s="94"/>
      <c r="H242" s="94"/>
    </row>
    <row r="243" spans="3:8">
      <c r="C243" s="94"/>
      <c r="D243" s="94"/>
      <c r="E243" s="94"/>
      <c r="F243" s="94"/>
      <c r="G243" s="94"/>
      <c r="H243" s="94"/>
    </row>
    <row r="244" spans="3:8">
      <c r="C244" s="94"/>
      <c r="D244" s="94"/>
      <c r="E244" s="94"/>
      <c r="F244" s="94"/>
      <c r="G244" s="94"/>
      <c r="H244" s="94"/>
    </row>
    <row r="245" spans="3:8">
      <c r="C245" s="94"/>
      <c r="D245" s="94"/>
      <c r="E245" s="94"/>
      <c r="F245" s="94"/>
      <c r="G245" s="94"/>
      <c r="H245" s="94"/>
    </row>
    <row r="246" spans="3:8">
      <c r="C246" s="94"/>
      <c r="D246" s="94"/>
      <c r="E246" s="94"/>
      <c r="F246" s="94"/>
      <c r="G246" s="94"/>
      <c r="H246" s="94"/>
    </row>
    <row r="247" spans="3:8">
      <c r="C247" s="94"/>
      <c r="D247" s="94"/>
      <c r="E247" s="94"/>
      <c r="F247" s="94"/>
      <c r="G247" s="94"/>
      <c r="H247" s="94"/>
    </row>
    <row r="248" spans="3:8">
      <c r="C248" s="94"/>
      <c r="D248" s="94"/>
      <c r="E248" s="94"/>
      <c r="F248" s="94"/>
      <c r="G248" s="94"/>
      <c r="H248" s="94"/>
    </row>
    <row r="249" spans="3:8">
      <c r="C249" s="94"/>
      <c r="D249" s="94"/>
      <c r="E249" s="94"/>
      <c r="F249" s="94"/>
      <c r="G249" s="94"/>
      <c r="H249" s="94"/>
    </row>
    <row r="250" spans="3:8">
      <c r="C250" s="94"/>
      <c r="D250" s="94"/>
      <c r="E250" s="94"/>
      <c r="F250" s="94"/>
      <c r="G250" s="94"/>
      <c r="H250" s="94"/>
    </row>
    <row r="251" spans="3:8">
      <c r="C251" s="94"/>
      <c r="D251" s="94"/>
      <c r="E251" s="94"/>
      <c r="F251" s="94"/>
      <c r="G251" s="94"/>
      <c r="H251" s="94"/>
    </row>
    <row r="252" spans="3:8">
      <c r="C252" s="94"/>
      <c r="D252" s="94"/>
      <c r="E252" s="94"/>
      <c r="F252" s="94"/>
      <c r="G252" s="94"/>
      <c r="H252" s="94"/>
    </row>
    <row r="253" spans="3:8">
      <c r="C253" s="94"/>
      <c r="D253" s="94"/>
      <c r="E253" s="94"/>
      <c r="F253" s="94"/>
      <c r="G253" s="94"/>
      <c r="H253" s="94"/>
    </row>
    <row r="254" spans="3:8">
      <c r="C254" s="94"/>
      <c r="D254" s="94"/>
      <c r="E254" s="94"/>
      <c r="F254" s="94"/>
      <c r="G254" s="94"/>
      <c r="H254" s="94"/>
    </row>
    <row r="255" spans="3:8">
      <c r="C255" s="94"/>
      <c r="D255" s="94"/>
      <c r="E255" s="94"/>
      <c r="F255" s="94"/>
      <c r="G255" s="94"/>
      <c r="H255" s="94"/>
    </row>
    <row r="256" spans="3:8">
      <c r="C256" s="94"/>
      <c r="D256" s="94"/>
      <c r="E256" s="94"/>
      <c r="F256" s="94"/>
      <c r="G256" s="94"/>
      <c r="H256" s="94"/>
    </row>
    <row r="257" spans="3:8">
      <c r="C257" s="94"/>
      <c r="D257" s="94"/>
      <c r="E257" s="94"/>
      <c r="F257" s="94"/>
      <c r="G257" s="94"/>
      <c r="H257" s="94"/>
    </row>
    <row r="258" spans="3:8">
      <c r="C258" s="94"/>
      <c r="D258" s="94"/>
      <c r="E258" s="94"/>
      <c r="F258" s="94"/>
      <c r="G258" s="94"/>
      <c r="H258" s="94"/>
    </row>
    <row r="259" spans="3:8">
      <c r="C259" s="94"/>
      <c r="D259" s="94"/>
      <c r="E259" s="94"/>
      <c r="F259" s="94"/>
      <c r="G259" s="94"/>
      <c r="H259" s="94"/>
    </row>
    <row r="260" spans="3:8">
      <c r="C260" s="94"/>
      <c r="D260" s="94"/>
      <c r="E260" s="94"/>
      <c r="F260" s="94"/>
      <c r="G260" s="94"/>
      <c r="H260" s="94"/>
    </row>
    <row r="261" spans="3:8">
      <c r="C261" s="94"/>
      <c r="D261" s="94"/>
      <c r="E261" s="94"/>
      <c r="F261" s="94"/>
      <c r="G261" s="94"/>
      <c r="H261" s="94"/>
    </row>
    <row r="262" spans="3:8">
      <c r="C262" s="94"/>
      <c r="D262" s="94"/>
      <c r="E262" s="94"/>
      <c r="F262" s="94"/>
      <c r="G262" s="94"/>
      <c r="H262" s="94"/>
    </row>
    <row r="263" spans="3:8">
      <c r="C263" s="94"/>
      <c r="D263" s="94"/>
      <c r="E263" s="94"/>
      <c r="F263" s="94"/>
      <c r="G263" s="94"/>
      <c r="H263" s="94"/>
    </row>
    <row r="264" spans="3:8">
      <c r="C264" s="94"/>
      <c r="D264" s="94"/>
      <c r="E264" s="94"/>
      <c r="F264" s="94"/>
      <c r="G264" s="94"/>
      <c r="H264" s="94"/>
    </row>
    <row r="265" spans="3:8">
      <c r="C265" s="94"/>
      <c r="D265" s="94"/>
      <c r="E265" s="94"/>
      <c r="F265" s="94"/>
      <c r="G265" s="94"/>
      <c r="H265" s="94"/>
    </row>
    <row r="266" spans="3:8">
      <c r="C266" s="94"/>
      <c r="D266" s="94"/>
      <c r="E266" s="94"/>
      <c r="F266" s="94"/>
      <c r="G266" s="94"/>
      <c r="H266" s="94"/>
    </row>
    <row r="267" spans="3:8">
      <c r="C267" s="94"/>
      <c r="D267" s="94"/>
      <c r="E267" s="94"/>
      <c r="F267" s="94"/>
      <c r="G267" s="94"/>
      <c r="H267" s="94"/>
    </row>
    <row r="268" spans="3:8">
      <c r="C268" s="94"/>
      <c r="D268" s="94"/>
      <c r="E268" s="94"/>
      <c r="F268" s="94"/>
      <c r="G268" s="94"/>
      <c r="H268" s="94"/>
    </row>
    <row r="269" spans="3:8">
      <c r="C269" s="94"/>
      <c r="D269" s="94"/>
      <c r="E269" s="94"/>
      <c r="F269" s="94"/>
      <c r="G269" s="94"/>
      <c r="H269" s="94"/>
    </row>
    <row r="270" spans="3:8">
      <c r="C270" s="94"/>
      <c r="D270" s="94"/>
      <c r="E270" s="94"/>
      <c r="F270" s="94"/>
      <c r="G270" s="94"/>
      <c r="H270" s="94"/>
    </row>
    <row r="271" spans="3:8">
      <c r="C271" s="94"/>
      <c r="D271" s="94"/>
      <c r="E271" s="94"/>
      <c r="F271" s="94"/>
      <c r="G271" s="94"/>
      <c r="H271" s="94"/>
    </row>
    <row r="272" spans="3:8">
      <c r="C272" s="94"/>
      <c r="D272" s="94"/>
      <c r="E272" s="94"/>
      <c r="F272" s="94"/>
      <c r="G272" s="94"/>
      <c r="H272" s="94"/>
    </row>
    <row r="273" spans="3:8">
      <c r="C273" s="94"/>
      <c r="D273" s="94"/>
      <c r="E273" s="94"/>
      <c r="F273" s="94"/>
      <c r="G273" s="94"/>
      <c r="H273" s="94"/>
    </row>
    <row r="274" spans="3:8">
      <c r="C274" s="94"/>
      <c r="D274" s="94"/>
      <c r="E274" s="94"/>
      <c r="F274" s="94"/>
      <c r="G274" s="94"/>
      <c r="H274" s="94"/>
    </row>
    <row r="275" spans="3:8">
      <c r="C275" s="94"/>
      <c r="D275" s="94"/>
      <c r="E275" s="94"/>
      <c r="F275" s="94"/>
      <c r="G275" s="94"/>
      <c r="H275" s="94"/>
    </row>
    <row r="276" spans="3:8">
      <c r="C276" s="94"/>
      <c r="D276" s="94"/>
      <c r="E276" s="94"/>
      <c r="F276" s="94"/>
      <c r="G276" s="94"/>
      <c r="H276" s="94"/>
    </row>
    <row r="277" spans="3:8">
      <c r="C277" s="94"/>
      <c r="D277" s="94"/>
      <c r="E277" s="94"/>
      <c r="F277" s="94"/>
      <c r="G277" s="94"/>
      <c r="H277" s="94"/>
    </row>
    <row r="278" spans="3:8">
      <c r="C278" s="94"/>
      <c r="D278" s="94"/>
      <c r="E278" s="94"/>
      <c r="F278" s="94"/>
      <c r="G278" s="94"/>
      <c r="H278" s="94"/>
    </row>
    <row r="279" spans="3:8">
      <c r="C279" s="94"/>
      <c r="D279" s="94"/>
      <c r="E279" s="94"/>
      <c r="F279" s="94"/>
      <c r="G279" s="94"/>
      <c r="H279" s="94"/>
    </row>
    <row r="280" spans="3:8">
      <c r="C280" s="94"/>
      <c r="D280" s="94"/>
      <c r="E280" s="94"/>
      <c r="F280" s="94"/>
      <c r="G280" s="94"/>
      <c r="H280" s="94"/>
    </row>
    <row r="281" spans="3:8">
      <c r="C281" s="94"/>
      <c r="D281" s="94"/>
      <c r="E281" s="94"/>
      <c r="F281" s="94"/>
      <c r="G281" s="94"/>
      <c r="H281" s="94"/>
    </row>
    <row r="282" spans="3:8">
      <c r="C282" s="94"/>
      <c r="D282" s="94"/>
      <c r="E282" s="94"/>
      <c r="F282" s="94"/>
      <c r="G282" s="94"/>
      <c r="H282" s="94"/>
    </row>
    <row r="283" spans="3:8">
      <c r="C283" s="94"/>
      <c r="D283" s="94"/>
      <c r="E283" s="94"/>
      <c r="F283" s="94"/>
      <c r="G283" s="94"/>
      <c r="H283" s="94"/>
    </row>
    <row r="284" spans="3:8">
      <c r="C284" s="94"/>
      <c r="D284" s="94"/>
      <c r="E284" s="94"/>
      <c r="F284" s="94"/>
      <c r="G284" s="94"/>
      <c r="H284" s="94"/>
    </row>
    <row r="285" spans="3:8">
      <c r="C285" s="94"/>
      <c r="D285" s="94"/>
      <c r="E285" s="94"/>
      <c r="F285" s="94"/>
      <c r="G285" s="94"/>
      <c r="H285" s="94"/>
    </row>
    <row r="286" spans="3:8">
      <c r="C286" s="94"/>
      <c r="D286" s="94"/>
      <c r="E286" s="94"/>
      <c r="F286" s="94"/>
      <c r="G286" s="94"/>
      <c r="H286" s="94"/>
    </row>
    <row r="287" spans="3:8">
      <c r="C287" s="94"/>
      <c r="D287" s="94"/>
      <c r="E287" s="94"/>
      <c r="F287" s="94"/>
      <c r="G287" s="94"/>
      <c r="H287" s="94"/>
    </row>
    <row r="288" spans="3:8">
      <c r="C288" s="94"/>
      <c r="D288" s="94"/>
      <c r="E288" s="94"/>
      <c r="F288" s="94"/>
      <c r="G288" s="94"/>
      <c r="H288" s="94"/>
    </row>
    <row r="289" spans="3:8">
      <c r="C289" s="94"/>
      <c r="D289" s="94"/>
      <c r="E289" s="94"/>
      <c r="F289" s="94"/>
      <c r="G289" s="94"/>
      <c r="H289" s="94"/>
    </row>
    <row r="290" spans="3:8">
      <c r="C290" s="94"/>
      <c r="D290" s="94"/>
      <c r="E290" s="94"/>
      <c r="F290" s="94"/>
      <c r="G290" s="94"/>
      <c r="H290" s="94"/>
    </row>
    <row r="291" spans="3:8">
      <c r="C291" s="94"/>
      <c r="D291" s="94"/>
      <c r="E291" s="94"/>
      <c r="F291" s="94"/>
      <c r="G291" s="94"/>
      <c r="H291" s="94"/>
    </row>
    <row r="292" spans="3:8">
      <c r="C292" s="94"/>
      <c r="D292" s="94"/>
      <c r="E292" s="94"/>
      <c r="F292" s="94"/>
      <c r="G292" s="94"/>
      <c r="H292" s="94"/>
    </row>
    <row r="293" spans="3:8">
      <c r="C293" s="94"/>
      <c r="D293" s="94"/>
      <c r="E293" s="94"/>
      <c r="F293" s="94"/>
      <c r="G293" s="94"/>
      <c r="H293" s="94"/>
    </row>
    <row r="294" spans="3:8">
      <c r="C294" s="94"/>
      <c r="D294" s="94"/>
      <c r="E294" s="94"/>
      <c r="F294" s="94"/>
      <c r="G294" s="94"/>
      <c r="H294" s="94"/>
    </row>
    <row r="295" spans="3:8">
      <c r="C295" s="94"/>
      <c r="D295" s="94"/>
      <c r="E295" s="94"/>
      <c r="F295" s="94"/>
      <c r="G295" s="94"/>
      <c r="H295" s="94"/>
    </row>
    <row r="296" spans="3:8">
      <c r="C296" s="94"/>
      <c r="D296" s="94"/>
      <c r="E296" s="94"/>
      <c r="F296" s="94"/>
      <c r="G296" s="94"/>
      <c r="H296" s="94"/>
    </row>
    <row r="297" spans="3:8">
      <c r="C297" s="94"/>
      <c r="D297" s="94"/>
      <c r="E297" s="94"/>
      <c r="F297" s="94"/>
      <c r="G297" s="94"/>
      <c r="H297" s="94"/>
    </row>
    <row r="298" spans="3:8">
      <c r="C298" s="94"/>
      <c r="D298" s="94"/>
      <c r="E298" s="94"/>
      <c r="F298" s="94"/>
      <c r="G298" s="94"/>
      <c r="H298" s="94"/>
    </row>
    <row r="299" spans="3:8">
      <c r="C299" s="94"/>
      <c r="D299" s="94"/>
      <c r="E299" s="94"/>
      <c r="F299" s="94"/>
      <c r="G299" s="94"/>
      <c r="H299" s="94"/>
    </row>
    <row r="300" spans="3:8">
      <c r="C300" s="94"/>
      <c r="D300" s="94"/>
      <c r="E300" s="94"/>
      <c r="F300" s="94"/>
      <c r="G300" s="94"/>
      <c r="H300" s="94"/>
    </row>
    <row r="301" spans="3:8">
      <c r="C301" s="94"/>
      <c r="D301" s="94"/>
      <c r="E301" s="94"/>
      <c r="F301" s="94"/>
      <c r="G301" s="94"/>
      <c r="H301" s="94"/>
    </row>
    <row r="302" spans="3:8">
      <c r="C302" s="94"/>
      <c r="D302" s="94"/>
      <c r="E302" s="94"/>
      <c r="F302" s="94"/>
      <c r="G302" s="94"/>
      <c r="H302" s="94"/>
    </row>
    <row r="303" spans="3:8">
      <c r="C303" s="94"/>
      <c r="D303" s="94"/>
      <c r="E303" s="94"/>
      <c r="F303" s="94"/>
      <c r="G303" s="94"/>
      <c r="H303" s="94"/>
    </row>
    <row r="304" spans="3:8">
      <c r="C304" s="94"/>
      <c r="D304" s="94"/>
      <c r="E304" s="94"/>
      <c r="F304" s="94"/>
      <c r="G304" s="94"/>
      <c r="H304" s="94"/>
    </row>
    <row r="305" spans="3:8">
      <c r="C305" s="94"/>
      <c r="D305" s="94"/>
      <c r="E305" s="94"/>
      <c r="F305" s="94"/>
      <c r="G305" s="94"/>
      <c r="H305" s="94"/>
    </row>
    <row r="306" spans="3:8">
      <c r="C306" s="94"/>
      <c r="D306" s="94"/>
      <c r="E306" s="94"/>
      <c r="F306" s="94"/>
      <c r="G306" s="94"/>
      <c r="H306" s="94"/>
    </row>
    <row r="307" spans="3:8">
      <c r="C307" s="94"/>
      <c r="D307" s="94"/>
      <c r="E307" s="94"/>
      <c r="F307" s="94"/>
      <c r="G307" s="94"/>
      <c r="H307" s="94"/>
    </row>
    <row r="308" spans="3:8">
      <c r="C308" s="94"/>
      <c r="D308" s="94"/>
      <c r="E308" s="94"/>
      <c r="F308" s="94"/>
      <c r="G308" s="94"/>
      <c r="H308" s="94"/>
    </row>
    <row r="309" spans="3:8">
      <c r="C309" s="94"/>
      <c r="D309" s="94"/>
      <c r="E309" s="94"/>
      <c r="F309" s="94"/>
      <c r="G309" s="94"/>
      <c r="H309" s="94"/>
    </row>
    <row r="310" spans="3:8">
      <c r="C310" s="94"/>
      <c r="D310" s="94"/>
      <c r="E310" s="94"/>
      <c r="F310" s="94"/>
      <c r="G310" s="94"/>
      <c r="H310" s="94"/>
    </row>
    <row r="311" spans="3:8">
      <c r="C311" s="94"/>
      <c r="D311" s="94"/>
      <c r="E311" s="94"/>
      <c r="F311" s="94"/>
      <c r="G311" s="94"/>
      <c r="H311" s="94"/>
    </row>
    <row r="312" spans="3:8">
      <c r="C312" s="94"/>
      <c r="D312" s="94"/>
      <c r="E312" s="94"/>
      <c r="F312" s="94"/>
      <c r="G312" s="94"/>
      <c r="H312" s="94"/>
    </row>
    <row r="313" spans="3:8">
      <c r="C313" s="94"/>
      <c r="D313" s="94"/>
      <c r="E313" s="94"/>
      <c r="F313" s="94"/>
      <c r="G313" s="94"/>
      <c r="H313" s="94"/>
    </row>
    <row r="314" spans="3:8">
      <c r="C314" s="94"/>
      <c r="D314" s="94"/>
      <c r="E314" s="94"/>
      <c r="F314" s="94"/>
      <c r="G314" s="94"/>
      <c r="H314" s="94"/>
    </row>
    <row r="315" spans="3:8">
      <c r="C315" s="94"/>
      <c r="D315" s="94"/>
      <c r="E315" s="94"/>
      <c r="F315" s="94"/>
      <c r="G315" s="94"/>
      <c r="H315" s="94"/>
    </row>
    <row r="316" spans="3:8">
      <c r="C316" s="94"/>
      <c r="D316" s="94"/>
      <c r="E316" s="94"/>
      <c r="F316" s="94"/>
      <c r="G316" s="94"/>
      <c r="H316" s="94"/>
    </row>
    <row r="317" spans="3:8">
      <c r="C317" s="94"/>
      <c r="D317" s="94"/>
      <c r="E317" s="94"/>
      <c r="F317" s="94"/>
      <c r="G317" s="94"/>
      <c r="H317" s="94"/>
    </row>
    <row r="318" spans="3:8">
      <c r="C318" s="94"/>
      <c r="D318" s="94"/>
      <c r="E318" s="94"/>
      <c r="F318" s="94"/>
      <c r="G318" s="94"/>
      <c r="H318" s="94"/>
    </row>
    <row r="319" spans="3:8">
      <c r="C319" s="94"/>
      <c r="D319" s="94"/>
      <c r="E319" s="94"/>
      <c r="F319" s="94"/>
      <c r="G319" s="94"/>
      <c r="H319" s="94"/>
    </row>
    <row r="320" spans="3:8">
      <c r="C320" s="94"/>
      <c r="D320" s="94"/>
      <c r="E320" s="94"/>
      <c r="F320" s="94"/>
      <c r="G320" s="94"/>
      <c r="H320" s="94"/>
    </row>
    <row r="321" spans="3:8">
      <c r="C321" s="94"/>
      <c r="D321" s="94"/>
      <c r="E321" s="94"/>
      <c r="F321" s="94"/>
      <c r="G321" s="94"/>
      <c r="H321" s="94"/>
    </row>
    <row r="322" spans="3:8">
      <c r="C322" s="94"/>
      <c r="D322" s="94"/>
      <c r="E322" s="94"/>
      <c r="F322" s="94"/>
      <c r="G322" s="94"/>
      <c r="H322" s="94"/>
    </row>
    <row r="323" spans="3:8">
      <c r="C323" s="94"/>
      <c r="D323" s="94"/>
      <c r="E323" s="94"/>
      <c r="F323" s="94"/>
      <c r="G323" s="94"/>
      <c r="H323" s="94"/>
    </row>
    <row r="324" spans="3:8">
      <c r="C324" s="94"/>
      <c r="D324" s="94"/>
      <c r="E324" s="94"/>
      <c r="F324" s="94"/>
      <c r="G324" s="94"/>
      <c r="H324" s="94"/>
    </row>
    <row r="325" spans="3:8">
      <c r="C325" s="94"/>
      <c r="D325" s="94"/>
      <c r="E325" s="94"/>
      <c r="F325" s="94"/>
      <c r="G325" s="94"/>
      <c r="H325" s="94"/>
    </row>
    <row r="326" spans="3:8">
      <c r="C326" s="94"/>
      <c r="D326" s="94"/>
      <c r="E326" s="94"/>
      <c r="F326" s="94"/>
      <c r="G326" s="94"/>
      <c r="H326" s="94"/>
    </row>
    <row r="327" spans="3:8">
      <c r="C327" s="94"/>
      <c r="D327" s="94"/>
      <c r="E327" s="94"/>
      <c r="F327" s="94"/>
      <c r="G327" s="94"/>
      <c r="H327" s="94"/>
    </row>
    <row r="328" spans="3:8">
      <c r="C328" s="94"/>
      <c r="D328" s="94"/>
      <c r="E328" s="94"/>
      <c r="F328" s="94"/>
      <c r="G328" s="94"/>
      <c r="H328" s="94"/>
    </row>
    <row r="329" spans="3:8">
      <c r="C329" s="94"/>
      <c r="D329" s="94"/>
      <c r="E329" s="94"/>
      <c r="F329" s="94"/>
      <c r="G329" s="94"/>
      <c r="H329" s="94"/>
    </row>
    <row r="330" spans="3:8">
      <c r="C330" s="94"/>
      <c r="D330" s="94"/>
      <c r="E330" s="94"/>
      <c r="F330" s="94"/>
      <c r="G330" s="94"/>
      <c r="H330" s="94"/>
    </row>
    <row r="331" spans="3:8">
      <c r="C331" s="94"/>
      <c r="D331" s="94"/>
      <c r="E331" s="94"/>
      <c r="F331" s="94"/>
      <c r="G331" s="94"/>
      <c r="H331" s="94"/>
    </row>
    <row r="332" spans="3:8">
      <c r="C332" s="94"/>
      <c r="D332" s="94"/>
      <c r="E332" s="94"/>
      <c r="F332" s="94"/>
      <c r="G332" s="94"/>
      <c r="H332" s="94"/>
    </row>
    <row r="333" spans="3:8">
      <c r="C333" s="94"/>
      <c r="D333" s="94"/>
      <c r="E333" s="94"/>
      <c r="F333" s="94"/>
      <c r="G333" s="94"/>
      <c r="H333" s="94"/>
    </row>
    <row r="334" spans="3:8">
      <c r="C334" s="94"/>
      <c r="D334" s="94"/>
      <c r="E334" s="94"/>
      <c r="F334" s="94"/>
      <c r="G334" s="94"/>
      <c r="H334" s="94"/>
    </row>
    <row r="335" spans="3:8">
      <c r="C335" s="94"/>
      <c r="D335" s="94"/>
      <c r="E335" s="94"/>
      <c r="F335" s="94"/>
      <c r="G335" s="94"/>
      <c r="H335" s="94"/>
    </row>
    <row r="336" spans="3:8">
      <c r="C336" s="94"/>
      <c r="D336" s="94"/>
      <c r="E336" s="94"/>
      <c r="F336" s="94"/>
      <c r="G336" s="94"/>
      <c r="H336" s="94"/>
    </row>
    <row r="337" spans="3:8">
      <c r="C337" s="94"/>
      <c r="D337" s="94"/>
      <c r="E337" s="94"/>
      <c r="F337" s="94"/>
      <c r="G337" s="94"/>
      <c r="H337" s="94"/>
    </row>
    <row r="338" spans="3:8">
      <c r="C338" s="94"/>
      <c r="D338" s="94"/>
      <c r="E338" s="94"/>
      <c r="F338" s="94"/>
      <c r="G338" s="94"/>
      <c r="H338" s="94"/>
    </row>
    <row r="339" spans="3:8">
      <c r="C339" s="94"/>
      <c r="D339" s="94"/>
      <c r="E339" s="94"/>
      <c r="F339" s="94"/>
      <c r="G339" s="94"/>
      <c r="H339" s="94"/>
    </row>
    <row r="340" spans="3:8">
      <c r="C340" s="94"/>
      <c r="D340" s="94"/>
      <c r="E340" s="94"/>
      <c r="F340" s="94"/>
      <c r="G340" s="94"/>
      <c r="H340" s="94"/>
    </row>
    <row r="341" spans="3:8">
      <c r="C341" s="94"/>
      <c r="D341" s="94"/>
      <c r="E341" s="94"/>
      <c r="F341" s="94"/>
      <c r="G341" s="94"/>
      <c r="H341" s="94"/>
    </row>
    <row r="342" spans="3:8">
      <c r="C342" s="94"/>
      <c r="D342" s="94"/>
      <c r="E342" s="94"/>
      <c r="F342" s="94"/>
      <c r="G342" s="94"/>
      <c r="H342" s="94"/>
    </row>
    <row r="343" spans="3:8">
      <c r="C343" s="94"/>
      <c r="D343" s="94"/>
      <c r="E343" s="94"/>
      <c r="F343" s="94"/>
      <c r="G343" s="94"/>
      <c r="H343" s="94"/>
    </row>
    <row r="344" spans="3:8">
      <c r="C344" s="94"/>
      <c r="D344" s="94"/>
      <c r="E344" s="94"/>
      <c r="F344" s="94"/>
      <c r="G344" s="94"/>
      <c r="H344" s="94"/>
    </row>
    <row r="345" spans="3:8">
      <c r="C345" s="94"/>
      <c r="D345" s="94"/>
      <c r="E345" s="94"/>
      <c r="F345" s="94"/>
      <c r="G345" s="94"/>
      <c r="H345" s="94"/>
    </row>
    <row r="346" spans="3:8">
      <c r="C346" s="94"/>
      <c r="D346" s="94"/>
      <c r="E346" s="94"/>
      <c r="F346" s="94"/>
      <c r="G346" s="94"/>
      <c r="H346" s="94"/>
    </row>
    <row r="347" spans="3:8">
      <c r="C347" s="94"/>
      <c r="D347" s="94"/>
      <c r="E347" s="94"/>
      <c r="F347" s="94"/>
      <c r="G347" s="94"/>
      <c r="H347" s="94"/>
    </row>
    <row r="348" spans="3:8">
      <c r="C348" s="94"/>
      <c r="D348" s="94"/>
      <c r="E348" s="94"/>
      <c r="F348" s="94"/>
      <c r="G348" s="94"/>
      <c r="H348" s="94"/>
    </row>
    <row r="349" spans="3:8">
      <c r="C349" s="94"/>
      <c r="D349" s="94"/>
      <c r="E349" s="94"/>
      <c r="F349" s="94"/>
      <c r="G349" s="94"/>
      <c r="H349" s="94"/>
    </row>
    <row r="350" spans="3:8">
      <c r="C350" s="94"/>
      <c r="D350" s="94"/>
      <c r="E350" s="94"/>
      <c r="F350" s="94"/>
      <c r="G350" s="94"/>
      <c r="H350" s="94"/>
    </row>
    <row r="351" spans="3:8">
      <c r="C351" s="94"/>
      <c r="D351" s="94"/>
      <c r="E351" s="94"/>
      <c r="F351" s="94"/>
      <c r="G351" s="94"/>
      <c r="H351" s="94"/>
    </row>
    <row r="352" spans="3:8">
      <c r="C352" s="94"/>
      <c r="D352" s="94"/>
      <c r="E352" s="94"/>
      <c r="F352" s="94"/>
      <c r="G352" s="94"/>
      <c r="H352" s="94"/>
    </row>
    <row r="353" spans="3:8">
      <c r="C353" s="94"/>
      <c r="D353" s="94"/>
      <c r="E353" s="94"/>
      <c r="F353" s="94"/>
      <c r="G353" s="94"/>
      <c r="H353" s="94"/>
    </row>
    <row r="354" spans="3:8">
      <c r="C354" s="94"/>
      <c r="D354" s="94"/>
      <c r="E354" s="94"/>
      <c r="F354" s="94"/>
      <c r="G354" s="94"/>
      <c r="H354" s="94"/>
    </row>
    <row r="355" spans="3:8">
      <c r="C355" s="94"/>
      <c r="D355" s="94"/>
      <c r="E355" s="94"/>
      <c r="F355" s="94"/>
      <c r="G355" s="94"/>
      <c r="H355" s="94"/>
    </row>
    <row r="356" spans="3:8">
      <c r="C356" s="94"/>
      <c r="D356" s="94"/>
      <c r="E356" s="94"/>
      <c r="F356" s="94"/>
      <c r="G356" s="94"/>
      <c r="H356" s="94"/>
    </row>
    <row r="357" spans="3:8">
      <c r="C357" s="94"/>
      <c r="D357" s="94"/>
      <c r="E357" s="94"/>
      <c r="F357" s="94"/>
      <c r="G357" s="94"/>
      <c r="H357" s="94"/>
    </row>
    <row r="358" spans="3:8">
      <c r="C358" s="94"/>
      <c r="D358" s="94"/>
      <c r="E358" s="94"/>
      <c r="F358" s="94"/>
      <c r="G358" s="94"/>
      <c r="H358" s="94"/>
    </row>
    <row r="359" spans="3:8">
      <c r="C359" s="94"/>
      <c r="D359" s="94"/>
      <c r="E359" s="94"/>
      <c r="F359" s="94"/>
      <c r="G359" s="94"/>
      <c r="H359" s="94"/>
    </row>
    <row r="360" spans="3:8">
      <c r="C360" s="94"/>
      <c r="D360" s="94"/>
      <c r="E360" s="94"/>
      <c r="F360" s="94"/>
      <c r="G360" s="94"/>
      <c r="H360" s="94"/>
    </row>
    <row r="361" spans="3:8">
      <c r="C361" s="94"/>
      <c r="D361" s="94"/>
      <c r="E361" s="94"/>
      <c r="F361" s="94"/>
      <c r="G361" s="94"/>
      <c r="H361" s="94"/>
    </row>
    <row r="362" spans="3:8">
      <c r="C362" s="94"/>
      <c r="D362" s="94"/>
      <c r="E362" s="94"/>
      <c r="F362" s="94"/>
      <c r="G362" s="94"/>
      <c r="H362" s="94"/>
    </row>
    <row r="363" spans="3:8">
      <c r="C363" s="94"/>
      <c r="D363" s="94"/>
      <c r="E363" s="94"/>
      <c r="F363" s="94"/>
      <c r="G363" s="94"/>
      <c r="H363" s="94"/>
    </row>
    <row r="364" spans="3:8">
      <c r="C364" s="94"/>
      <c r="D364" s="94"/>
      <c r="E364" s="94"/>
      <c r="F364" s="94"/>
      <c r="G364" s="94"/>
      <c r="H364" s="94"/>
    </row>
    <row r="365" spans="3:8">
      <c r="C365" s="94"/>
      <c r="D365" s="94"/>
      <c r="E365" s="94"/>
      <c r="F365" s="94"/>
      <c r="G365" s="94"/>
      <c r="H365" s="94"/>
    </row>
    <row r="366" spans="3:8">
      <c r="C366" s="94"/>
      <c r="D366" s="94"/>
      <c r="E366" s="94"/>
      <c r="F366" s="94"/>
      <c r="G366" s="94"/>
      <c r="H366" s="94"/>
    </row>
    <row r="367" spans="3:8">
      <c r="C367" s="94"/>
      <c r="D367" s="94"/>
      <c r="E367" s="94"/>
      <c r="F367" s="94"/>
      <c r="G367" s="94"/>
      <c r="H367" s="94"/>
    </row>
    <row r="368" spans="3:8">
      <c r="C368" s="94"/>
      <c r="D368" s="94"/>
      <c r="E368" s="94"/>
      <c r="F368" s="94"/>
      <c r="G368" s="94"/>
      <c r="H368" s="94"/>
    </row>
    <row r="369" spans="3:8">
      <c r="C369" s="94"/>
      <c r="D369" s="94"/>
      <c r="E369" s="94"/>
      <c r="F369" s="94"/>
      <c r="G369" s="94"/>
      <c r="H369" s="94"/>
    </row>
    <row r="370" spans="3:8">
      <c r="C370" s="94"/>
      <c r="D370" s="94"/>
      <c r="E370" s="94"/>
      <c r="F370" s="94"/>
      <c r="G370" s="94"/>
      <c r="H370" s="94"/>
    </row>
    <row r="371" spans="3:8">
      <c r="C371" s="94"/>
      <c r="D371" s="94"/>
      <c r="E371" s="94"/>
      <c r="F371" s="94"/>
      <c r="G371" s="94"/>
      <c r="H371" s="94"/>
    </row>
    <row r="372" spans="3:8">
      <c r="C372" s="94"/>
      <c r="D372" s="94"/>
      <c r="E372" s="94"/>
      <c r="F372" s="94"/>
      <c r="G372" s="94"/>
      <c r="H372" s="94"/>
    </row>
    <row r="373" spans="3:8">
      <c r="C373" s="94"/>
      <c r="D373" s="94"/>
      <c r="E373" s="94"/>
      <c r="F373" s="94"/>
      <c r="G373" s="94"/>
      <c r="H373" s="94"/>
    </row>
    <row r="374" spans="3:8">
      <c r="C374" s="94"/>
      <c r="D374" s="94"/>
      <c r="E374" s="94"/>
      <c r="F374" s="94"/>
      <c r="G374" s="94"/>
      <c r="H374" s="94"/>
    </row>
    <row r="375" spans="3:8">
      <c r="C375" s="94"/>
      <c r="D375" s="94"/>
      <c r="E375" s="94"/>
      <c r="F375" s="94"/>
      <c r="G375" s="94"/>
      <c r="H375" s="94"/>
    </row>
    <row r="376" spans="3:8">
      <c r="C376" s="94"/>
      <c r="D376" s="94"/>
      <c r="E376" s="94"/>
      <c r="F376" s="94"/>
      <c r="G376" s="94"/>
      <c r="H376" s="94"/>
    </row>
    <row r="377" spans="3:8">
      <c r="C377" s="94"/>
      <c r="D377" s="94"/>
      <c r="E377" s="94"/>
      <c r="F377" s="94"/>
      <c r="G377" s="94"/>
      <c r="H377" s="94"/>
    </row>
    <row r="378" spans="3:8">
      <c r="C378" s="94"/>
      <c r="D378" s="94"/>
      <c r="E378" s="94"/>
      <c r="F378" s="94"/>
      <c r="G378" s="94"/>
      <c r="H378" s="94"/>
    </row>
    <row r="379" spans="3:8">
      <c r="C379" s="94"/>
      <c r="D379" s="94"/>
      <c r="E379" s="94"/>
      <c r="F379" s="94"/>
      <c r="G379" s="94"/>
      <c r="H379" s="94"/>
    </row>
    <row r="380" spans="3:8">
      <c r="C380" s="94"/>
      <c r="D380" s="94"/>
      <c r="E380" s="94"/>
      <c r="F380" s="94"/>
      <c r="G380" s="94"/>
      <c r="H380" s="94"/>
    </row>
    <row r="381" spans="3:8">
      <c r="C381" s="94"/>
      <c r="D381" s="94"/>
      <c r="E381" s="94"/>
      <c r="F381" s="94"/>
      <c r="G381" s="94"/>
      <c r="H381" s="94"/>
    </row>
    <row r="382" spans="3:8">
      <c r="C382" s="94"/>
      <c r="D382" s="94"/>
      <c r="E382" s="94"/>
      <c r="F382" s="94"/>
      <c r="G382" s="94"/>
      <c r="H382" s="94"/>
    </row>
    <row r="383" spans="3:8">
      <c r="C383" s="94"/>
      <c r="D383" s="94"/>
      <c r="E383" s="94"/>
      <c r="F383" s="94"/>
      <c r="G383" s="94"/>
      <c r="H383" s="94"/>
    </row>
    <row r="384" spans="3:8">
      <c r="C384" s="94"/>
      <c r="D384" s="94"/>
      <c r="E384" s="94"/>
      <c r="F384" s="94"/>
      <c r="G384" s="94"/>
      <c r="H384" s="94"/>
    </row>
    <row r="385" spans="3:8">
      <c r="C385" s="94"/>
      <c r="D385" s="94"/>
      <c r="E385" s="94"/>
      <c r="F385" s="94"/>
      <c r="G385" s="94"/>
      <c r="H385" s="94"/>
    </row>
    <row r="386" spans="3:8">
      <c r="C386" s="94"/>
      <c r="D386" s="94"/>
      <c r="E386" s="94"/>
      <c r="F386" s="94"/>
      <c r="G386" s="94"/>
      <c r="H386" s="94"/>
    </row>
    <row r="387" spans="3:8">
      <c r="C387" s="94"/>
      <c r="D387" s="94"/>
      <c r="E387" s="94"/>
      <c r="F387" s="94"/>
      <c r="G387" s="94"/>
      <c r="H387" s="94"/>
    </row>
    <row r="388" spans="3:8">
      <c r="C388" s="94"/>
      <c r="D388" s="94"/>
      <c r="E388" s="94"/>
      <c r="F388" s="94"/>
      <c r="G388" s="94"/>
      <c r="H388" s="94"/>
    </row>
    <row r="389" spans="3:8">
      <c r="C389" s="94"/>
      <c r="D389" s="94"/>
      <c r="E389" s="94"/>
      <c r="F389" s="94"/>
      <c r="G389" s="94"/>
      <c r="H389" s="94"/>
    </row>
    <row r="390" spans="3:8">
      <c r="C390" s="94"/>
      <c r="D390" s="94"/>
      <c r="E390" s="94"/>
      <c r="F390" s="94"/>
      <c r="G390" s="94"/>
      <c r="H390" s="94"/>
    </row>
    <row r="391" spans="3:8">
      <c r="C391" s="94"/>
      <c r="D391" s="94"/>
      <c r="E391" s="94"/>
      <c r="F391" s="94"/>
      <c r="G391" s="94"/>
      <c r="H391" s="94"/>
    </row>
    <row r="392" spans="3:8">
      <c r="C392" s="94"/>
      <c r="D392" s="94"/>
      <c r="E392" s="94"/>
      <c r="F392" s="94"/>
      <c r="G392" s="94"/>
      <c r="H392" s="94"/>
    </row>
    <row r="393" spans="3:8">
      <c r="C393" s="94"/>
      <c r="D393" s="94"/>
      <c r="E393" s="94"/>
      <c r="F393" s="94"/>
      <c r="G393" s="94"/>
      <c r="H393" s="94"/>
    </row>
    <row r="394" spans="3:8">
      <c r="C394" s="94"/>
      <c r="D394" s="94"/>
      <c r="E394" s="94"/>
      <c r="F394" s="94"/>
      <c r="G394" s="94"/>
      <c r="H394" s="94"/>
    </row>
    <row r="395" spans="3:8">
      <c r="C395" s="94"/>
      <c r="D395" s="94"/>
      <c r="E395" s="94"/>
      <c r="F395" s="94"/>
      <c r="G395" s="94"/>
      <c r="H395" s="94"/>
    </row>
    <row r="396" spans="3:8">
      <c r="C396" s="94"/>
      <c r="D396" s="94"/>
      <c r="E396" s="94"/>
      <c r="F396" s="94"/>
      <c r="G396" s="94"/>
      <c r="H396" s="94"/>
    </row>
    <row r="397" spans="3:8">
      <c r="C397" s="94"/>
      <c r="D397" s="94"/>
      <c r="E397" s="94"/>
      <c r="F397" s="94"/>
      <c r="G397" s="94"/>
      <c r="H397" s="94"/>
    </row>
    <row r="398" spans="3:8">
      <c r="C398" s="94"/>
      <c r="D398" s="94"/>
      <c r="E398" s="94"/>
      <c r="F398" s="94"/>
      <c r="G398" s="94"/>
      <c r="H398" s="94"/>
    </row>
    <row r="399" spans="3:8">
      <c r="C399" s="94"/>
      <c r="D399" s="94"/>
      <c r="E399" s="94"/>
      <c r="F399" s="94"/>
      <c r="G399" s="94"/>
      <c r="H399" s="94"/>
    </row>
    <row r="400" spans="3:8">
      <c r="C400" s="94"/>
      <c r="D400" s="94"/>
      <c r="E400" s="94"/>
      <c r="F400" s="94"/>
      <c r="G400" s="94"/>
      <c r="H400" s="94"/>
    </row>
    <row r="401" spans="3:8">
      <c r="C401" s="94"/>
      <c r="D401" s="94"/>
      <c r="E401" s="94"/>
      <c r="F401" s="94"/>
      <c r="G401" s="94"/>
      <c r="H401" s="94"/>
    </row>
    <row r="402" spans="3:8">
      <c r="C402" s="94"/>
      <c r="D402" s="94"/>
      <c r="E402" s="94"/>
      <c r="F402" s="94"/>
      <c r="G402" s="94"/>
      <c r="H402" s="94"/>
    </row>
    <row r="403" spans="3:8">
      <c r="C403" s="94"/>
      <c r="D403" s="94"/>
      <c r="E403" s="94"/>
      <c r="F403" s="94"/>
      <c r="G403" s="94"/>
      <c r="H403" s="94"/>
    </row>
    <row r="404" spans="3:8">
      <c r="C404" s="94"/>
      <c r="D404" s="94"/>
      <c r="E404" s="94"/>
      <c r="F404" s="94"/>
      <c r="G404" s="94"/>
      <c r="H404" s="94"/>
    </row>
    <row r="405" spans="3:8">
      <c r="C405" s="94"/>
      <c r="D405" s="94"/>
      <c r="E405" s="94"/>
      <c r="F405" s="94"/>
      <c r="G405" s="94"/>
      <c r="H405" s="94"/>
    </row>
    <row r="406" spans="3:8">
      <c r="C406" s="94"/>
      <c r="D406" s="94"/>
      <c r="E406" s="94"/>
      <c r="F406" s="94"/>
      <c r="G406" s="94"/>
      <c r="H406" s="94"/>
    </row>
    <row r="407" spans="3:8">
      <c r="C407" s="94"/>
      <c r="D407" s="94"/>
      <c r="E407" s="94"/>
      <c r="F407" s="94"/>
      <c r="G407" s="94"/>
      <c r="H407" s="94"/>
    </row>
    <row r="408" spans="3:8">
      <c r="C408" s="94"/>
      <c r="D408" s="94"/>
      <c r="E408" s="94"/>
      <c r="F408" s="94"/>
      <c r="G408" s="94"/>
      <c r="H408" s="94"/>
    </row>
    <row r="409" spans="3:8">
      <c r="C409" s="94"/>
      <c r="D409" s="94"/>
      <c r="E409" s="94"/>
      <c r="F409" s="94"/>
      <c r="G409" s="94"/>
      <c r="H409" s="94"/>
    </row>
    <row r="410" spans="3:8">
      <c r="C410" s="94"/>
      <c r="D410" s="94"/>
      <c r="E410" s="94"/>
      <c r="F410" s="94"/>
      <c r="G410" s="94"/>
      <c r="H410" s="94"/>
    </row>
    <row r="411" spans="3:8">
      <c r="C411" s="94"/>
      <c r="D411" s="94"/>
      <c r="E411" s="94"/>
      <c r="F411" s="94"/>
      <c r="G411" s="94"/>
      <c r="H411" s="94"/>
    </row>
    <row r="412" spans="3:8">
      <c r="C412" s="94"/>
      <c r="D412" s="94"/>
      <c r="E412" s="94"/>
      <c r="F412" s="94"/>
      <c r="G412" s="94"/>
      <c r="H412" s="94"/>
    </row>
    <row r="413" spans="3:8">
      <c r="C413" s="94"/>
      <c r="D413" s="94"/>
      <c r="E413" s="94"/>
      <c r="F413" s="94"/>
      <c r="G413" s="94"/>
      <c r="H413" s="94"/>
    </row>
    <row r="414" spans="3:8">
      <c r="C414" s="94"/>
      <c r="D414" s="94"/>
      <c r="E414" s="94"/>
      <c r="F414" s="94"/>
      <c r="G414" s="94"/>
      <c r="H414" s="94"/>
    </row>
    <row r="415" spans="3:8">
      <c r="C415" s="94"/>
      <c r="D415" s="94"/>
      <c r="E415" s="94"/>
      <c r="F415" s="94"/>
      <c r="G415" s="94"/>
      <c r="H415" s="94"/>
    </row>
    <row r="416" spans="3:8">
      <c r="C416" s="94"/>
      <c r="D416" s="94"/>
      <c r="E416" s="94"/>
      <c r="F416" s="94"/>
      <c r="G416" s="94"/>
      <c r="H416" s="94"/>
    </row>
    <row r="417" spans="3:8">
      <c r="C417" s="94"/>
      <c r="D417" s="94"/>
      <c r="E417" s="94"/>
      <c r="F417" s="94"/>
      <c r="G417" s="94"/>
      <c r="H417" s="94"/>
    </row>
    <row r="418" spans="3:8">
      <c r="C418" s="94"/>
      <c r="D418" s="94"/>
      <c r="E418" s="94"/>
      <c r="F418" s="94"/>
      <c r="G418" s="94"/>
      <c r="H418" s="94"/>
    </row>
    <row r="419" spans="3:8">
      <c r="C419" s="94"/>
      <c r="D419" s="94"/>
      <c r="E419" s="94"/>
      <c r="F419" s="94"/>
      <c r="G419" s="94"/>
      <c r="H419" s="94"/>
    </row>
    <row r="420" spans="3:8">
      <c r="C420" s="94"/>
      <c r="D420" s="94"/>
      <c r="E420" s="94"/>
      <c r="F420" s="94"/>
      <c r="G420" s="94"/>
      <c r="H420" s="94"/>
    </row>
    <row r="421" spans="3:8">
      <c r="C421" s="94"/>
      <c r="D421" s="94"/>
      <c r="E421" s="94"/>
      <c r="F421" s="94"/>
      <c r="G421" s="94"/>
      <c r="H421" s="94"/>
    </row>
    <row r="422" spans="3:8">
      <c r="C422" s="94"/>
      <c r="D422" s="94"/>
      <c r="E422" s="94"/>
      <c r="F422" s="94"/>
      <c r="G422" s="94"/>
      <c r="H422" s="94"/>
    </row>
    <row r="423" spans="3:8">
      <c r="C423" s="94"/>
      <c r="D423" s="94"/>
      <c r="E423" s="94"/>
      <c r="F423" s="94"/>
      <c r="G423" s="94"/>
      <c r="H423" s="94"/>
    </row>
    <row r="424" spans="3:8">
      <c r="C424" s="94"/>
      <c r="D424" s="94"/>
      <c r="E424" s="94"/>
      <c r="F424" s="94"/>
      <c r="G424" s="94"/>
      <c r="H424" s="94"/>
    </row>
    <row r="425" spans="3:8">
      <c r="C425" s="94"/>
      <c r="D425" s="94"/>
      <c r="E425" s="94"/>
      <c r="F425" s="94"/>
      <c r="G425" s="94"/>
      <c r="H425" s="94"/>
    </row>
    <row r="426" spans="3:8">
      <c r="C426" s="94"/>
      <c r="D426" s="94"/>
      <c r="E426" s="94"/>
      <c r="F426" s="94"/>
      <c r="G426" s="94"/>
      <c r="H426" s="94"/>
    </row>
    <row r="427" spans="3:8">
      <c r="C427" s="94"/>
      <c r="D427" s="94"/>
      <c r="E427" s="94"/>
      <c r="F427" s="94"/>
      <c r="G427" s="94"/>
      <c r="H427" s="94"/>
    </row>
    <row r="428" spans="3:8">
      <c r="C428" s="94"/>
      <c r="D428" s="94"/>
      <c r="E428" s="94"/>
      <c r="F428" s="94"/>
      <c r="G428" s="94"/>
      <c r="H428" s="94"/>
    </row>
    <row r="429" spans="3:8">
      <c r="C429" s="94"/>
      <c r="D429" s="94"/>
      <c r="E429" s="94"/>
      <c r="F429" s="94"/>
      <c r="G429" s="94"/>
      <c r="H429" s="94"/>
    </row>
    <row r="430" spans="3:8">
      <c r="C430" s="94"/>
      <c r="D430" s="94"/>
      <c r="E430" s="94"/>
      <c r="F430" s="94"/>
      <c r="G430" s="94"/>
      <c r="H430" s="94"/>
    </row>
    <row r="431" spans="3:8">
      <c r="C431" s="94"/>
      <c r="D431" s="94"/>
      <c r="E431" s="94"/>
      <c r="F431" s="94"/>
      <c r="G431" s="94"/>
      <c r="H431" s="94"/>
    </row>
    <row r="432" spans="3:8">
      <c r="C432" s="94"/>
      <c r="D432" s="94"/>
      <c r="E432" s="94"/>
      <c r="F432" s="94"/>
      <c r="G432" s="94"/>
      <c r="H432" s="94"/>
    </row>
    <row r="433" spans="3:8">
      <c r="C433" s="94"/>
      <c r="D433" s="94"/>
      <c r="E433" s="94"/>
      <c r="F433" s="94"/>
      <c r="G433" s="94"/>
      <c r="H433" s="94"/>
    </row>
    <row r="434" spans="3:8">
      <c r="C434" s="94"/>
      <c r="D434" s="94"/>
      <c r="E434" s="94"/>
      <c r="F434" s="94"/>
      <c r="G434" s="94"/>
      <c r="H434" s="94"/>
    </row>
    <row r="435" spans="3:8">
      <c r="C435" s="94"/>
      <c r="D435" s="94"/>
      <c r="E435" s="94"/>
      <c r="F435" s="94"/>
      <c r="G435" s="94"/>
      <c r="H435" s="94"/>
    </row>
    <row r="436" spans="3:8">
      <c r="C436" s="94"/>
      <c r="D436" s="94"/>
      <c r="E436" s="94"/>
      <c r="F436" s="94"/>
      <c r="G436" s="94"/>
      <c r="H436" s="94"/>
    </row>
    <row r="437" spans="3:8">
      <c r="C437" s="94"/>
      <c r="D437" s="94"/>
      <c r="E437" s="94"/>
      <c r="F437" s="94"/>
      <c r="G437" s="94"/>
      <c r="H437" s="94"/>
    </row>
    <row r="438" spans="3:8">
      <c r="C438" s="94"/>
      <c r="D438" s="94"/>
      <c r="E438" s="94"/>
      <c r="F438" s="94"/>
      <c r="G438" s="94"/>
      <c r="H438" s="94"/>
    </row>
    <row r="439" spans="3:8">
      <c r="C439" s="94"/>
      <c r="D439" s="94"/>
      <c r="E439" s="94"/>
      <c r="F439" s="94"/>
      <c r="G439" s="94"/>
      <c r="H439" s="94"/>
    </row>
    <row r="440" spans="3:8">
      <c r="C440" s="94"/>
      <c r="D440" s="94"/>
      <c r="E440" s="94"/>
      <c r="F440" s="94"/>
      <c r="G440" s="94"/>
      <c r="H440" s="94"/>
    </row>
    <row r="441" spans="3:8">
      <c r="C441" s="94"/>
      <c r="D441" s="94"/>
      <c r="E441" s="94"/>
      <c r="F441" s="94"/>
      <c r="G441" s="94"/>
      <c r="H441" s="94"/>
    </row>
    <row r="442" spans="3:8">
      <c r="C442" s="94"/>
      <c r="D442" s="94"/>
      <c r="E442" s="94"/>
      <c r="F442" s="94"/>
      <c r="G442" s="94"/>
      <c r="H442" s="94"/>
    </row>
  </sheetData>
  <phoneticPr fontId="5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16" sqref="E15:E16"/>
    </sheetView>
  </sheetViews>
  <sheetFormatPr defaultColWidth="9.140625" defaultRowHeight="12"/>
  <cols>
    <col min="1" max="1" width="24" style="134" bestFit="1" customWidth="1"/>
    <col min="2" max="16384" width="9.140625" style="134"/>
  </cols>
  <sheetData>
    <row r="1" spans="1:6" ht="45.75" customHeight="1">
      <c r="A1" s="134" t="s">
        <v>19</v>
      </c>
      <c r="B1" s="134" t="s">
        <v>534</v>
      </c>
    </row>
    <row r="2" spans="1:6">
      <c r="A2" s="180" t="s">
        <v>46</v>
      </c>
      <c r="B2" s="180"/>
      <c r="C2" s="180"/>
      <c r="D2" s="180" t="s">
        <v>47</v>
      </c>
      <c r="E2" s="180"/>
      <c r="F2" s="180"/>
    </row>
    <row r="3" spans="1:6">
      <c r="A3" s="134" t="s">
        <v>20</v>
      </c>
      <c r="B3" s="134" t="s">
        <v>13</v>
      </c>
      <c r="C3" s="134" t="s">
        <v>45</v>
      </c>
      <c r="D3" s="134" t="s">
        <v>20</v>
      </c>
      <c r="E3" s="134" t="s">
        <v>13</v>
      </c>
      <c r="F3" s="134" t="s">
        <v>45</v>
      </c>
    </row>
    <row r="4" spans="1:6">
      <c r="A4" s="14" t="s">
        <v>519</v>
      </c>
      <c r="B4" s="14" t="s">
        <v>531</v>
      </c>
      <c r="C4" s="14">
        <v>100</v>
      </c>
    </row>
    <row r="5" spans="1:6">
      <c r="A5" s="14" t="s">
        <v>520</v>
      </c>
      <c r="B5" s="14" t="s">
        <v>531</v>
      </c>
      <c r="C5" s="14">
        <v>400</v>
      </c>
    </row>
    <row r="6" spans="1:6">
      <c r="A6" s="14" t="s">
        <v>521</v>
      </c>
      <c r="B6" s="14" t="s">
        <v>531</v>
      </c>
      <c r="C6" s="14">
        <v>2000</v>
      </c>
    </row>
    <row r="7" spans="1:6">
      <c r="A7" s="14" t="s">
        <v>522</v>
      </c>
      <c r="B7" s="14" t="s">
        <v>532</v>
      </c>
      <c r="C7" s="14"/>
    </row>
    <row r="8" spans="1:6">
      <c r="A8" s="14" t="s">
        <v>523</v>
      </c>
      <c r="B8" s="14" t="s">
        <v>533</v>
      </c>
      <c r="C8" s="14">
        <v>2</v>
      </c>
    </row>
    <row r="9" spans="1:6">
      <c r="A9" s="134" t="s">
        <v>527</v>
      </c>
      <c r="B9" s="134" t="s">
        <v>533</v>
      </c>
      <c r="C9" s="134">
        <v>3</v>
      </c>
    </row>
  </sheetData>
  <dataConsolidate/>
  <mergeCells count="2">
    <mergeCell ref="A2:C2"/>
    <mergeCell ref="D2:F2"/>
  </mergeCells>
  <phoneticPr fontId="5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6:D249"/>
  <sheetViews>
    <sheetView topLeftCell="A25" workbookViewId="0">
      <selection activeCell="E13" sqref="E13"/>
    </sheetView>
  </sheetViews>
  <sheetFormatPr defaultColWidth="9.140625" defaultRowHeight="12"/>
  <cols>
    <col min="1" max="1" width="16.42578125" style="66" bestFit="1" customWidth="1"/>
    <col min="2" max="2" width="34.42578125" style="66" bestFit="1" customWidth="1"/>
    <col min="3" max="3" width="11.85546875" style="67" customWidth="1"/>
    <col min="4" max="16384" width="9.140625" style="66"/>
  </cols>
  <sheetData>
    <row r="6" spans="1:4">
      <c r="D6" s="66" t="s">
        <v>328</v>
      </c>
    </row>
    <row r="10" spans="1:4">
      <c r="A10" s="66" t="s">
        <v>516</v>
      </c>
      <c r="B10" s="66" t="s">
        <v>48</v>
      </c>
      <c r="C10" s="66" t="s">
        <v>327</v>
      </c>
    </row>
    <row r="11" spans="1:4">
      <c r="A11" s="66" t="s">
        <v>51</v>
      </c>
      <c r="B11" s="66" t="s">
        <v>331</v>
      </c>
    </row>
    <row r="12" spans="1:4">
      <c r="A12" s="66" t="s">
        <v>98</v>
      </c>
      <c r="B12" s="66" t="s">
        <v>376</v>
      </c>
    </row>
    <row r="13" spans="1:4">
      <c r="A13" s="66" t="s">
        <v>93</v>
      </c>
      <c r="B13" s="66" t="s">
        <v>371</v>
      </c>
    </row>
    <row r="14" spans="1:4">
      <c r="A14" s="66" t="s">
        <v>100</v>
      </c>
      <c r="B14" s="66" t="s">
        <v>378</v>
      </c>
    </row>
    <row r="15" spans="1:4">
      <c r="A15" s="66" t="s">
        <v>231</v>
      </c>
      <c r="B15" s="66" t="s">
        <v>497</v>
      </c>
    </row>
    <row r="16" spans="1:4">
      <c r="A16" s="66" t="s">
        <v>294</v>
      </c>
      <c r="B16" s="66" t="s">
        <v>505</v>
      </c>
    </row>
    <row r="17" spans="1:2">
      <c r="A17" s="66" t="s">
        <v>228</v>
      </c>
      <c r="B17" s="66" t="s">
        <v>494</v>
      </c>
    </row>
    <row r="18" spans="1:2">
      <c r="A18" s="66" t="s">
        <v>52</v>
      </c>
      <c r="B18" s="66" t="s">
        <v>332</v>
      </c>
    </row>
    <row r="19" spans="1:2">
      <c r="A19" s="66" t="s">
        <v>53</v>
      </c>
      <c r="B19" s="66" t="s">
        <v>333</v>
      </c>
    </row>
    <row r="20" spans="1:2">
      <c r="A20" s="66" t="s">
        <v>56</v>
      </c>
      <c r="B20" s="66" t="s">
        <v>336</v>
      </c>
    </row>
    <row r="21" spans="1:2">
      <c r="A21" s="66" t="s">
        <v>57</v>
      </c>
      <c r="B21" s="66" t="s">
        <v>337</v>
      </c>
    </row>
    <row r="22" spans="1:2">
      <c r="A22" s="66" t="s">
        <v>60</v>
      </c>
      <c r="B22" s="66" t="s">
        <v>340</v>
      </c>
    </row>
    <row r="23" spans="1:2">
      <c r="A23" s="66" t="s">
        <v>69</v>
      </c>
      <c r="B23" s="66" t="s">
        <v>348</v>
      </c>
    </row>
    <row r="24" spans="1:2">
      <c r="A24" s="66" t="s">
        <v>70</v>
      </c>
      <c r="B24" s="66" t="s">
        <v>336</v>
      </c>
    </row>
    <row r="25" spans="1:2">
      <c r="A25" s="66" t="s">
        <v>71</v>
      </c>
      <c r="B25" s="66" t="s">
        <v>349</v>
      </c>
    </row>
    <row r="26" spans="1:2">
      <c r="A26" s="66" t="s">
        <v>72</v>
      </c>
      <c r="B26" s="66" t="s">
        <v>350</v>
      </c>
    </row>
    <row r="27" spans="1:2">
      <c r="A27" s="66" t="s">
        <v>73</v>
      </c>
      <c r="B27" s="66" t="s">
        <v>351</v>
      </c>
    </row>
    <row r="28" spans="1:2">
      <c r="A28" s="66" t="s">
        <v>74</v>
      </c>
      <c r="B28" s="66" t="s">
        <v>352</v>
      </c>
    </row>
    <row r="29" spans="1:2">
      <c r="A29" s="66" t="s">
        <v>82</v>
      </c>
      <c r="B29" s="66" t="s">
        <v>360</v>
      </c>
    </row>
    <row r="30" spans="1:2">
      <c r="A30" s="66" t="s">
        <v>102</v>
      </c>
      <c r="B30" s="66" t="s">
        <v>380</v>
      </c>
    </row>
    <row r="31" spans="1:2">
      <c r="A31" s="66" t="s">
        <v>298</v>
      </c>
      <c r="B31" s="66" t="s">
        <v>509</v>
      </c>
    </row>
    <row r="32" spans="1:2">
      <c r="A32" s="66" t="s">
        <v>299</v>
      </c>
      <c r="B32" s="66" t="s">
        <v>510</v>
      </c>
    </row>
    <row r="33" spans="1:2">
      <c r="A33" s="66" t="s">
        <v>303</v>
      </c>
      <c r="B33" s="66" t="s">
        <v>514</v>
      </c>
    </row>
    <row r="34" spans="1:2">
      <c r="A34" s="66" t="s">
        <v>295</v>
      </c>
      <c r="B34" s="66" t="s">
        <v>506</v>
      </c>
    </row>
    <row r="35" spans="1:2">
      <c r="A35" s="66" t="s">
        <v>517</v>
      </c>
      <c r="B35" s="66" t="s">
        <v>518</v>
      </c>
    </row>
    <row r="36" spans="1:2">
      <c r="A36" s="66" t="s">
        <v>66</v>
      </c>
      <c r="B36" s="66" t="s">
        <v>345</v>
      </c>
    </row>
    <row r="37" spans="1:2">
      <c r="A37" s="66" t="s">
        <v>293</v>
      </c>
      <c r="B37" s="66" t="s">
        <v>222</v>
      </c>
    </row>
    <row r="38" spans="1:2">
      <c r="A38" s="66" t="s">
        <v>300</v>
      </c>
      <c r="B38" s="66" t="s">
        <v>511</v>
      </c>
    </row>
    <row r="39" spans="1:2">
      <c r="A39" s="66" t="s">
        <v>301</v>
      </c>
      <c r="B39" s="66" t="s">
        <v>512</v>
      </c>
    </row>
    <row r="40" spans="1:2">
      <c r="A40" s="66" t="s">
        <v>302</v>
      </c>
      <c r="B40" s="66" t="s">
        <v>513</v>
      </c>
    </row>
    <row r="41" spans="1:2">
      <c r="A41" s="66" t="s">
        <v>304</v>
      </c>
      <c r="B41" s="66" t="s">
        <v>515</v>
      </c>
    </row>
    <row r="42" spans="1:2">
      <c r="A42" s="66" t="s">
        <v>305</v>
      </c>
      <c r="B42" s="66" t="s">
        <v>306</v>
      </c>
    </row>
    <row r="43" spans="1:2">
      <c r="A43" s="66" t="s">
        <v>296</v>
      </c>
      <c r="B43" s="66" t="s">
        <v>507</v>
      </c>
    </row>
    <row r="44" spans="1:2">
      <c r="A44" s="66" t="s">
        <v>297</v>
      </c>
      <c r="B44" s="66" t="s">
        <v>508</v>
      </c>
    </row>
    <row r="45" spans="1:2">
      <c r="A45" s="66" t="s">
        <v>236</v>
      </c>
      <c r="B45" s="66" t="s">
        <v>500</v>
      </c>
    </row>
    <row r="46" spans="1:2">
      <c r="A46" s="66" t="s">
        <v>237</v>
      </c>
      <c r="B46" s="66" t="s">
        <v>501</v>
      </c>
    </row>
    <row r="47" spans="1:2">
      <c r="A47" s="66" t="s">
        <v>238</v>
      </c>
      <c r="B47" s="66" t="s">
        <v>502</v>
      </c>
    </row>
    <row r="48" spans="1:2">
      <c r="A48" s="66" t="s">
        <v>239</v>
      </c>
      <c r="B48" s="66" t="s">
        <v>503</v>
      </c>
    </row>
    <row r="49" spans="1:2">
      <c r="A49" s="66" t="s">
        <v>240</v>
      </c>
      <c r="B49" s="66" t="s">
        <v>504</v>
      </c>
    </row>
    <row r="50" spans="1:2">
      <c r="A50" s="66" t="s">
        <v>83</v>
      </c>
      <c r="B50" s="66" t="s">
        <v>361</v>
      </c>
    </row>
    <row r="51" spans="1:2">
      <c r="A51" s="66" t="s">
        <v>84</v>
      </c>
      <c r="B51" s="66" t="s">
        <v>362</v>
      </c>
    </row>
    <row r="52" spans="1:2">
      <c r="A52" s="66" t="s">
        <v>85</v>
      </c>
      <c r="B52" s="66" t="s">
        <v>363</v>
      </c>
    </row>
    <row r="53" spans="1:2">
      <c r="A53" s="66" t="s">
        <v>86</v>
      </c>
      <c r="B53" s="66" t="s">
        <v>364</v>
      </c>
    </row>
    <row r="54" spans="1:2">
      <c r="A54" s="66" t="s">
        <v>87</v>
      </c>
      <c r="B54" s="66" t="s">
        <v>365</v>
      </c>
    </row>
    <row r="55" spans="1:2">
      <c r="A55" s="66" t="s">
        <v>88</v>
      </c>
      <c r="B55" s="66" t="s">
        <v>366</v>
      </c>
    </row>
    <row r="56" spans="1:2">
      <c r="A56" s="66" t="s">
        <v>89</v>
      </c>
      <c r="B56" s="66" t="s">
        <v>367</v>
      </c>
    </row>
    <row r="57" spans="1:2">
      <c r="A57" s="66" t="s">
        <v>90</v>
      </c>
      <c r="B57" s="66" t="s">
        <v>368</v>
      </c>
    </row>
    <row r="58" spans="1:2">
      <c r="A58" s="66" t="s">
        <v>91</v>
      </c>
      <c r="B58" s="66" t="s">
        <v>369</v>
      </c>
    </row>
    <row r="59" spans="1:2">
      <c r="A59" s="66" t="s">
        <v>92</v>
      </c>
      <c r="B59" s="66" t="s">
        <v>370</v>
      </c>
    </row>
    <row r="60" spans="1:2">
      <c r="A60" s="66" t="s">
        <v>75</v>
      </c>
      <c r="B60" s="66" t="s">
        <v>353</v>
      </c>
    </row>
    <row r="61" spans="1:2">
      <c r="A61" s="66" t="s">
        <v>76</v>
      </c>
      <c r="B61" s="66" t="s">
        <v>354</v>
      </c>
    </row>
    <row r="62" spans="1:2">
      <c r="A62" s="66" t="s">
        <v>77</v>
      </c>
      <c r="B62" s="66" t="s">
        <v>355</v>
      </c>
    </row>
    <row r="63" spans="1:2">
      <c r="A63" s="66" t="s">
        <v>78</v>
      </c>
      <c r="B63" s="66" t="s">
        <v>356</v>
      </c>
    </row>
    <row r="64" spans="1:2">
      <c r="A64" s="66" t="s">
        <v>79</v>
      </c>
      <c r="B64" s="66" t="s">
        <v>357</v>
      </c>
    </row>
    <row r="65" spans="1:2">
      <c r="A65" s="66" t="s">
        <v>80</v>
      </c>
      <c r="B65" s="66" t="s">
        <v>358</v>
      </c>
    </row>
    <row r="66" spans="1:2">
      <c r="A66" s="66" t="s">
        <v>81</v>
      </c>
      <c r="B66" s="66" t="s">
        <v>359</v>
      </c>
    </row>
    <row r="67" spans="1:2">
      <c r="A67" s="66" t="s">
        <v>130</v>
      </c>
      <c r="B67" s="66" t="s">
        <v>402</v>
      </c>
    </row>
    <row r="68" spans="1:2">
      <c r="A68" s="66" t="s">
        <v>61</v>
      </c>
      <c r="B68" s="66" t="s">
        <v>341</v>
      </c>
    </row>
    <row r="69" spans="1:2">
      <c r="A69" s="66" t="s">
        <v>62</v>
      </c>
      <c r="B69" s="66" t="s">
        <v>342</v>
      </c>
    </row>
    <row r="70" spans="1:2">
      <c r="A70" s="66" t="s">
        <v>63</v>
      </c>
      <c r="B70" s="66" t="s">
        <v>343</v>
      </c>
    </row>
    <row r="71" spans="1:2">
      <c r="A71" s="66" t="s">
        <v>64</v>
      </c>
      <c r="B71" s="66" t="s">
        <v>344</v>
      </c>
    </row>
    <row r="72" spans="1:2">
      <c r="A72" s="66" t="s">
        <v>65</v>
      </c>
      <c r="B72" s="66" t="s">
        <v>345</v>
      </c>
    </row>
    <row r="73" spans="1:2">
      <c r="A73" s="66" t="s">
        <v>67</v>
      </c>
      <c r="B73" s="66" t="s">
        <v>346</v>
      </c>
    </row>
    <row r="74" spans="1:2">
      <c r="A74" s="66" t="s">
        <v>68</v>
      </c>
      <c r="B74" s="66" t="s">
        <v>347</v>
      </c>
    </row>
    <row r="75" spans="1:2">
      <c r="A75" s="66" t="s">
        <v>58</v>
      </c>
      <c r="B75" s="66" t="s">
        <v>338</v>
      </c>
    </row>
    <row r="76" spans="1:2">
      <c r="A76" s="66" t="s">
        <v>59</v>
      </c>
      <c r="B76" s="66" t="s">
        <v>339</v>
      </c>
    </row>
    <row r="77" spans="1:2">
      <c r="A77" s="66" t="s">
        <v>54</v>
      </c>
      <c r="B77" s="66" t="s">
        <v>334</v>
      </c>
    </row>
    <row r="78" spans="1:2">
      <c r="A78" s="66" t="s">
        <v>55</v>
      </c>
      <c r="B78" s="66" t="s">
        <v>335</v>
      </c>
    </row>
    <row r="79" spans="1:2">
      <c r="A79" s="66" t="s">
        <v>103</v>
      </c>
      <c r="B79" s="66" t="s">
        <v>381</v>
      </c>
    </row>
    <row r="80" spans="1:2">
      <c r="A80" s="66" t="s">
        <v>104</v>
      </c>
      <c r="B80" s="66" t="s">
        <v>382</v>
      </c>
    </row>
    <row r="81" spans="1:2">
      <c r="A81" s="66" t="s">
        <v>105</v>
      </c>
      <c r="B81" s="66" t="s">
        <v>383</v>
      </c>
    </row>
    <row r="82" spans="1:2">
      <c r="A82" s="66" t="s">
        <v>106</v>
      </c>
      <c r="B82" s="66" t="s">
        <v>384</v>
      </c>
    </row>
    <row r="83" spans="1:2">
      <c r="A83" s="66" t="s">
        <v>107</v>
      </c>
      <c r="B83" s="66" t="s">
        <v>385</v>
      </c>
    </row>
    <row r="84" spans="1:2">
      <c r="A84" s="66" t="s">
        <v>108</v>
      </c>
      <c r="B84" s="66" t="s">
        <v>344</v>
      </c>
    </row>
    <row r="85" spans="1:2">
      <c r="A85" s="66" t="s">
        <v>109</v>
      </c>
      <c r="B85" s="66" t="s">
        <v>386</v>
      </c>
    </row>
    <row r="86" spans="1:2">
      <c r="A86" s="66" t="s">
        <v>110</v>
      </c>
      <c r="B86" s="66" t="s">
        <v>386</v>
      </c>
    </row>
    <row r="87" spans="1:2">
      <c r="A87" s="66" t="s">
        <v>111</v>
      </c>
      <c r="B87" s="66" t="s">
        <v>387</v>
      </c>
    </row>
    <row r="88" spans="1:2">
      <c r="A88" s="66" t="s">
        <v>112</v>
      </c>
      <c r="B88" s="66" t="s">
        <v>388</v>
      </c>
    </row>
    <row r="89" spans="1:2">
      <c r="A89" s="66" t="s">
        <v>113</v>
      </c>
      <c r="B89" s="66" t="s">
        <v>389</v>
      </c>
    </row>
    <row r="90" spans="1:2">
      <c r="A90" s="66" t="s">
        <v>114</v>
      </c>
      <c r="B90" s="66" t="s">
        <v>346</v>
      </c>
    </row>
    <row r="91" spans="1:2">
      <c r="A91" s="66" t="s">
        <v>115</v>
      </c>
      <c r="B91" s="66" t="s">
        <v>347</v>
      </c>
    </row>
    <row r="92" spans="1:2">
      <c r="A92" s="66" t="s">
        <v>116</v>
      </c>
      <c r="B92" s="66" t="s">
        <v>390</v>
      </c>
    </row>
    <row r="93" spans="1:2">
      <c r="A93" s="66" t="s">
        <v>117</v>
      </c>
      <c r="B93" s="66" t="s">
        <v>391</v>
      </c>
    </row>
    <row r="94" spans="1:2">
      <c r="A94" s="66" t="s">
        <v>118</v>
      </c>
      <c r="B94" s="66" t="s">
        <v>392</v>
      </c>
    </row>
    <row r="95" spans="1:2">
      <c r="A95" s="66" t="s">
        <v>119</v>
      </c>
      <c r="B95" s="66" t="s">
        <v>393</v>
      </c>
    </row>
    <row r="96" spans="1:2">
      <c r="A96" s="66" t="s">
        <v>120</v>
      </c>
      <c r="B96" s="66" t="s">
        <v>394</v>
      </c>
    </row>
    <row r="97" spans="1:2">
      <c r="A97" s="66" t="s">
        <v>121</v>
      </c>
      <c r="B97" s="66" t="s">
        <v>395</v>
      </c>
    </row>
    <row r="98" spans="1:2">
      <c r="A98" s="66" t="s">
        <v>122</v>
      </c>
      <c r="B98" s="66" t="s">
        <v>396</v>
      </c>
    </row>
    <row r="99" spans="1:2">
      <c r="A99" s="66" t="s">
        <v>123</v>
      </c>
      <c r="B99" s="66" t="s">
        <v>397</v>
      </c>
    </row>
    <row r="100" spans="1:2">
      <c r="A100" s="66" t="s">
        <v>124</v>
      </c>
      <c r="B100" s="66" t="s">
        <v>398</v>
      </c>
    </row>
    <row r="101" spans="1:2">
      <c r="A101" s="66" t="s">
        <v>125</v>
      </c>
      <c r="B101" s="66" t="s">
        <v>399</v>
      </c>
    </row>
    <row r="102" spans="1:2">
      <c r="A102" s="66" t="s">
        <v>126</v>
      </c>
      <c r="B102" s="66" t="s">
        <v>400</v>
      </c>
    </row>
    <row r="103" spans="1:2">
      <c r="A103" s="66" t="s">
        <v>127</v>
      </c>
      <c r="B103" s="66" t="s">
        <v>401</v>
      </c>
    </row>
    <row r="104" spans="1:2">
      <c r="A104" s="66" t="s">
        <v>232</v>
      </c>
      <c r="B104" s="66" t="s">
        <v>498</v>
      </c>
    </row>
    <row r="105" spans="1:2">
      <c r="A105" s="66" t="s">
        <v>233</v>
      </c>
      <c r="B105" s="66" t="s">
        <v>499</v>
      </c>
    </row>
    <row r="106" spans="1:2">
      <c r="A106" s="66" t="s">
        <v>229</v>
      </c>
      <c r="B106" s="66" t="s">
        <v>495</v>
      </c>
    </row>
    <row r="107" spans="1:2">
      <c r="A107" s="66" t="s">
        <v>230</v>
      </c>
      <c r="B107" s="66" t="s">
        <v>496</v>
      </c>
    </row>
    <row r="108" spans="1:2">
      <c r="A108" s="66" t="s">
        <v>101</v>
      </c>
      <c r="B108" s="66" t="s">
        <v>379</v>
      </c>
    </row>
    <row r="109" spans="1:2">
      <c r="A109" s="66" t="s">
        <v>94</v>
      </c>
      <c r="B109" s="66" t="s">
        <v>372</v>
      </c>
    </row>
    <row r="110" spans="1:2">
      <c r="A110" s="66" t="s">
        <v>95</v>
      </c>
      <c r="B110" s="66" t="s">
        <v>373</v>
      </c>
    </row>
    <row r="111" spans="1:2">
      <c r="A111" s="66" t="s">
        <v>96</v>
      </c>
      <c r="B111" s="66" t="s">
        <v>374</v>
      </c>
    </row>
    <row r="112" spans="1:2">
      <c r="A112" s="66" t="s">
        <v>97</v>
      </c>
      <c r="B112" s="66" t="s">
        <v>375</v>
      </c>
    </row>
    <row r="113" spans="1:2">
      <c r="A113" s="66" t="s">
        <v>99</v>
      </c>
      <c r="B113" s="66" t="s">
        <v>377</v>
      </c>
    </row>
    <row r="114" spans="1:2">
      <c r="A114" s="66" t="s">
        <v>49</v>
      </c>
      <c r="B114" s="66" t="s">
        <v>329</v>
      </c>
    </row>
    <row r="115" spans="1:2">
      <c r="A115" s="66" t="s">
        <v>50</v>
      </c>
      <c r="B115" s="66" t="s">
        <v>330</v>
      </c>
    </row>
    <row r="116" spans="1:2">
      <c r="A116" s="66" t="s">
        <v>131</v>
      </c>
      <c r="B116" s="66" t="s">
        <v>403</v>
      </c>
    </row>
    <row r="117" spans="1:2">
      <c r="A117" s="66" t="s">
        <v>132</v>
      </c>
      <c r="B117" s="66" t="s">
        <v>404</v>
      </c>
    </row>
    <row r="118" spans="1:2">
      <c r="A118" s="66" t="s">
        <v>133</v>
      </c>
      <c r="B118" s="66" t="s">
        <v>405</v>
      </c>
    </row>
    <row r="119" spans="1:2">
      <c r="A119" s="66" t="s">
        <v>134</v>
      </c>
      <c r="B119" s="66" t="s">
        <v>406</v>
      </c>
    </row>
    <row r="120" spans="1:2">
      <c r="A120" s="66" t="s">
        <v>135</v>
      </c>
      <c r="B120" s="66" t="s">
        <v>407</v>
      </c>
    </row>
    <row r="121" spans="1:2">
      <c r="A121" s="66" t="s">
        <v>136</v>
      </c>
      <c r="B121" s="66" t="s">
        <v>408</v>
      </c>
    </row>
    <row r="122" spans="1:2">
      <c r="A122" s="66" t="s">
        <v>137</v>
      </c>
      <c r="B122" s="66" t="s">
        <v>409</v>
      </c>
    </row>
    <row r="123" spans="1:2">
      <c r="A123" s="66" t="s">
        <v>138</v>
      </c>
      <c r="B123" s="66" t="s">
        <v>410</v>
      </c>
    </row>
    <row r="124" spans="1:2">
      <c r="A124" s="66" t="s">
        <v>139</v>
      </c>
      <c r="B124" s="66" t="s">
        <v>411</v>
      </c>
    </row>
    <row r="125" spans="1:2">
      <c r="A125" s="66" t="s">
        <v>140</v>
      </c>
      <c r="B125" s="66" t="s">
        <v>412</v>
      </c>
    </row>
    <row r="126" spans="1:2">
      <c r="A126" s="66" t="s">
        <v>141</v>
      </c>
      <c r="B126" s="66" t="s">
        <v>413</v>
      </c>
    </row>
    <row r="127" spans="1:2">
      <c r="A127" s="66" t="s">
        <v>142</v>
      </c>
      <c r="B127" s="66" t="s">
        <v>414</v>
      </c>
    </row>
    <row r="128" spans="1:2">
      <c r="A128" s="66" t="s">
        <v>143</v>
      </c>
      <c r="B128" s="66" t="s">
        <v>415</v>
      </c>
    </row>
    <row r="129" spans="1:2">
      <c r="A129" s="66" t="s">
        <v>144</v>
      </c>
      <c r="B129" s="66" t="s">
        <v>416</v>
      </c>
    </row>
    <row r="130" spans="1:2">
      <c r="A130" s="66" t="s">
        <v>145</v>
      </c>
      <c r="B130" s="66" t="s">
        <v>417</v>
      </c>
    </row>
    <row r="131" spans="1:2">
      <c r="A131" s="66" t="s">
        <v>146</v>
      </c>
      <c r="B131" s="66" t="s">
        <v>418</v>
      </c>
    </row>
    <row r="132" spans="1:2">
      <c r="A132" s="66" t="s">
        <v>147</v>
      </c>
      <c r="B132" s="66" t="s">
        <v>419</v>
      </c>
    </row>
    <row r="133" spans="1:2">
      <c r="A133" s="66" t="s">
        <v>148</v>
      </c>
      <c r="B133" s="66" t="s">
        <v>420</v>
      </c>
    </row>
    <row r="134" spans="1:2">
      <c r="A134" s="66" t="s">
        <v>149</v>
      </c>
      <c r="B134" s="66" t="s">
        <v>421</v>
      </c>
    </row>
    <row r="135" spans="1:2">
      <c r="A135" s="66" t="s">
        <v>150</v>
      </c>
      <c r="B135" s="66" t="s">
        <v>422</v>
      </c>
    </row>
    <row r="136" spans="1:2">
      <c r="A136" s="66" t="s">
        <v>151</v>
      </c>
      <c r="B136" s="66" t="s">
        <v>423</v>
      </c>
    </row>
    <row r="137" spans="1:2">
      <c r="A137" s="66" t="s">
        <v>152</v>
      </c>
      <c r="B137" s="66" t="s">
        <v>424</v>
      </c>
    </row>
    <row r="138" spans="1:2">
      <c r="A138" s="66" t="s">
        <v>153</v>
      </c>
      <c r="B138" s="66" t="s">
        <v>425</v>
      </c>
    </row>
    <row r="139" spans="1:2">
      <c r="A139" s="66" t="s">
        <v>154</v>
      </c>
      <c r="B139" s="66" t="s">
        <v>426</v>
      </c>
    </row>
    <row r="140" spans="1:2">
      <c r="A140" s="66" t="s">
        <v>155</v>
      </c>
      <c r="B140" s="66" t="s">
        <v>427</v>
      </c>
    </row>
    <row r="141" spans="1:2">
      <c r="A141" s="66" t="s">
        <v>156</v>
      </c>
      <c r="B141" s="66" t="s">
        <v>428</v>
      </c>
    </row>
    <row r="142" spans="1:2">
      <c r="A142" s="66" t="s">
        <v>157</v>
      </c>
      <c r="B142" s="66" t="s">
        <v>429</v>
      </c>
    </row>
    <row r="143" spans="1:2">
      <c r="A143" s="66" t="s">
        <v>158</v>
      </c>
      <c r="B143" s="66" t="s">
        <v>430</v>
      </c>
    </row>
    <row r="144" spans="1:2">
      <c r="A144" s="66" t="s">
        <v>159</v>
      </c>
      <c r="B144" s="66" t="s">
        <v>431</v>
      </c>
    </row>
    <row r="145" spans="1:2">
      <c r="A145" s="66" t="s">
        <v>160</v>
      </c>
      <c r="B145" s="66" t="s">
        <v>432</v>
      </c>
    </row>
    <row r="146" spans="1:2">
      <c r="A146" s="66" t="s">
        <v>161</v>
      </c>
      <c r="B146" s="66" t="s">
        <v>433</v>
      </c>
    </row>
    <row r="147" spans="1:2">
      <c r="A147" s="66" t="s">
        <v>162</v>
      </c>
      <c r="B147" s="66" t="s">
        <v>434</v>
      </c>
    </row>
    <row r="148" spans="1:2">
      <c r="A148" s="66" t="s">
        <v>163</v>
      </c>
      <c r="B148" s="66" t="s">
        <v>435</v>
      </c>
    </row>
    <row r="149" spans="1:2">
      <c r="A149" s="66" t="s">
        <v>164</v>
      </c>
      <c r="B149" s="66" t="s">
        <v>436</v>
      </c>
    </row>
    <row r="150" spans="1:2">
      <c r="A150" s="66" t="s">
        <v>165</v>
      </c>
      <c r="B150" s="66" t="s">
        <v>437</v>
      </c>
    </row>
    <row r="151" spans="1:2">
      <c r="A151" s="66" t="s">
        <v>166</v>
      </c>
      <c r="B151" s="66" t="s">
        <v>438</v>
      </c>
    </row>
    <row r="152" spans="1:2">
      <c r="A152" s="66" t="s">
        <v>167</v>
      </c>
      <c r="B152" s="66" t="s">
        <v>439</v>
      </c>
    </row>
    <row r="153" spans="1:2">
      <c r="A153" s="66" t="s">
        <v>168</v>
      </c>
      <c r="B153" s="66" t="s">
        <v>440</v>
      </c>
    </row>
    <row r="154" spans="1:2">
      <c r="A154" s="66" t="s">
        <v>169</v>
      </c>
      <c r="B154" s="66" t="s">
        <v>441</v>
      </c>
    </row>
    <row r="155" spans="1:2">
      <c r="A155" s="66" t="s">
        <v>170</v>
      </c>
      <c r="B155" s="66" t="s">
        <v>442</v>
      </c>
    </row>
    <row r="156" spans="1:2">
      <c r="A156" s="66" t="s">
        <v>171</v>
      </c>
      <c r="B156" s="66" t="s">
        <v>443</v>
      </c>
    </row>
    <row r="157" spans="1:2">
      <c r="A157" s="66" t="s">
        <v>172</v>
      </c>
      <c r="B157" s="66" t="s">
        <v>444</v>
      </c>
    </row>
    <row r="158" spans="1:2">
      <c r="A158" s="66" t="s">
        <v>173</v>
      </c>
      <c r="B158" s="66" t="s">
        <v>445</v>
      </c>
    </row>
    <row r="159" spans="1:2">
      <c r="A159" s="66" t="s">
        <v>174</v>
      </c>
      <c r="B159" s="66" t="s">
        <v>446</v>
      </c>
    </row>
    <row r="160" spans="1:2">
      <c r="A160" s="66" t="s">
        <v>175</v>
      </c>
      <c r="B160" s="66" t="s">
        <v>447</v>
      </c>
    </row>
    <row r="161" spans="1:2">
      <c r="A161" s="66" t="s">
        <v>176</v>
      </c>
      <c r="B161" s="66" t="s">
        <v>448</v>
      </c>
    </row>
    <row r="162" spans="1:2">
      <c r="A162" s="66" t="s">
        <v>177</v>
      </c>
      <c r="B162" s="66" t="s">
        <v>449</v>
      </c>
    </row>
    <row r="163" spans="1:2">
      <c r="A163" s="66" t="s">
        <v>178</v>
      </c>
      <c r="B163" s="66" t="s">
        <v>450</v>
      </c>
    </row>
    <row r="164" spans="1:2">
      <c r="A164" s="66" t="s">
        <v>179</v>
      </c>
      <c r="B164" s="66" t="s">
        <v>451</v>
      </c>
    </row>
    <row r="165" spans="1:2">
      <c r="A165" s="66" t="s">
        <v>180</v>
      </c>
      <c r="B165" s="66" t="s">
        <v>452</v>
      </c>
    </row>
    <row r="166" spans="1:2">
      <c r="A166" s="66" t="s">
        <v>181</v>
      </c>
      <c r="B166" s="66" t="s">
        <v>453</v>
      </c>
    </row>
    <row r="167" spans="1:2">
      <c r="A167" s="66" t="s">
        <v>182</v>
      </c>
      <c r="B167" s="66" t="s">
        <v>388</v>
      </c>
    </row>
    <row r="168" spans="1:2">
      <c r="A168" s="66" t="s">
        <v>183</v>
      </c>
      <c r="B168" s="66" t="s">
        <v>388</v>
      </c>
    </row>
    <row r="169" spans="1:2">
      <c r="A169" s="66" t="s">
        <v>184</v>
      </c>
      <c r="B169" s="66" t="s">
        <v>454</v>
      </c>
    </row>
    <row r="170" spans="1:2">
      <c r="A170" s="66" t="s">
        <v>185</v>
      </c>
      <c r="B170" s="66" t="s">
        <v>455</v>
      </c>
    </row>
    <row r="171" spans="1:2">
      <c r="A171" s="66" t="s">
        <v>186</v>
      </c>
      <c r="B171" s="66" t="s">
        <v>456</v>
      </c>
    </row>
    <row r="172" spans="1:2">
      <c r="A172" s="66" t="s">
        <v>187</v>
      </c>
      <c r="B172" s="66" t="s">
        <v>457</v>
      </c>
    </row>
    <row r="173" spans="1:2">
      <c r="A173" s="66" t="s">
        <v>188</v>
      </c>
      <c r="B173" s="66" t="s">
        <v>458</v>
      </c>
    </row>
    <row r="174" spans="1:2">
      <c r="A174" s="66" t="s">
        <v>189</v>
      </c>
      <c r="B174" s="66" t="s">
        <v>459</v>
      </c>
    </row>
    <row r="175" spans="1:2">
      <c r="A175" s="66" t="s">
        <v>190</v>
      </c>
      <c r="B175" s="66" t="s">
        <v>460</v>
      </c>
    </row>
    <row r="176" spans="1:2">
      <c r="A176" s="66" t="s">
        <v>191</v>
      </c>
      <c r="B176" s="66" t="s">
        <v>461</v>
      </c>
    </row>
    <row r="177" spans="1:2">
      <c r="A177" s="66" t="s">
        <v>192</v>
      </c>
      <c r="B177" s="66" t="s">
        <v>462</v>
      </c>
    </row>
    <row r="178" spans="1:2">
      <c r="A178" s="66" t="s">
        <v>193</v>
      </c>
      <c r="B178" s="66" t="s">
        <v>463</v>
      </c>
    </row>
    <row r="179" spans="1:2">
      <c r="A179" s="66" t="s">
        <v>194</v>
      </c>
      <c r="B179" s="66" t="s">
        <v>464</v>
      </c>
    </row>
    <row r="180" spans="1:2">
      <c r="A180" s="66" t="s">
        <v>195</v>
      </c>
      <c r="B180" s="66" t="s">
        <v>465</v>
      </c>
    </row>
    <row r="181" spans="1:2">
      <c r="A181" s="66" t="s">
        <v>196</v>
      </c>
      <c r="B181" s="66" t="s">
        <v>466</v>
      </c>
    </row>
    <row r="182" spans="1:2">
      <c r="A182" s="66" t="s">
        <v>197</v>
      </c>
      <c r="B182" s="66" t="s">
        <v>467</v>
      </c>
    </row>
    <row r="183" spans="1:2">
      <c r="A183" s="66" t="s">
        <v>198</v>
      </c>
      <c r="B183" s="66" t="s">
        <v>468</v>
      </c>
    </row>
    <row r="184" spans="1:2">
      <c r="A184" s="66" t="s">
        <v>199</v>
      </c>
      <c r="B184" s="66" t="s">
        <v>469</v>
      </c>
    </row>
    <row r="185" spans="1:2">
      <c r="A185" s="66" t="s">
        <v>200</v>
      </c>
      <c r="B185" s="66" t="s">
        <v>470</v>
      </c>
    </row>
    <row r="186" spans="1:2">
      <c r="A186" s="66" t="s">
        <v>201</v>
      </c>
      <c r="B186" s="66" t="s">
        <v>471</v>
      </c>
    </row>
    <row r="187" spans="1:2">
      <c r="A187" s="66" t="s">
        <v>202</v>
      </c>
      <c r="B187" s="66" t="s">
        <v>472</v>
      </c>
    </row>
    <row r="188" spans="1:2">
      <c r="A188" s="66" t="s">
        <v>203</v>
      </c>
      <c r="B188" s="66" t="s">
        <v>473</v>
      </c>
    </row>
    <row r="189" spans="1:2">
      <c r="A189" s="66" t="s">
        <v>204</v>
      </c>
      <c r="B189" s="66" t="s">
        <v>474</v>
      </c>
    </row>
    <row r="190" spans="1:2">
      <c r="A190" s="66" t="s">
        <v>205</v>
      </c>
      <c r="B190" s="66" t="s">
        <v>475</v>
      </c>
    </row>
    <row r="191" spans="1:2">
      <c r="A191" s="66" t="s">
        <v>206</v>
      </c>
      <c r="B191" s="66" t="s">
        <v>476</v>
      </c>
    </row>
    <row r="192" spans="1:2">
      <c r="A192" s="66" t="s">
        <v>207</v>
      </c>
      <c r="B192" s="66" t="s">
        <v>477</v>
      </c>
    </row>
    <row r="193" spans="1:2">
      <c r="A193" s="66" t="s">
        <v>208</v>
      </c>
      <c r="B193" s="66" t="s">
        <v>478</v>
      </c>
    </row>
    <row r="194" spans="1:2">
      <c r="A194" s="66" t="s">
        <v>209</v>
      </c>
      <c r="B194" s="66" t="s">
        <v>479</v>
      </c>
    </row>
    <row r="195" spans="1:2">
      <c r="A195" s="66" t="s">
        <v>210</v>
      </c>
      <c r="B195" s="66" t="s">
        <v>480</v>
      </c>
    </row>
    <row r="196" spans="1:2">
      <c r="A196" s="66" t="s">
        <v>211</v>
      </c>
      <c r="B196" s="66" t="s">
        <v>481</v>
      </c>
    </row>
    <row r="197" spans="1:2">
      <c r="A197" s="66" t="s">
        <v>212</v>
      </c>
      <c r="B197" s="66" t="s">
        <v>482</v>
      </c>
    </row>
    <row r="198" spans="1:2">
      <c r="A198" s="66" t="s">
        <v>213</v>
      </c>
      <c r="B198" s="66" t="s">
        <v>483</v>
      </c>
    </row>
    <row r="199" spans="1:2">
      <c r="A199" s="66" t="s">
        <v>214</v>
      </c>
      <c r="B199" s="66" t="s">
        <v>484</v>
      </c>
    </row>
    <row r="200" spans="1:2">
      <c r="A200" s="66" t="s">
        <v>215</v>
      </c>
      <c r="B200" s="66" t="s">
        <v>485</v>
      </c>
    </row>
    <row r="201" spans="1:2">
      <c r="A201" s="66" t="s">
        <v>216</v>
      </c>
      <c r="B201" s="66" t="s">
        <v>486</v>
      </c>
    </row>
    <row r="202" spans="1:2">
      <c r="A202" s="66" t="s">
        <v>217</v>
      </c>
      <c r="B202" s="66" t="s">
        <v>487</v>
      </c>
    </row>
    <row r="203" spans="1:2">
      <c r="A203" s="66" t="s">
        <v>218</v>
      </c>
      <c r="B203" s="66" t="s">
        <v>488</v>
      </c>
    </row>
    <row r="204" spans="1:2">
      <c r="A204" s="66" t="s">
        <v>219</v>
      </c>
      <c r="B204" s="66" t="s">
        <v>489</v>
      </c>
    </row>
    <row r="205" spans="1:2">
      <c r="A205" s="66" t="s">
        <v>220</v>
      </c>
      <c r="B205" s="66" t="s">
        <v>490</v>
      </c>
    </row>
    <row r="206" spans="1:2">
      <c r="A206" s="66" t="s">
        <v>221</v>
      </c>
      <c r="B206" s="66" t="s">
        <v>222</v>
      </c>
    </row>
    <row r="207" spans="1:2">
      <c r="A207" s="66" t="s">
        <v>223</v>
      </c>
      <c r="B207" s="66" t="s">
        <v>491</v>
      </c>
    </row>
    <row r="208" spans="1:2">
      <c r="A208" s="66" t="s">
        <v>224</v>
      </c>
      <c r="B208" s="66" t="s">
        <v>492</v>
      </c>
    </row>
    <row r="209" spans="1:2">
      <c r="A209" s="66" t="s">
        <v>225</v>
      </c>
      <c r="B209" s="66" t="s">
        <v>489</v>
      </c>
    </row>
    <row r="210" spans="1:2">
      <c r="A210" s="66" t="s">
        <v>226</v>
      </c>
      <c r="B210" s="66" t="s">
        <v>398</v>
      </c>
    </row>
    <row r="211" spans="1:2">
      <c r="A211" s="66" t="s">
        <v>227</v>
      </c>
      <c r="B211" s="66" t="s">
        <v>493</v>
      </c>
    </row>
    <row r="212" spans="1:2">
      <c r="A212" s="66" t="s">
        <v>234</v>
      </c>
      <c r="B212" s="66" t="s">
        <v>235</v>
      </c>
    </row>
    <row r="213" spans="1:2">
      <c r="A213" s="66" t="s">
        <v>241</v>
      </c>
      <c r="B213" s="66" t="s">
        <v>242</v>
      </c>
    </row>
    <row r="214" spans="1:2">
      <c r="A214" s="66" t="s">
        <v>128</v>
      </c>
      <c r="B214" s="66" t="s">
        <v>129</v>
      </c>
    </row>
    <row r="215" spans="1:2">
      <c r="A215" s="66" t="s">
        <v>243</v>
      </c>
      <c r="B215" s="66" t="s">
        <v>244</v>
      </c>
    </row>
    <row r="216" spans="1:2">
      <c r="A216" s="66" t="s">
        <v>245</v>
      </c>
      <c r="B216" s="66" t="s">
        <v>246</v>
      </c>
    </row>
    <row r="217" spans="1:2">
      <c r="A217" s="66" t="s">
        <v>247</v>
      </c>
      <c r="B217" s="66" t="s">
        <v>248</v>
      </c>
    </row>
    <row r="218" spans="1:2">
      <c r="A218" s="66" t="s">
        <v>249</v>
      </c>
      <c r="B218" s="66" t="s">
        <v>250</v>
      </c>
    </row>
    <row r="219" spans="1:2">
      <c r="A219" s="66" t="s">
        <v>251</v>
      </c>
      <c r="B219" s="66" t="s">
        <v>252</v>
      </c>
    </row>
    <row r="220" spans="1:2">
      <c r="A220" s="66" t="s">
        <v>253</v>
      </c>
      <c r="B220" s="66" t="s">
        <v>254</v>
      </c>
    </row>
    <row r="221" spans="1:2">
      <c r="A221" s="66" t="s">
        <v>255</v>
      </c>
      <c r="B221" s="66" t="s">
        <v>256</v>
      </c>
    </row>
    <row r="222" spans="1:2">
      <c r="A222" s="66" t="s">
        <v>257</v>
      </c>
      <c r="B222" s="66" t="s">
        <v>258</v>
      </c>
    </row>
    <row r="223" spans="1:2">
      <c r="A223" s="66" t="s">
        <v>259</v>
      </c>
      <c r="B223" s="66" t="s">
        <v>260</v>
      </c>
    </row>
    <row r="224" spans="1:2">
      <c r="A224" s="66" t="s">
        <v>261</v>
      </c>
      <c r="B224" s="66" t="s">
        <v>262</v>
      </c>
    </row>
    <row r="225" spans="1:2">
      <c r="A225" s="66" t="s">
        <v>263</v>
      </c>
      <c r="B225" s="66" t="s">
        <v>264</v>
      </c>
    </row>
    <row r="226" spans="1:2">
      <c r="A226" s="66" t="s">
        <v>265</v>
      </c>
      <c r="B226" s="66" t="s">
        <v>266</v>
      </c>
    </row>
    <row r="227" spans="1:2">
      <c r="A227" s="66" t="s">
        <v>267</v>
      </c>
      <c r="B227" s="66" t="s">
        <v>268</v>
      </c>
    </row>
    <row r="228" spans="1:2">
      <c r="A228" s="66" t="s">
        <v>269</v>
      </c>
      <c r="B228" s="66" t="s">
        <v>270</v>
      </c>
    </row>
    <row r="229" spans="1:2">
      <c r="A229" s="66" t="s">
        <v>271</v>
      </c>
      <c r="B229" s="66" t="s">
        <v>272</v>
      </c>
    </row>
    <row r="230" spans="1:2">
      <c r="A230" s="66" t="s">
        <v>273</v>
      </c>
      <c r="B230" s="66" t="s">
        <v>274</v>
      </c>
    </row>
    <row r="231" spans="1:2">
      <c r="A231" s="66" t="s">
        <v>275</v>
      </c>
      <c r="B231" s="66" t="s">
        <v>276</v>
      </c>
    </row>
    <row r="232" spans="1:2">
      <c r="A232" s="66" t="s">
        <v>277</v>
      </c>
      <c r="B232" s="66" t="s">
        <v>278</v>
      </c>
    </row>
    <row r="233" spans="1:2">
      <c r="A233" s="66" t="s">
        <v>279</v>
      </c>
      <c r="B233" s="66" t="s">
        <v>280</v>
      </c>
    </row>
    <row r="234" spans="1:2">
      <c r="A234" s="66" t="s">
        <v>281</v>
      </c>
      <c r="B234" s="66" t="s">
        <v>282</v>
      </c>
    </row>
    <row r="235" spans="1:2">
      <c r="A235" s="66" t="s">
        <v>283</v>
      </c>
      <c r="B235" s="66" t="s">
        <v>284</v>
      </c>
    </row>
    <row r="236" spans="1:2">
      <c r="A236" s="66" t="s">
        <v>285</v>
      </c>
      <c r="B236" s="66" t="s">
        <v>286</v>
      </c>
    </row>
    <row r="237" spans="1:2">
      <c r="A237" s="66" t="s">
        <v>287</v>
      </c>
      <c r="B237" s="66" t="s">
        <v>288</v>
      </c>
    </row>
    <row r="238" spans="1:2">
      <c r="A238" s="66" t="s">
        <v>289</v>
      </c>
      <c r="B238" s="66" t="s">
        <v>290</v>
      </c>
    </row>
    <row r="239" spans="1:2">
      <c r="A239" s="66" t="s">
        <v>291</v>
      </c>
      <c r="B239" s="66" t="s">
        <v>292</v>
      </c>
    </row>
    <row r="240" spans="1:2">
      <c r="A240" s="66" t="s">
        <v>316</v>
      </c>
      <c r="B240" s="66" t="s">
        <v>315</v>
      </c>
    </row>
    <row r="241" spans="1:2">
      <c r="A241" s="66" t="s">
        <v>317</v>
      </c>
      <c r="B241" s="66" t="s">
        <v>314</v>
      </c>
    </row>
    <row r="242" spans="1:2">
      <c r="A242" s="66" t="s">
        <v>318</v>
      </c>
      <c r="B242" s="66" t="s">
        <v>313</v>
      </c>
    </row>
    <row r="243" spans="1:2">
      <c r="A243" s="66" t="s">
        <v>319</v>
      </c>
      <c r="B243" s="66" t="s">
        <v>312</v>
      </c>
    </row>
    <row r="244" spans="1:2">
      <c r="A244" s="66" t="s">
        <v>320</v>
      </c>
      <c r="B244" s="66" t="s">
        <v>311</v>
      </c>
    </row>
    <row r="245" spans="1:2">
      <c r="A245" s="66" t="s">
        <v>321</v>
      </c>
      <c r="B245" s="66" t="s">
        <v>310</v>
      </c>
    </row>
    <row r="246" spans="1:2">
      <c r="A246" s="66" t="s">
        <v>322</v>
      </c>
      <c r="B246" s="66" t="s">
        <v>309</v>
      </c>
    </row>
    <row r="247" spans="1:2">
      <c r="A247" s="66" t="s">
        <v>323</v>
      </c>
      <c r="B247" s="66" t="s">
        <v>308</v>
      </c>
    </row>
    <row r="248" spans="1:2">
      <c r="A248" s="66" t="s">
        <v>324</v>
      </c>
      <c r="B248" s="66" t="s">
        <v>307</v>
      </c>
    </row>
    <row r="249" spans="1:2">
      <c r="A249" s="66" t="s">
        <v>325</v>
      </c>
      <c r="B249" s="66" t="s">
        <v>326</v>
      </c>
    </row>
  </sheetData>
  <phoneticPr fontId="5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D16"/>
  <sheetViews>
    <sheetView showGridLines="0" workbookViewId="0">
      <selection activeCell="C32" sqref="C32"/>
    </sheetView>
  </sheetViews>
  <sheetFormatPr defaultColWidth="10.28515625" defaultRowHeight="12"/>
  <cols>
    <col min="1" max="1" width="27.140625" customWidth="1"/>
    <col min="2" max="2" width="26.42578125" bestFit="1" customWidth="1"/>
    <col min="3" max="4" width="19" bestFit="1" customWidth="1"/>
  </cols>
  <sheetData>
    <row r="1" spans="1:4" ht="13.5">
      <c r="A1" s="55" t="s">
        <v>27</v>
      </c>
      <c r="B1" s="55" t="s">
        <v>31</v>
      </c>
      <c r="C1" s="55" t="s">
        <v>32</v>
      </c>
      <c r="D1" s="55" t="s">
        <v>33</v>
      </c>
    </row>
    <row r="2" spans="1:4" ht="13.5">
      <c r="A2" s="56" t="s">
        <v>28</v>
      </c>
      <c r="B2" s="57" t="s">
        <v>34</v>
      </c>
      <c r="C2" s="57" t="s">
        <v>35</v>
      </c>
      <c r="D2" s="57" t="s">
        <v>35</v>
      </c>
    </row>
    <row r="3" spans="1:4">
      <c r="A3" s="56" t="s">
        <v>18</v>
      </c>
    </row>
    <row r="4" spans="1:4" ht="13.5">
      <c r="A4" s="57" t="s">
        <v>36</v>
      </c>
    </row>
    <row r="5" spans="1:4" ht="13.5">
      <c r="A5" s="57" t="s">
        <v>37</v>
      </c>
    </row>
    <row r="6" spans="1:4" ht="13.5">
      <c r="A6" s="57" t="s">
        <v>29</v>
      </c>
    </row>
    <row r="7" spans="1:4">
      <c r="A7" s="56"/>
    </row>
    <row r="8" spans="1:4">
      <c r="A8" s="56"/>
    </row>
    <row r="9" spans="1:4">
      <c r="A9" s="56"/>
    </row>
    <row r="10" spans="1:4">
      <c r="A10" s="56"/>
    </row>
    <row r="11" spans="1:4">
      <c r="A11" s="56"/>
    </row>
    <row r="12" spans="1:4">
      <c r="A12" s="56"/>
    </row>
    <row r="13" spans="1:4">
      <c r="A13" s="56"/>
    </row>
    <row r="15" spans="1:4" ht="84">
      <c r="A15" s="58" t="s">
        <v>30</v>
      </c>
      <c r="B15" s="59" t="s">
        <v>38</v>
      </c>
      <c r="C15" s="59" t="s">
        <v>39</v>
      </c>
      <c r="D15" s="59" t="s">
        <v>40</v>
      </c>
    </row>
    <row r="16" spans="1:4">
      <c r="A16" s="58"/>
    </row>
  </sheetData>
  <phoneticPr fontId="11"/>
  <printOptions gridLinesSet="0"/>
  <pageMargins left="0.75" right="0.75" top="1" bottom="1" header="0.5" footer="0.5"/>
  <pageSetup paperSize="9" orientation="portrait" horizontalDpi="0" verticalDpi="0" copies="0" r:id="rId1"/>
  <headerFooter alignWithMargins="0">
    <oddHeader>&amp;A</oddHeader>
    <oddFooter>- &amp;P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30</vt:i4>
      </vt:variant>
    </vt:vector>
  </HeadingPairs>
  <TitlesOfParts>
    <vt:vector size="43" baseType="lpstr">
      <vt:lpstr>システムMENU</vt:lpstr>
      <vt:lpstr>m_data</vt:lpstr>
      <vt:lpstr>m_kind</vt:lpstr>
      <vt:lpstr>m_edp</vt:lpstr>
      <vt:lpstr>m_system_name</vt:lpstr>
      <vt:lpstr>→</vt:lpstr>
      <vt:lpstr>DB_INFO</vt:lpstr>
      <vt:lpstr>TABLE_TMP</vt:lpstr>
      <vt:lpstr>GetTableNameList</vt:lpstr>
      <vt:lpstr>CopyTable</vt:lpstr>
      <vt:lpstr>DB_CHANGE_TABLE</vt:lpstr>
      <vt:lpstr>DB_REP</vt:lpstr>
      <vt:lpstr>ENV</vt:lpstr>
      <vt:lpstr>m_data!Naiyou</vt:lpstr>
      <vt:lpstr>m_edp!Naiyou</vt:lpstr>
      <vt:lpstr>m_kind!Naiyou</vt:lpstr>
      <vt:lpstr>m_system_name!Naiyou</vt:lpstr>
      <vt:lpstr>TABLE_TMP!Naiyou</vt:lpstr>
      <vt:lpstr>m_data!name</vt:lpstr>
      <vt:lpstr>m_edp!name</vt:lpstr>
      <vt:lpstr>m_kind!name</vt:lpstr>
      <vt:lpstr>m_system_name!name</vt:lpstr>
      <vt:lpstr>TABLE_TMP!name</vt:lpstr>
      <vt:lpstr>m_data!Print_Area</vt:lpstr>
      <vt:lpstr>m_edp!Print_Area</vt:lpstr>
      <vt:lpstr>m_kind!Print_Area</vt:lpstr>
      <vt:lpstr>m_system_name!Print_Area</vt:lpstr>
      <vt:lpstr>TABLE_TMP!Print_Area</vt:lpstr>
      <vt:lpstr>m_data!Print_Titles</vt:lpstr>
      <vt:lpstr>m_edp!Print_Titles</vt:lpstr>
      <vt:lpstr>m_kind!Print_Titles</vt:lpstr>
      <vt:lpstr>m_system_name!Print_Titles</vt:lpstr>
      <vt:lpstr>TABLE_TMP!Print_Titles</vt:lpstr>
      <vt:lpstr>m_data!TBL_Name</vt:lpstr>
      <vt:lpstr>m_edp!TBL_Name</vt:lpstr>
      <vt:lpstr>m_kind!TBL_Name</vt:lpstr>
      <vt:lpstr>m_system_name!TBL_Name</vt:lpstr>
      <vt:lpstr>TABLE_TMP!TBL_Name</vt:lpstr>
      <vt:lpstr>m_data!TYPE</vt:lpstr>
      <vt:lpstr>m_edp!TYPE</vt:lpstr>
      <vt:lpstr>m_kind!TYPE</vt:lpstr>
      <vt:lpstr>m_system_name!TYPE</vt:lpstr>
      <vt:lpstr>TABLE_TMP!TYPE</vt:lpstr>
    </vt:vector>
  </TitlesOfParts>
  <Company>トステム株式会社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setup</dc:creator>
  <cp:lastModifiedBy>AutoBVT</cp:lastModifiedBy>
  <cp:lastPrinted>2012-09-11T23:42:05Z</cp:lastPrinted>
  <dcterms:created xsi:type="dcterms:W3CDTF">2002-07-02T05:50:34Z</dcterms:created>
  <dcterms:modified xsi:type="dcterms:W3CDTF">2018-12-03T06:50:40Z</dcterms:modified>
</cp:coreProperties>
</file>