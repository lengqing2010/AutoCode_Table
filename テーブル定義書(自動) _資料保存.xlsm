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ILIKEMAKE2017\AutoCode_Table\"/>
    </mc:Choice>
  </mc:AlternateContent>
  <bookViews>
    <workbookView xWindow="0" yWindow="0" windowWidth="23040" windowHeight="9390" tabRatio="790" activeTab="1"/>
  </bookViews>
  <sheets>
    <sheet name="システムMENU" sheetId="93" r:id="rId1"/>
    <sheet name="m_data" sheetId="85" r:id="rId2"/>
    <sheet name="m_kind" sheetId="95" r:id="rId3"/>
    <sheet name="m_edp" sheetId="96" r:id="rId4"/>
    <sheet name="m_system_name" sheetId="97" r:id="rId5"/>
    <sheet name="→" sheetId="90" r:id="rId6"/>
    <sheet name="DB_INFO" sheetId="89" r:id="rId7"/>
    <sheet name="TABLE_TMP" sheetId="94" r:id="rId8"/>
    <sheet name="GetTableNameList" sheetId="92" r:id="rId9"/>
    <sheet name="CopyTable" sheetId="91" r:id="rId10"/>
    <sheet name="DB_CHANGE_TABLE" sheetId="87" r:id="rId11"/>
    <sheet name="DB_REP" sheetId="88" r:id="rId12"/>
    <sheet name="ENV" sheetId="83" r:id="rId13"/>
  </sheets>
  <functionGroups builtInGroupCount="18"/>
  <definedNames>
    <definedName name="_Fill" localSheetId="6" hidden="1">#REF!</definedName>
    <definedName name="_Fill" localSheetId="12" hidden="1">#REF!</definedName>
    <definedName name="_Fill" localSheetId="1" hidden="1">#REF!</definedName>
    <definedName name="_Fill" localSheetId="3" hidden="1">#REF!</definedName>
    <definedName name="_Fill" localSheetId="2" hidden="1">#REF!</definedName>
    <definedName name="_Fill" localSheetId="4" hidden="1">#REF!</definedName>
    <definedName name="_Fill" localSheetId="7" hidden="1">#REF!</definedName>
    <definedName name="_Fill" hidden="1">#REF!</definedName>
    <definedName name="_Order1" hidden="1">1</definedName>
    <definedName name="_Order2" hidden="1">1</definedName>
    <definedName name="cboTYPE_Click" localSheetId="12">ENV!cboTYPE_Click</definedName>
    <definedName name="cboTYPE_Click" localSheetId="1">m_data!cboTYPE_Click</definedName>
    <definedName name="cboTYPE_Click" localSheetId="3">m_edp!cboTYPE_Click</definedName>
    <definedName name="cboTYPE_Click" localSheetId="2">m_kind!cboTYPE_Click</definedName>
    <definedName name="cboTYPE_Click" localSheetId="4">m_system_name!cboTYPE_Click</definedName>
    <definedName name="cboTYPE_Click" localSheetId="7">TABLE_TMP!cboTYPE_Click</definedName>
    <definedName name="cboTYPE_Click">[0]!cboTYPE_Click</definedName>
    <definedName name="IDX_NEXT" localSheetId="1">m_data!#REF!</definedName>
    <definedName name="IDX_NEXT" localSheetId="3">m_edp!#REF!</definedName>
    <definedName name="IDX_NEXT" localSheetId="2">m_kind!#REF!</definedName>
    <definedName name="IDX_NEXT" localSheetId="4">m_system_name!#REF!</definedName>
    <definedName name="IDX_NEXT" localSheetId="7">TABLE_TMP!#REF!</definedName>
    <definedName name="IDX_PctFree" localSheetId="1">m_data!#REF!</definedName>
    <definedName name="IDX_PctFree" localSheetId="3">m_edp!#REF!</definedName>
    <definedName name="IDX_PctFree" localSheetId="2">m_kind!#REF!</definedName>
    <definedName name="IDX_PctFree" localSheetId="4">m_system_name!#REF!</definedName>
    <definedName name="IDX_PctFree" localSheetId="7">TABLE_TMP!#REF!</definedName>
    <definedName name="IDX_SPACE" localSheetId="1">m_data!#REF!</definedName>
    <definedName name="IDX_SPACE" localSheetId="3">m_edp!#REF!</definedName>
    <definedName name="IDX_SPACE" localSheetId="2">m_kind!#REF!</definedName>
    <definedName name="IDX_SPACE" localSheetId="4">m_system_name!#REF!</definedName>
    <definedName name="IDX_SPACE" localSheetId="7">TABLE_TMP!#REF!</definedName>
    <definedName name="IDX_Storage" localSheetId="1">m_data!#REF!</definedName>
    <definedName name="IDX_Storage" localSheetId="3">m_edp!#REF!</definedName>
    <definedName name="IDX_Storage" localSheetId="2">m_kind!#REF!</definedName>
    <definedName name="IDX_Storage" localSheetId="4">m_system_name!#REF!</definedName>
    <definedName name="IDX_Storage" localSheetId="7">TABLE_TMP!#REF!</definedName>
    <definedName name="Index_Length" localSheetId="1">m_data!#REF!</definedName>
    <definedName name="Index_Length" localSheetId="3">m_edp!#REF!</definedName>
    <definedName name="Index_Length" localSheetId="2">m_kind!#REF!</definedName>
    <definedName name="Index_Length" localSheetId="4">m_system_name!#REF!</definedName>
    <definedName name="Index_Length" localSheetId="7">TABLE_TMP!#REF!</definedName>
    <definedName name="Naiyou" localSheetId="1">m_data!$F$5</definedName>
    <definedName name="Naiyou" localSheetId="3">m_edp!$F$5</definedName>
    <definedName name="Naiyou" localSheetId="2">m_kind!$F$5</definedName>
    <definedName name="Naiyou" localSheetId="4">m_system_name!$F$5</definedName>
    <definedName name="Naiyou" localSheetId="7">TABLE_TMP!$F$5</definedName>
    <definedName name="name" localSheetId="1">m_data!$C$5</definedName>
    <definedName name="name" localSheetId="3">m_edp!$C$5</definedName>
    <definedName name="name" localSheetId="2">m_kind!$C$5</definedName>
    <definedName name="name" localSheetId="4">m_system_name!$C$5</definedName>
    <definedName name="name" localSheetId="7">TABLE_TMP!$C$5</definedName>
    <definedName name="_xlnm.Print_Area" localSheetId="1">m_data!$A$1:$K$51</definedName>
    <definedName name="_xlnm.Print_Area" localSheetId="3">m_edp!$A$1:$K$35</definedName>
    <definedName name="_xlnm.Print_Area" localSheetId="2">m_kind!$A$1:$K$35</definedName>
    <definedName name="_xlnm.Print_Area" localSheetId="4">m_system_name!$A$1:$K$34</definedName>
    <definedName name="_xlnm.Print_Area" localSheetId="7">TABLE_TMP!$A$1:$K$42</definedName>
    <definedName name="_xlnm.Print_Titles" localSheetId="1">m_data!$1:$8</definedName>
    <definedName name="_xlnm.Print_Titles" localSheetId="3">m_edp!$1:$8</definedName>
    <definedName name="_xlnm.Print_Titles" localSheetId="2">m_kind!$1:$8</definedName>
    <definedName name="_xlnm.Print_Titles" localSheetId="4">m_system_name!$1:$8</definedName>
    <definedName name="_xlnm.Print_Titles" localSheetId="7">TABLE_TMP!$1:$8</definedName>
    <definedName name="REC_Count" localSheetId="1">m_data!#REF!</definedName>
    <definedName name="REC_Count" localSheetId="3">m_edp!#REF!</definedName>
    <definedName name="REC_Count" localSheetId="2">m_kind!#REF!</definedName>
    <definedName name="REC_Count" localSheetId="4">m_system_name!#REF!</definedName>
    <definedName name="REC_Count" localSheetId="7">TABLE_TMP!#REF!</definedName>
    <definedName name="Rec_Length" localSheetId="1">m_data!#REF!</definedName>
    <definedName name="Rec_Length" localSheetId="3">m_edp!#REF!</definedName>
    <definedName name="Rec_Length" localSheetId="2">m_kind!#REF!</definedName>
    <definedName name="Rec_Length" localSheetId="4">m_system_name!#REF!</definedName>
    <definedName name="Rec_Length" localSheetId="7">TABLE_TMP!#REF!</definedName>
    <definedName name="TBL_Name" localSheetId="1">m_data!$C$6</definedName>
    <definedName name="TBL_Name" localSheetId="3">m_edp!$C$6</definedName>
    <definedName name="TBL_Name" localSheetId="2">m_kind!$C$6</definedName>
    <definedName name="TBL_Name" localSheetId="4">m_system_name!$C$6</definedName>
    <definedName name="TBL_Name" localSheetId="7">TABLE_TMP!$C$6</definedName>
    <definedName name="TBL_NEXT" localSheetId="1">m_data!#REF!</definedName>
    <definedName name="TBL_NEXT" localSheetId="3">m_edp!#REF!</definedName>
    <definedName name="TBL_NEXT" localSheetId="2">m_kind!#REF!</definedName>
    <definedName name="TBL_NEXT" localSheetId="4">m_system_name!#REF!</definedName>
    <definedName name="TBL_NEXT" localSheetId="7">TABLE_TMP!#REF!</definedName>
    <definedName name="TBL_PctFree" localSheetId="1">m_data!#REF!</definedName>
    <definedName name="TBL_PctFree" localSheetId="3">m_edp!#REF!</definedName>
    <definedName name="TBL_PctFree" localSheetId="2">m_kind!#REF!</definedName>
    <definedName name="TBL_PctFree" localSheetId="4">m_system_name!#REF!</definedName>
    <definedName name="TBL_PctFree" localSheetId="7">TABLE_TMP!#REF!</definedName>
    <definedName name="TBL_PctUsed" localSheetId="1">m_data!#REF!</definedName>
    <definedName name="TBL_PctUsed" localSheetId="3">m_edp!#REF!</definedName>
    <definedName name="TBL_PctUsed" localSheetId="2">m_kind!#REF!</definedName>
    <definedName name="TBL_PctUsed" localSheetId="4">m_system_name!#REF!</definedName>
    <definedName name="TBL_PctUsed" localSheetId="7">TABLE_TMP!#REF!</definedName>
    <definedName name="TBL_SPACE" localSheetId="1">m_data!#REF!</definedName>
    <definedName name="TBL_SPACE" localSheetId="3">m_edp!#REF!</definedName>
    <definedName name="TBL_SPACE" localSheetId="2">m_kind!#REF!</definedName>
    <definedName name="TBL_SPACE" localSheetId="4">m_system_name!#REF!</definedName>
    <definedName name="TBL_SPACE" localSheetId="7">TABLE_TMP!#REF!</definedName>
    <definedName name="TBL_Storage" localSheetId="1">m_data!#REF!</definedName>
    <definedName name="TBL_Storage" localSheetId="3">m_edp!#REF!</definedName>
    <definedName name="TBL_Storage" localSheetId="2">m_kind!#REF!</definedName>
    <definedName name="TBL_Storage" localSheetId="4">m_system_name!#REF!</definedName>
    <definedName name="TBL_Storage" localSheetId="7">TABLE_TMP!#REF!</definedName>
    <definedName name="TYPE" localSheetId="1">m_data!$D$8</definedName>
    <definedName name="TYPE" localSheetId="3">m_edp!$D$8</definedName>
    <definedName name="TYPE" localSheetId="2">m_kind!$D$8</definedName>
    <definedName name="TYPE" localSheetId="4">m_system_name!$D$8</definedName>
    <definedName name="TYPE" localSheetId="7">TABLE_TMP!$D$8</definedName>
  </definedNames>
  <calcPr calcId="152511"/>
</workbook>
</file>

<file path=xl/calcChain.xml><?xml version="1.0" encoding="utf-8"?>
<calcChain xmlns="http://schemas.openxmlformats.org/spreadsheetml/2006/main">
  <c r="N6" i="97" l="1"/>
  <c r="N4" i="97"/>
  <c r="N6" i="96"/>
  <c r="N4" i="96"/>
  <c r="N6" i="95"/>
  <c r="N4" i="95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K20" i="91"/>
  <c r="K23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5" i="91"/>
  <c r="G16" i="91"/>
  <c r="G19" i="91"/>
  <c r="G20" i="91"/>
  <c r="G36" i="91"/>
  <c r="N8" i="94"/>
  <c r="N6" i="94"/>
  <c r="G11" i="91"/>
  <c r="K13" i="91"/>
  <c r="H14" i="91"/>
  <c r="D20" i="9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3" i="91"/>
  <c r="H27" i="91"/>
  <c r="H29" i="91"/>
  <c r="H11" i="91"/>
  <c r="N6" i="85"/>
  <c r="N4" i="85"/>
  <c r="H20" i="91"/>
  <c r="B3" i="89"/>
  <c r="B5" i="89"/>
  <c r="B6" i="89"/>
  <c r="B2" i="89"/>
  <c r="K12" i="91" l="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55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<sst xmlns="http://schemas.openxmlformats.org/spreadsheetml/2006/main" count="949" uniqueCount="693">
  <si>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</si>
  <si>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</si>
  <si>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</si>
  <si>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</si>
  <si>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</si>
  <si>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</si>
  <si>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</si>
  <si>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</si>
  <si>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</si>
  <si>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</si>
  <si>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</si>
  <si>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</si>
  <si>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</si>
  <si>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</si>
  <si>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</si>
  <si>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</si>
  <si>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</si>
  <si>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</si>
  <si>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</si>
  <si>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</si>
  <si>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</si>
  <si>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</si>
  <si>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</si>
  <si>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</si>
  <si>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</si>
  <si>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</si>
  <si>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</si>
  <si>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</si>
  <si>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</si>
  <si>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</si>
  <si>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</si>
  <si>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</si>
  <si>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</si>
  <si>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</si>
  <si>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</si>
  <si>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</si>
  <si>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</si>
  <si>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</si>
  <si>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</si>
  <si>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</si>
  <si>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</si>
  <si>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</si>
  <si>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</si>
  <si>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</si>
  <si>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</si>
  <si>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</si>
  <si>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</si>
  <si>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</si>
  <si>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</si>
  <si>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</si>
  <si>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</si>
  <si>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</si>
  <si>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</si>
  <si>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</si>
  <si>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</si>
  <si>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</si>
  <si>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</si>
  <si>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</si>
  <si>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</si>
  <si>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</si>
  <si>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</si>
  <si>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</si>
  <si>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</si>
  <si>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</si>
  <si>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</si>
  <si>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</si>
  <si>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</si>
  <si>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</si>
  <si>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</si>
  <si>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</si>
  <si>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</si>
  <si>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</si>
  <si>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</si>
  <si>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</si>
  <si>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</si>
  <si>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</si>
  <si>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</si>
  <si>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</si>
  <si>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</si>
  <si>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</si>
  <si>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</si>
  <si>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</si>
  <si>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</si>
  <si>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</si>
  <si>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</si>
  <si>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</si>
  <si>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</si>
  <si>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</si>
  <si>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</si>
  <si>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</si>
  <si>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</si>
  <si>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</si>
  <si>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</si>
  <si>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</si>
  <si>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</si>
  <si>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</si>
  <si>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</si>
  <si>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</si>
  <si>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</si>
  <si>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</si>
  <si>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</si>
  <si>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</si>
  <si>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</si>
  <si>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</si>
  <si>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</si>
  <si>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</si>
  <si>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</si>
  <si>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</si>
  <si>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</si>
  <si>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</si>
  <si>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</si>
  <si>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</si>
  <si>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</si>
  <si>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</si>
  <si>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</si>
  <si>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</si>
  <si>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</si>
  <si>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</si>
  <si>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</si>
  <si>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</si>
  <si>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</si>
  <si>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</si>
  <si>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</si>
  <si>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</si>
  <si>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</si>
  <si>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</si>
  <si>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</si>
  <si>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</si>
  <si>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</si>
  <si>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</si>
  <si>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</si>
  <si>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</si>
  <si>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</si>
  <si>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</si>
  <si>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</si>
  <si>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</si>
  <si>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</si>
  <si>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</si>
  <si>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</si>
  <si>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</si>
  <si>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</si>
  <si>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</si>
  <si>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</si>
  <si>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</si>
  <si>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</si>
  <si>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</si>
  <si>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</si>
  <si>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</si>
  <si>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</si>
  <si>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</si>
  <si>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</si>
  <si>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</si>
  <si>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</si>
  <si>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</si>
  <si>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</si>
  <si>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</si>
  <si>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</si>
  <si>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</si>
  <si>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</si>
  <si>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</si>
  <si>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</si>
  <si>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</si>
  <si>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</si>
  <si>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</si>
  <si>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</si>
  <si>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</si>
  <si>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</si>
  <si>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</si>
  <si>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</si>
  <si>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</si>
  <si>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</si>
  <si>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</si>
  <si>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</si>
  <si>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</si>
  <si>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</si>
  <si>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</si>
  <si>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</si>
  <si>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</si>
  <si>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</si>
  <si>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</si>
  <si>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</si>
  <si>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</si>
  <si>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</si>
  <si>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</si>
  <si>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</si>
  <si>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</si>
  <si>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</si>
  <si>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</si>
  <si>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</si>
  <si>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</si>
  <si>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</si>
  <si>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</si>
  <si>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</si>
  <si>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</si>
  <si>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</si>
  <si>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</si>
  <si>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</si>
  <si>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</si>
  <si>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</si>
  <si>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</si>
  <si>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</si>
  <si>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</si>
  <si>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</si>
  <si>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</si>
  <si>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</si>
  <si>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</si>
  <si>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</si>
  <si>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</si>
  <si>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</si>
  <si>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</si>
  <si>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</si>
  <si>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</si>
  <si>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</si>
  <si>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</si>
  <si>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</si>
  <si>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</si>
  <si>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</si>
  <si>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</si>
  <si>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</si>
  <si>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</si>
  <si>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</si>
  <si>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</si>
  <si>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</si>
  <si>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</si>
  <si>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</si>
  <si>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</si>
  <si>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</si>
  <si>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</si>
  <si>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</si>
  <si>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</si>
  <si>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</si>
  <si>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</si>
  <si>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</si>
  <si>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</si>
  <si>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</si>
  <si>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</si>
  <si>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</si>
  <si>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</si>
  <si>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</si>
  <si>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</si>
  <si>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</si>
  <si>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</si>
  <si>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</si>
  <si>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</si>
  <si>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</si>
  <si>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</si>
  <si>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</si>
  <si>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</si>
  <si>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</si>
  <si>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</si>
  <si>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</si>
  <si>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</si>
  <si>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</si>
  <si>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</si>
  <si>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</si>
  <si>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</si>
  <si>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</si>
  <si>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</si>
  <si>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</si>
  <si>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</si>
  <si>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</si>
  <si>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</si>
  <si>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</si>
  <si>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</si>
  <si>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</si>
  <si>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</si>
  <si>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</si>
  <si>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</si>
  <si>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</si>
  <si>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</si>
  <si>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</si>
  <si>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</si>
  <si>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</si>
  <si>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</si>
  <si>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</si>
  <si>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</si>
  <si>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</si>
  <si>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</si>
  <si>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</si>
  <si>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</si>
  <si>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</si>
  <si>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</si>
  <si>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</si>
  <si>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</si>
  <si>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</si>
  <si>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</si>
  <si>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</si>
  <si>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</si>
  <si>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</si>
  <si>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</si>
  <si>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</si>
  <si>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</si>
  <si>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</si>
  <si>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</si>
  <si>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</si>
  <si>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</si>
  <si>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</si>
  <si>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</si>
  <si>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</si>
  <si>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</si>
  <si>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</si>
  <si>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</si>
  <si>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</si>
  <si>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</si>
  <si>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</si>
  <si>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</si>
  <si>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</si>
  <si>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</si>
  <si>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</si>
  <si>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</si>
  <si>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</si>
  <si>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</si>
  <si>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</si>
  <si>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</si>
  <si>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</si>
  <si>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</si>
  <si>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</si>
  <si>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</si>
  <si>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</si>
  <si>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</si>
  <si>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</si>
  <si>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</si>
  <si>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</si>
  <si>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</si>
  <si>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</si>
  <si>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</si>
  <si>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</si>
  <si>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</si>
  <si>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</si>
  <si>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</si>
  <si>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</si>
  <si>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</si>
  <si>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</si>
  <si>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</si>
  <si>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</si>
  <si>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</si>
  <si>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</si>
  <si>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</si>
  <si>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</si>
  <si>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</si>
  <si>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</si>
  <si>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</si>
  <si>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</si>
  <si>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</si>
  <si>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</si>
  <si>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</si>
  <si>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</si>
  <si>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</si>
  <si>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</si>
  <si>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</si>
  <si>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</si>
  <si>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</si>
  <si>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</si>
  <si>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</si>
  <si>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</si>
  <si>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</si>
  <si>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</si>
  <si>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</si>
  <si>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</si>
  <si>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</si>
  <si>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</si>
  <si>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</si>
  <si>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</si>
  <si>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</si>
  <si>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</si>
  <si>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</si>
  <si>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</si>
  <si>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</si>
  <si>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</si>
  <si>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</si>
  <si>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</si>
  <si>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</si>
  <si>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</si>
  <si>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</si>
  <si>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</si>
  <si>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</si>
  <si>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</si>
  <si>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</si>
  <si>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</si>
  <si>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</si>
  <si>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</si>
  <si>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</si>
  <si>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</si>
  <si>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</si>
  <si>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</si>
  <si>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</si>
  <si>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</si>
  <si>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</si>
  <si>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</si>
  <si>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</si>
  <si>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</si>
  <si>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</si>
  <si>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</si>
  <si>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</si>
  <si>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</si>
  <si>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</si>
  <si>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</si>
  <si>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</si>
  <si>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</si>
  <si>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</si>
  <si>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</si>
  <si>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</si>
  <si>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</si>
  <si>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</si>
  <si>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</si>
  <si>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</si>
  <si>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</si>
  <si>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</si>
  <si>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</si>
  <si>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</si>
  <si>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</si>
  <si>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</si>
  <si>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</si>
  <si>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</si>
  <si>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</si>
  <si>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</si>
  <si>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</si>
  <si>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</si>
  <si>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</si>
  <si>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</si>
  <si>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</si>
  <si>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</si>
  <si>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</si>
  <si>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</si>
  <si>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</si>
  <si>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</si>
  <si>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</si>
  <si>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</si>
  <si>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</si>
  <si>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</si>
  <si>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</si>
  <si>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</si>
  <si>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</si>
  <si>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</si>
  <si>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</si>
  <si>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</si>
  <si>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</si>
  <si>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</si>
  <si>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</si>
  <si>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</si>
  <si>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</si>
  <si>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</si>
  <si>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</si>
  <si>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</si>
  <si>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</si>
  <si>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</si>
  <si>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</si>
  <si>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</si>
  <si>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</si>
  <si>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</si>
  <si>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</si>
  <si>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</si>
  <si>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</si>
  <si>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</si>
  <si>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</si>
  <si>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</si>
  <si>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</si>
  <si>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</si>
  <si>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</si>
  <si>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</si>
  <si>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</si>
  <si>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</si>
  <si>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</si>
  <si>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</si>
  <si>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</si>
  <si>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</si>
  <si>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</si>
  <si>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</si>
  <si>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</si>
  <si>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</si>
  <si>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</si>
  <si>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</si>
  <si>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</si>
  <si>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</si>
  <si>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</si>
  <si>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</si>
  <si>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</si>
  <si>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</si>
  <si>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</si>
  <si>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</si>
  <si>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</si>
  <si>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</si>
  <si>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</si>
  <si>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</si>
  <si>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</si>
  <si>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</si>
  <si>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</si>
  <si>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</si>
  <si>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</si>
  <si>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</si>
  <si>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</si>
  <si>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</si>
  <si>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</si>
  <si>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</si>
  <si>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</si>
  <si>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</si>
  <si>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</si>
  <si>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</si>
  <si>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</si>
  <si>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</si>
  <si>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</si>
  <si>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</si>
  <si>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</si>
  <si>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</si>
  <si>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</si>
  <si>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</si>
  <si>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</si>
  <si>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</si>
  <si>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</si>
  <si>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</si>
  <si>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</si>
  <si>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</si>
  <si>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</si>
  <si>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</si>
  <si>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</si>
  <si>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</si>
  <si>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</si>
  <si>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</si>
  <si>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</si>
  <si>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</si>
  <si>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</si>
  <si>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</si>
  <si>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</si>
  <si>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</si>
  <si>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</si>
  <si>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</si>
  <si>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</si>
  <si>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</si>
  <si>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</si>
  <si>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</si>
  <si>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</si>
  <si>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</si>
  <si>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</si>
  <si>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</si>
  <si>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</si>
  <si>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</si>
  <si>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</si>
  <si>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</si>
  <si>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</si>
  <si>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</si>
  <si>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</si>
  <si>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</si>
  <si>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</si>
  <si>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</si>
  <si>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</si>
  <si>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</si>
  <si>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</si>
  <si>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</si>
  <si>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</si>
  <si>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</si>
  <si>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</si>
  <si>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</si>
  <si>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</si>
  <si>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</si>
  <si>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</si>
  <si>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</si>
  <si>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</si>
  <si>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</si>
  <si>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</si>
  <si>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</si>
  <si>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</si>
  <si>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</si>
  <si>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</si>
  <si>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</si>
  <si>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</si>
  <si>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</si>
  <si>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</si>
  <si>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</si>
  <si>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</si>
  <si>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</si>
  <si>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</si>
  <si>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</si>
  <si>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</si>
  <si>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</si>
  <si>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</si>
  <si>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</si>
  <si>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</si>
  <si>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</si>
  <si>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</si>
  <si>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</si>
  <si>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</si>
  <si>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</si>
  <si>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</si>
  <si>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</si>
  <si>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</si>
  <si>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</si>
  <si>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</si>
  <si>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</si>
  <si>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</si>
  <si>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</si>
  <si>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</si>
  <si>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</si>
  <si>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</si>
  <si>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P2</t>
  </si>
  <si>
    <t>P3</t>
  </si>
  <si>
    <t>P4</t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</si>
  <si>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</si>
  <si>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</si>
  <si>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</si>
  <si>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</si>
  <si>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</si>
  <si>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</si>
  <si>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</si>
  <si>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</si>
  <si>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</si>
  <si>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</si>
  <si>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</si>
  <si>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</si>
  <si>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</si>
  <si>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</si>
  <si>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</si>
  <si>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</si>
  <si>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</si>
  <si>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</si>
  <si>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</si>
  <si>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</si>
  <si>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</si>
  <si>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</si>
  <si>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</si>
  <si>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</si>
  <si>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</si>
  <si>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</si>
  <si>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</si>
  <si>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</si>
  <si>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no</t>
  </si>
  <si>
    <t>分類</t>
    <phoneticPr fontId="5"/>
  </si>
  <si>
    <t>kind</t>
  </si>
  <si>
    <t>kind</t>
    <phoneticPr fontId="5"/>
  </si>
  <si>
    <t>タイトル</t>
  </si>
  <si>
    <t>title</t>
  </si>
  <si>
    <t>txt</t>
  </si>
  <si>
    <t>ntext</t>
  </si>
  <si>
    <t>nvarchar</t>
    <phoneticPr fontId="5"/>
  </si>
  <si>
    <t>登録時間</t>
  </si>
  <si>
    <t>touroku_time</t>
  </si>
  <si>
    <t>touroku_user</t>
  </si>
  <si>
    <t>登録者</t>
  </si>
  <si>
    <t>share_type</t>
  </si>
  <si>
    <t>○</t>
    <phoneticPr fontId="5"/>
  </si>
  <si>
    <t>共有</t>
  </si>
  <si>
    <t>システム名</t>
  </si>
  <si>
    <t>system_name</t>
  </si>
  <si>
    <t>txt、vb、</t>
    <phoneticPr fontId="5"/>
  </si>
  <si>
    <t>m_data</t>
    <phoneticPr fontId="5"/>
  </si>
  <si>
    <t>保存パス</t>
  </si>
  <si>
    <t>save_path</t>
  </si>
  <si>
    <t>enclosure1</t>
  </si>
  <si>
    <t>enclosure2</t>
  </si>
  <si>
    <t>enclosure3</t>
  </si>
  <si>
    <t>enclosure4</t>
  </si>
  <si>
    <t>enclosure5</t>
  </si>
  <si>
    <t>添付ファイル１</t>
  </si>
  <si>
    <t>添付ファイル２</t>
  </si>
  <si>
    <t>添付ファイル３</t>
  </si>
  <si>
    <t>添付ファイル４</t>
  </si>
  <si>
    <t>添付ファイル５</t>
  </si>
  <si>
    <t>子タイトル</t>
  </si>
  <si>
    <t>child_title</t>
  </si>
  <si>
    <t>m_file_kind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</si>
  <si>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</si>
  <si>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</si>
  <si>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</si>
  <si>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</si>
  <si>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種類</t>
  </si>
  <si>
    <t>資料</t>
    <phoneticPr fontId="5"/>
  </si>
  <si>
    <t>資料保存する</t>
    <phoneticPr fontId="5"/>
  </si>
  <si>
    <t>分類-(key)</t>
    <phoneticPr fontId="31" type="noConversion"/>
  </si>
  <si>
    <t>vb</t>
  </si>
  <si>
    <t>js</t>
  </si>
  <si>
    <t>html</t>
  </si>
  <si>
    <t>htm</t>
  </si>
  <si>
    <t>aspx</t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</si>
  <si>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</si>
  <si>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</si>
  <si>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</si>
  <si>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</si>
  <si>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</si>
  <si>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</si>
  <si>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</si>
  <si>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</si>
  <si>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</si>
  <si>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</si>
  <si>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ファイル種類</t>
    <phoneticPr fontId="5"/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</si>
  <si>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</si>
  <si>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</si>
  <si>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</si>
  <si>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</si>
  <si>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</si>
  <si>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</si>
  <si>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F:\ILIKEMAKE2017\AutoCode_SaveData\Web\</t>
    <phoneticPr fontId="5"/>
  </si>
  <si>
    <t>F:\ILIKEMAKE2017\AutoCode_SaveData\Web\App_Code\Lixil.SA.BizLogic\</t>
    <phoneticPr fontId="5"/>
  </si>
  <si>
    <t>F:\ILIKEMAKE2017\AutoCode_SaveData\Web\App_Code\Lixil.SA.DataAccess\</t>
    <phoneticPr fontId="5"/>
  </si>
  <si>
    <t>Provider=SQLOLEDB.1;Data Source=WIN7U-20150705K\R2; Initial Catalog=auto_codedata;Persist Security Info=True;User ID=sa;Password=1983313a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</si>
</sst>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宋体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26" fillId="0" borderId="0" xfId="0" applyFont="1" applyFill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30" fillId="0" borderId="14" xfId="0" applyFont="1" applyBorder="1"/>
  </cellXfs>
  <cellStyles count="9">
    <cellStyle name="\P" xfId="1"/>
    <cellStyle name="パーセント2" xfId="2"/>
    <cellStyle name="見出し" xfId="4"/>
    <cellStyle name="常规" xfId="0" builtinId="0"/>
    <cellStyle name="超链接" xfId="3" builtinId="8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="" xmlns:a16="http://schemas.microsoft.com/office/drawing/2014/main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="" xmlns:a16="http://schemas.microsoft.com/office/drawing/2014/main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54</xdr:row>
      <xdr:rowOff>192405</xdr:rowOff>
    </xdr:from>
    <xdr:to>
      <xdr:col>1</xdr:col>
      <xdr:colOff>1619250</xdr:colOff>
      <xdr:row>54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="" xmlns:a16="http://schemas.microsoft.com/office/drawing/2014/main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="" xmlns:a16="http://schemas.microsoft.com/office/drawing/2014/main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="" xmlns:a16="http://schemas.microsoft.com/office/drawing/2014/main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="" xmlns:a16="http://schemas.microsoft.com/office/drawing/2014/main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="" xmlns:a16="http://schemas.microsoft.com/office/drawing/2014/main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="" xmlns:a16="http://schemas.microsoft.com/office/drawing/2014/main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="" xmlns:a16="http://schemas.microsoft.com/office/drawing/2014/main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="" xmlns:a16="http://schemas.microsoft.com/office/drawing/2014/main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="" xmlns:a16="http://schemas.microsoft.com/office/drawing/2014/main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="" xmlns:a16="http://schemas.microsoft.com/office/drawing/2014/main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54</xdr:row>
      <xdr:rowOff>192405</xdr:rowOff>
    </xdr:from>
    <xdr:to>
      <xdr:col>2</xdr:col>
      <xdr:colOff>1257300</xdr:colOff>
      <xdr:row>54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54</xdr:row>
      <xdr:rowOff>114300</xdr:rowOff>
    </xdr:from>
    <xdr:to>
      <xdr:col>12</xdr:col>
      <xdr:colOff>171450</xdr:colOff>
      <xdr:row>54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54</xdr:row>
      <xdr:rowOff>116205</xdr:rowOff>
    </xdr:from>
    <xdr:to>
      <xdr:col>10</xdr:col>
      <xdr:colOff>1866900</xdr:colOff>
      <xdr:row>54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="" xmlns:a16="http://schemas.microsoft.com/office/drawing/2014/main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="" xmlns:a16="http://schemas.microsoft.com/office/drawing/2014/main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="" xmlns:a16="http://schemas.microsoft.com/office/drawing/2014/main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="" xmlns:a16="http://schemas.microsoft.com/office/drawing/2014/main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3905" name="cboTYPE" hidden="1">
              <a:extLst>
                <a:ext uri="{63B3BB69-23CF-44E3-9099-C40C66FF867C}">
                  <a14:compatExt spid="_x0000_s123905"/>
                </a:ext>
                <a:ext uri="{FF2B5EF4-FFF2-40B4-BE49-F238E27FC236}">
                  <a16:creationId xmlns="" xmlns:a16="http://schemas.microsoft.com/office/drawing/2014/main" id="{00000000-0008-0000-0200-000001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3906" name="chkTYPE" hidden="1">
              <a:extLst>
                <a:ext uri="{63B3BB69-23CF-44E3-9099-C40C66FF867C}">
                  <a14:compatExt spid="_x0000_s123906"/>
                </a:ext>
                <a:ext uri="{FF2B5EF4-FFF2-40B4-BE49-F238E27FC236}">
                  <a16:creationId xmlns="" xmlns:a16="http://schemas.microsoft.com/office/drawing/2014/main" id="{00000000-0008-0000-0200-000002E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73151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2084069" y="10327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3419475" y="10248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m_file_kind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kind='aspx'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m_file_kind SELECT 'aspx'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7760969" y="10250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="" xmlns:a16="http://schemas.microsoft.com/office/drawing/2014/main" id="{00000000-0008-0000-03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="" xmlns:a16="http://schemas.microsoft.com/office/drawing/2014/main" id="{00000000-0008-0000-03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3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3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3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3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3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3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3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3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3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3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3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3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3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3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3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3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3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3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3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3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3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3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3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3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="" xmlns:a16="http://schemas.microsoft.com/office/drawing/2014/main" id="{00000000-0008-0000-04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="" xmlns:a16="http://schemas.microsoft.com/office/drawing/2014/main" id="{00000000-0008-0000-04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="" xmlns:a16="http://schemas.microsoft.com/office/drawing/2014/main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="" xmlns:a16="http://schemas.microsoft.com/office/drawing/2014/main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="" xmlns:a16="http://schemas.microsoft.com/office/drawing/2014/main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="" xmlns:a16="http://schemas.microsoft.com/office/drawing/2014/main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="" xmlns:a16="http://schemas.microsoft.com/office/drawing/2014/main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="" xmlns:a16="http://schemas.microsoft.com/office/drawing/2014/main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="" xmlns:a16="http://schemas.microsoft.com/office/drawing/2014/main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="" xmlns:a16="http://schemas.microsoft.com/office/drawing/2014/main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="" xmlns:a16="http://schemas.microsoft.com/office/drawing/2014/main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="" xmlns:a16="http://schemas.microsoft.com/office/drawing/2014/main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="" xmlns:a16="http://schemas.microsoft.com/office/drawing/2014/main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="" xmlns:a16="http://schemas.microsoft.com/office/drawing/2014/main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="" xmlns:a16="http://schemas.microsoft.com/office/drawing/2014/main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="" xmlns:a16="http://schemas.microsoft.com/office/drawing/2014/main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="" xmlns:a16="http://schemas.microsoft.com/office/drawing/2014/main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="" xmlns:a16="http://schemas.microsoft.com/office/drawing/2014/main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="" xmlns:a16="http://schemas.microsoft.com/office/drawing/2014/main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="" xmlns:a16="http://schemas.microsoft.com/office/drawing/2014/main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="" xmlns:a16="http://schemas.microsoft.com/office/drawing/2014/main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="" xmlns:a16="http://schemas.microsoft.com/office/drawing/2014/main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="" xmlns:a16="http://schemas.microsoft.com/office/drawing/2014/main" id="{00000000-0008-0000-07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="" xmlns:a16="http://schemas.microsoft.com/office/drawing/2014/main" id="{00000000-0008-0000-07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="" xmlns:a16="http://schemas.microsoft.com/office/drawing/2014/main" id="{00000000-0008-0000-07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="" xmlns:a16="http://schemas.microsoft.com/office/drawing/2014/main" id="{00000000-0008-0000-07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="" xmlns:a16="http://schemas.microsoft.com/office/drawing/2014/main" id="{00000000-0008-0000-07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="" xmlns:a16="http://schemas.microsoft.com/office/drawing/2014/main" id="{00000000-0008-0000-07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="" xmlns:a16="http://schemas.microsoft.com/office/drawing/2014/main" id="{00000000-0008-0000-07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="" xmlns:a16="http://schemas.microsoft.com/office/drawing/2014/main" id="{00000000-0008-0000-07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="" xmlns:a16="http://schemas.microsoft.com/office/drawing/2014/main" id="{00000000-0008-0000-07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="" xmlns:a16="http://schemas.microsoft.com/office/drawing/2014/main" id="{00000000-0008-0000-07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="" xmlns:a16="http://schemas.microsoft.com/office/drawing/2014/main" id="{00000000-0008-0000-07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="" xmlns:a16="http://schemas.microsoft.com/office/drawing/2014/main" id="{00000000-0008-0000-07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="" xmlns:a16="http://schemas.microsoft.com/office/drawing/2014/main" id="{00000000-0008-0000-07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="" xmlns:a16="http://schemas.microsoft.com/office/drawing/2014/main" id="{00000000-0008-0000-07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="" xmlns:a16="http://schemas.microsoft.com/office/drawing/2014/main" id="{00000000-0008-0000-07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="" xmlns:a16="http://schemas.microsoft.com/office/drawing/2014/main" id="{00000000-0008-0000-07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="" xmlns:a16="http://schemas.microsoft.com/office/drawing/2014/main" id="{00000000-0008-0000-07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="" xmlns:a16="http://schemas.microsoft.com/office/drawing/2014/main" id="{00000000-0008-0000-07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="" xmlns:a16="http://schemas.microsoft.com/office/drawing/2014/main" id="{00000000-0008-0000-07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="" xmlns:a16="http://schemas.microsoft.com/office/drawing/2014/main" id="{00000000-0008-0000-07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="" xmlns:a16="http://schemas.microsoft.com/office/drawing/2014/main" id="{00000000-0008-0000-07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="" xmlns:a16="http://schemas.microsoft.com/office/drawing/2014/main" id="{00000000-0008-0000-07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="" xmlns:a16="http://schemas.microsoft.com/office/drawing/2014/main" id="{00000000-0008-0000-07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="" xmlns:a16="http://schemas.microsoft.com/office/drawing/2014/main" id="{00000000-0008-0000-07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="" xmlns:a16="http://schemas.microsoft.com/office/drawing/2014/main" id="{00000000-0008-0000-07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="" xmlns:a16="http://schemas.microsoft.com/office/drawing/2014/main" id="{00000000-0008-0000-07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="" xmlns:a16="http://schemas.microsoft.com/office/drawing/2014/main" id="{00000000-0008-0000-07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="" xmlns:a16="http://schemas.microsoft.com/office/drawing/2014/main" id="{00000000-0008-0000-07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57"/>
  <sheetViews>
    <sheetView showGridLines="0" tabSelected="1" zoomScaleNormal="100" workbookViewId="0">
      <selection activeCell="C28" sqref="C28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8" t="s">
        <v>664</v>
      </c>
      <c r="D5" s="159"/>
      <c r="E5" s="160"/>
      <c r="F5" s="161" t="s">
        <v>665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8" t="s">
        <v>643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136</v>
      </c>
      <c r="C9" s="69" t="s">
        <v>624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662</v>
      </c>
      <c r="C10" s="69" t="s">
        <v>519</v>
      </c>
      <c r="D10" s="69" t="s">
        <v>531</v>
      </c>
      <c r="E10" s="69">
        <v>10</v>
      </c>
      <c r="F10" s="69" t="s">
        <v>593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640</v>
      </c>
      <c r="C11" s="69" t="s">
        <v>641</v>
      </c>
      <c r="D11" s="69" t="s">
        <v>531</v>
      </c>
      <c r="E11" s="69">
        <v>50</v>
      </c>
      <c r="F11" s="69" t="s">
        <v>594</v>
      </c>
      <c r="G11" s="69" t="s">
        <v>586</v>
      </c>
      <c r="H11" s="69"/>
      <c r="I11" s="69"/>
      <c r="J11" s="69"/>
      <c r="K11" s="69"/>
    </row>
    <row r="12" spans="1:25" ht="11.25">
      <c r="A12" s="69">
        <v>4</v>
      </c>
      <c r="B12" s="68" t="s">
        <v>663</v>
      </c>
      <c r="C12" s="69" t="s">
        <v>626</v>
      </c>
      <c r="D12" s="69" t="s">
        <v>676</v>
      </c>
      <c r="E12" s="69">
        <v>20</v>
      </c>
      <c r="F12" s="69" t="s">
        <v>595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628</v>
      </c>
      <c r="C13" s="69" t="s">
        <v>629</v>
      </c>
      <c r="D13" s="69" t="s">
        <v>531</v>
      </c>
      <c r="E13" s="69">
        <v>200</v>
      </c>
      <c r="F13" s="69"/>
      <c r="G13" s="69"/>
      <c r="H13" s="69"/>
      <c r="I13" s="69"/>
      <c r="J13" s="69"/>
      <c r="K13" s="69"/>
    </row>
    <row r="14" spans="1:25" ht="11.25">
      <c r="A14" s="69">
        <v>6</v>
      </c>
      <c r="B14" s="68" t="s">
        <v>656</v>
      </c>
      <c r="C14" s="69" t="s">
        <v>657</v>
      </c>
      <c r="D14" s="69" t="s">
        <v>676</v>
      </c>
      <c r="E14" s="69">
        <v>200</v>
      </c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679</v>
      </c>
      <c r="C15" s="69" t="s">
        <v>677</v>
      </c>
      <c r="D15" s="69" t="s">
        <v>631</v>
      </c>
      <c r="E15" s="69"/>
      <c r="F15" s="69"/>
      <c r="G15" s="69"/>
      <c r="H15" s="69"/>
      <c r="I15" s="69"/>
      <c r="J15" s="69"/>
      <c r="K15" s="69"/>
    </row>
    <row r="16" spans="1:25" ht="11.25">
      <c r="A16" s="69">
        <v>8</v>
      </c>
      <c r="B16" s="68" t="s">
        <v>680</v>
      </c>
      <c r="C16" s="69" t="s">
        <v>678</v>
      </c>
      <c r="D16" s="69" t="s">
        <v>631</v>
      </c>
      <c r="E16" s="69"/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25" ht="11.25">
      <c r="A17" s="69">
        <v>9</v>
      </c>
      <c r="B17" s="68" t="s">
        <v>651</v>
      </c>
      <c r="C17" s="70" t="s">
        <v>646</v>
      </c>
      <c r="D17" s="69" t="s">
        <v>631</v>
      </c>
      <c r="E17" s="69"/>
      <c r="F17" s="69"/>
      <c r="G17" s="69"/>
      <c r="H17" s="69"/>
      <c r="I17" s="69"/>
      <c r="J17" s="69"/>
      <c r="K17" s="69"/>
      <c r="L17" s="8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</row>
    <row r="18" spans="1:25" ht="11.25">
      <c r="A18" s="69">
        <v>10</v>
      </c>
      <c r="B18" s="68" t="s">
        <v>652</v>
      </c>
      <c r="C18" s="70" t="s">
        <v>647</v>
      </c>
      <c r="D18" s="69" t="s">
        <v>631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653</v>
      </c>
      <c r="C19" s="70" t="s">
        <v>648</v>
      </c>
      <c r="D19" s="69" t="s">
        <v>631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654</v>
      </c>
      <c r="C20" s="70" t="s">
        <v>649</v>
      </c>
      <c r="D20" s="69" t="s">
        <v>631</v>
      </c>
      <c r="E20" s="69"/>
      <c r="F20" s="69"/>
      <c r="G20" s="69"/>
      <c r="H20" s="69"/>
      <c r="I20" s="69"/>
      <c r="J20" s="69"/>
      <c r="K20" s="69"/>
      <c r="L20" s="8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</row>
    <row r="21" spans="1:25" ht="11.25">
      <c r="A21" s="69">
        <v>13</v>
      </c>
      <c r="B21" s="68" t="s">
        <v>655</v>
      </c>
      <c r="C21" s="70" t="s">
        <v>650</v>
      </c>
      <c r="D21" s="69" t="s">
        <v>631</v>
      </c>
      <c r="E21" s="69"/>
      <c r="F21" s="69"/>
      <c r="G21" s="69"/>
      <c r="H21" s="69"/>
      <c r="I21" s="69"/>
      <c r="J21" s="69"/>
      <c r="K21" s="69"/>
      <c r="L21" s="8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</row>
    <row r="22" spans="1:25" ht="11.25">
      <c r="A22" s="69">
        <v>14</v>
      </c>
      <c r="B22" s="68" t="s">
        <v>644</v>
      </c>
      <c r="C22" s="69" t="s">
        <v>645</v>
      </c>
      <c r="D22" s="69" t="s">
        <v>531</v>
      </c>
      <c r="E22" s="69">
        <v>800</v>
      </c>
      <c r="F22" s="69"/>
      <c r="G22" s="69"/>
      <c r="H22" s="69"/>
      <c r="I22" s="69"/>
      <c r="J22" s="69"/>
      <c r="K22" s="69"/>
      <c r="L22" s="8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</row>
    <row r="23" spans="1:25" ht="11.25">
      <c r="A23" s="69">
        <v>15</v>
      </c>
      <c r="B23" s="68" t="s">
        <v>639</v>
      </c>
      <c r="C23" s="69" t="s">
        <v>637</v>
      </c>
      <c r="D23" s="69" t="s">
        <v>531</v>
      </c>
      <c r="E23" s="69">
        <v>1</v>
      </c>
      <c r="F23" s="69"/>
      <c r="G23" s="69"/>
      <c r="H23" s="69"/>
      <c r="I23" s="69"/>
      <c r="J23" s="69"/>
      <c r="K23" s="69"/>
      <c r="L23" s="8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</row>
    <row r="24" spans="1:25" ht="11.25">
      <c r="A24" s="69">
        <v>16</v>
      </c>
      <c r="B24" s="68" t="s">
        <v>636</v>
      </c>
      <c r="C24" s="69" t="s">
        <v>635</v>
      </c>
      <c r="D24" s="69" t="s">
        <v>531</v>
      </c>
      <c r="E24" s="69">
        <v>20</v>
      </c>
      <c r="F24" s="71"/>
      <c r="G24" s="71"/>
      <c r="H24" s="71"/>
      <c r="I24" s="71"/>
      <c r="J24" s="71"/>
      <c r="K24" s="70"/>
      <c r="L24" s="8"/>
      <c r="M24" s="14"/>
      <c r="N24" s="15"/>
    </row>
    <row r="25" spans="1:25" ht="11.25">
      <c r="A25" s="69">
        <v>17</v>
      </c>
      <c r="B25" s="68" t="s">
        <v>633</v>
      </c>
      <c r="C25" s="69" t="s">
        <v>634</v>
      </c>
      <c r="D25" s="69" t="s">
        <v>685</v>
      </c>
      <c r="E25" s="69"/>
      <c r="F25" s="71"/>
      <c r="G25" s="71"/>
      <c r="H25" s="71"/>
      <c r="I25" s="71"/>
      <c r="J25" s="71"/>
      <c r="K25" s="70"/>
      <c r="L25" s="8"/>
    </row>
    <row r="26" spans="1:25" ht="11.25">
      <c r="A26" s="69"/>
      <c r="B26" s="68"/>
      <c r="C26" s="70"/>
      <c r="D26" s="71"/>
      <c r="E26" s="71"/>
      <c r="F26" s="69"/>
      <c r="G26" s="69"/>
      <c r="H26" s="69"/>
      <c r="I26" s="69"/>
      <c r="J26" s="69"/>
      <c r="K26" s="70"/>
      <c r="L26" s="8"/>
      <c r="M26" s="14"/>
      <c r="N26" s="15"/>
    </row>
    <row r="27" spans="1:25" ht="11.25">
      <c r="A27" s="69"/>
      <c r="B27" s="68"/>
      <c r="C27" s="70"/>
      <c r="D27" s="71"/>
      <c r="E27" s="71"/>
      <c r="F27" s="72"/>
      <c r="G27" s="69"/>
      <c r="H27" s="71"/>
      <c r="I27" s="71"/>
      <c r="J27" s="71"/>
      <c r="K27" s="70"/>
      <c r="L27" s="8"/>
      <c r="M27" s="14"/>
      <c r="N27" s="15"/>
    </row>
    <row r="28" spans="1:25" ht="11.25">
      <c r="A28" s="69"/>
      <c r="B28" s="68"/>
      <c r="C28" s="70"/>
      <c r="D28" s="71"/>
      <c r="E28" s="71"/>
      <c r="F28" s="72"/>
      <c r="G28" s="69"/>
      <c r="H28" s="71"/>
      <c r="I28" s="71"/>
      <c r="J28" s="71"/>
      <c r="K28" s="70"/>
      <c r="L28" s="8"/>
    </row>
    <row r="29" spans="1:25" ht="11.25">
      <c r="A29" s="69"/>
      <c r="B29" s="68"/>
      <c r="C29" s="70"/>
      <c r="D29" s="71"/>
      <c r="E29" s="71"/>
      <c r="F29" s="73"/>
      <c r="G29" s="69"/>
      <c r="H29" s="71"/>
      <c r="I29" s="71"/>
      <c r="J29" s="71"/>
      <c r="K29" s="70"/>
      <c r="L29" s="8"/>
      <c r="M29" s="14"/>
      <c r="N29" s="15"/>
    </row>
    <row r="30" spans="1:25" ht="11.25">
      <c r="A30" s="69"/>
      <c r="B30" s="68"/>
      <c r="C30" s="70"/>
      <c r="D30" s="69"/>
      <c r="E30" s="71"/>
      <c r="F30" s="73"/>
      <c r="G30" s="69"/>
      <c r="H30" s="71"/>
      <c r="I30" s="71"/>
      <c r="J30" s="71"/>
      <c r="K30" s="70"/>
      <c r="L30" s="8"/>
      <c r="M30" s="3"/>
      <c r="N30" s="1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12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12" ht="11.25">
      <c r="A34" s="69"/>
      <c r="B34" s="68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12" ht="11.25">
      <c r="A35" s="69"/>
      <c r="B35" s="68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12" ht="11.25">
      <c r="A36" s="69"/>
      <c r="B36" s="68"/>
      <c r="C36" s="70"/>
      <c r="D36" s="69"/>
      <c r="E36" s="69"/>
      <c r="F36" s="69"/>
      <c r="G36" s="69"/>
      <c r="H36" s="69"/>
      <c r="I36" s="69"/>
      <c r="J36" s="69"/>
      <c r="K36" s="74"/>
      <c r="L36" s="8"/>
    </row>
    <row r="37" spans="1:12" ht="11.25">
      <c r="A37" s="69"/>
      <c r="B37" s="68"/>
      <c r="C37" s="70"/>
      <c r="D37" s="69"/>
      <c r="E37" s="69"/>
      <c r="F37" s="69"/>
      <c r="G37" s="69"/>
      <c r="H37" s="69"/>
      <c r="I37" s="69"/>
      <c r="J37" s="69"/>
      <c r="K37" s="74"/>
      <c r="L37" s="8"/>
    </row>
    <row r="38" spans="1:12" ht="11.25">
      <c r="A38" s="69"/>
      <c r="B38" s="68"/>
      <c r="C38" s="70"/>
      <c r="D38" s="69"/>
      <c r="E38" s="69"/>
      <c r="F38" s="69"/>
      <c r="G38" s="69"/>
      <c r="H38" s="69"/>
      <c r="I38" s="69"/>
      <c r="J38" s="69"/>
      <c r="K38" s="74"/>
      <c r="L38" s="8"/>
    </row>
    <row r="39" spans="1:12" ht="11.25">
      <c r="A39" s="69"/>
      <c r="B39" s="68"/>
      <c r="C39" s="70"/>
      <c r="D39" s="69"/>
      <c r="E39" s="69"/>
      <c r="F39" s="69"/>
      <c r="G39" s="69"/>
      <c r="H39" s="69"/>
      <c r="I39" s="69"/>
      <c r="J39" s="69"/>
      <c r="K39" s="74"/>
      <c r="L39" s="8"/>
    </row>
    <row r="40" spans="1:12" ht="11.25">
      <c r="A40" s="69"/>
      <c r="B40" s="69"/>
      <c r="C40" s="70"/>
      <c r="D40" s="69"/>
      <c r="E40" s="69"/>
      <c r="F40" s="69"/>
      <c r="G40" s="69"/>
      <c r="H40" s="69"/>
      <c r="I40" s="69"/>
      <c r="J40" s="69"/>
      <c r="K40" s="74"/>
      <c r="L40" s="8"/>
    </row>
    <row r="41" spans="1:12" ht="11.25">
      <c r="A41" s="69"/>
      <c r="B41" s="69"/>
      <c r="C41" s="70"/>
      <c r="D41" s="69"/>
      <c r="E41" s="69"/>
      <c r="F41" s="69"/>
      <c r="G41" s="69"/>
      <c r="H41" s="69"/>
      <c r="I41" s="69"/>
      <c r="J41" s="69"/>
      <c r="K41" s="74"/>
      <c r="L41" s="8"/>
    </row>
    <row r="42" spans="1:12" ht="11.25">
      <c r="A42" s="69"/>
      <c r="B42" s="75"/>
      <c r="C42" s="76"/>
      <c r="D42" s="76"/>
      <c r="E42" s="76"/>
      <c r="F42" s="69"/>
      <c r="G42" s="69"/>
      <c r="H42" s="69"/>
      <c r="I42" s="69"/>
      <c r="J42" s="69"/>
      <c r="K42" s="74"/>
      <c r="L42" s="60"/>
    </row>
    <row r="43" spans="1:12" ht="11.25">
      <c r="A43" s="69"/>
      <c r="B43" s="69"/>
      <c r="C43" s="69"/>
      <c r="D43" s="69"/>
      <c r="E43" s="69"/>
      <c r="F43" s="69"/>
      <c r="G43" s="69"/>
      <c r="H43" s="69"/>
      <c r="I43" s="69"/>
      <c r="J43" s="69"/>
      <c r="K43" s="74"/>
      <c r="L43" s="8"/>
    </row>
    <row r="44" spans="1:12" ht="11.25">
      <c r="A44" s="69"/>
      <c r="B44" s="69"/>
      <c r="C44" s="69"/>
      <c r="D44" s="69"/>
      <c r="E44" s="69"/>
      <c r="F44" s="69"/>
      <c r="G44" s="69"/>
      <c r="H44" s="69"/>
      <c r="I44" s="69"/>
      <c r="J44" s="69"/>
      <c r="K44" s="74"/>
      <c r="L44" s="8"/>
    </row>
    <row r="45" spans="1:12" ht="11.25">
      <c r="A45" s="69"/>
      <c r="B45" s="69"/>
      <c r="C45" s="74"/>
      <c r="D45" s="69"/>
      <c r="E45" s="69"/>
      <c r="F45" s="69"/>
      <c r="G45" s="69"/>
      <c r="H45" s="69"/>
      <c r="I45" s="69"/>
      <c r="J45" s="69"/>
      <c r="K45" s="74"/>
      <c r="L45" s="8"/>
    </row>
    <row r="46" spans="1:12" ht="11.25">
      <c r="A46" s="69"/>
      <c r="B46" s="69"/>
      <c r="C46" s="74"/>
      <c r="D46" s="69"/>
      <c r="E46" s="69"/>
      <c r="F46" s="69"/>
      <c r="G46" s="69"/>
      <c r="H46" s="69"/>
      <c r="I46" s="69"/>
      <c r="J46" s="69"/>
      <c r="K46" s="74"/>
      <c r="L46" s="8"/>
    </row>
    <row r="47" spans="1:12" ht="11.25">
      <c r="A47" s="69"/>
      <c r="B47" s="69"/>
      <c r="C47" s="74"/>
      <c r="D47" s="69"/>
      <c r="E47" s="69"/>
      <c r="F47" s="69"/>
      <c r="G47" s="69"/>
      <c r="H47" s="69"/>
      <c r="I47" s="69"/>
      <c r="J47" s="69"/>
      <c r="K47" s="74"/>
      <c r="L47" s="8"/>
    </row>
    <row r="48" spans="1:12" ht="11.25">
      <c r="A48" s="69"/>
      <c r="B48" s="69"/>
      <c r="C48" s="74"/>
      <c r="D48" s="69"/>
      <c r="E48" s="69"/>
      <c r="F48" s="69"/>
      <c r="G48" s="69"/>
      <c r="H48" s="69"/>
      <c r="I48" s="69"/>
      <c r="J48" s="69"/>
      <c r="K48" s="74"/>
      <c r="L48" s="8"/>
    </row>
    <row r="49" spans="1:25" ht="11.25">
      <c r="A49" s="69"/>
      <c r="B49" s="69"/>
      <c r="C49" s="74"/>
      <c r="D49" s="69"/>
      <c r="E49" s="69"/>
      <c r="F49" s="69"/>
      <c r="G49" s="69"/>
      <c r="H49" s="69"/>
      <c r="I49" s="69"/>
      <c r="J49" s="69"/>
      <c r="K49" s="74"/>
      <c r="L49" s="8"/>
    </row>
    <row r="50" spans="1:25" ht="11.25">
      <c r="A50" s="69"/>
      <c r="B50" s="69"/>
      <c r="C50" s="74"/>
      <c r="D50" s="69"/>
      <c r="E50" s="69"/>
      <c r="F50" s="69"/>
      <c r="G50" s="69"/>
      <c r="H50" s="69"/>
      <c r="I50" s="69"/>
      <c r="J50" s="69"/>
      <c r="K50" s="74"/>
      <c r="L50" s="8"/>
    </row>
    <row r="51" spans="1:25" ht="11.25">
      <c r="A51" s="69"/>
      <c r="B51" s="77"/>
      <c r="C51" s="74"/>
      <c r="D51" s="69"/>
      <c r="E51" s="69"/>
      <c r="F51" s="69"/>
      <c r="G51" s="69"/>
      <c r="H51" s="69"/>
      <c r="I51" s="69"/>
      <c r="J51" s="69"/>
      <c r="K51" s="74"/>
      <c r="L51" s="8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</row>
    <row r="52" spans="1:25" ht="11.25">
      <c r="A52" s="69"/>
      <c r="B52" s="77"/>
      <c r="C52" s="74"/>
      <c r="D52" s="69"/>
      <c r="E52" s="69"/>
      <c r="F52" s="69"/>
      <c r="G52" s="69"/>
      <c r="H52" s="69"/>
      <c r="I52" s="69"/>
      <c r="J52" s="69"/>
      <c r="K52" s="74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</row>
    <row r="53" spans="1:25" ht="11.25">
      <c r="A53" s="69"/>
      <c r="B53" s="77"/>
      <c r="C53" s="74"/>
      <c r="D53" s="69"/>
      <c r="E53" s="69"/>
      <c r="F53" s="69"/>
      <c r="G53" s="69"/>
      <c r="H53" s="69"/>
      <c r="I53" s="69"/>
      <c r="J53" s="69"/>
      <c r="K53" s="74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</row>
    <row r="54" spans="1:25" ht="11.25">
      <c r="A54" s="86"/>
      <c r="B54" s="87"/>
      <c r="C54" s="88"/>
      <c r="D54" s="86"/>
      <c r="E54" s="86"/>
      <c r="F54" s="86"/>
      <c r="G54" s="86"/>
      <c r="H54" s="86"/>
      <c r="I54" s="86"/>
      <c r="J54" s="86"/>
      <c r="K54" s="88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</row>
    <row r="55" spans="1:25" s="85" customFormat="1" ht="234.75" customHeight="1">
      <c r="A55" s="79" t="s">
        <v>587</v>
      </c>
      <c r="B55" s="80"/>
      <c r="C55" s="81"/>
      <c r="D55" s="82"/>
      <c r="E55" s="83"/>
      <c r="F55" s="84"/>
      <c r="G55" s="84"/>
      <c r="H55" s="84"/>
      <c r="I55" s="84"/>
      <c r="J55" s="84"/>
      <c r="K55" s="84"/>
    </row>
    <row r="56" spans="1:25" s="14" customFormat="1" ht="17.100000000000001" customHeight="1">
      <c r="B56" s="136" t="s">
        <v>588</v>
      </c>
      <c r="C56" s="137" t="s">
        <v>524</v>
      </c>
      <c r="D56" s="138" t="s">
        <v>525</v>
      </c>
      <c r="E56" s="139" t="s">
        <v>535</v>
      </c>
      <c r="F56" s="140" t="s">
        <v>526</v>
      </c>
      <c r="G56" s="140" t="s">
        <v>575</v>
      </c>
      <c r="H56" s="96"/>
      <c r="I56" s="96"/>
      <c r="J56" s="96"/>
      <c r="K56" s="96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</row>
    <row r="57" spans="1:25" s="14" customFormat="1" ht="17.100000000000001" customHeight="1">
      <c r="B57" s="140" t="s">
        <v>519</v>
      </c>
      <c r="C57" s="137" t="s">
        <v>520</v>
      </c>
      <c r="D57" s="138" t="s">
        <v>521</v>
      </c>
      <c r="E57" s="139" t="s">
        <v>522</v>
      </c>
      <c r="F57" s="140" t="s">
        <v>523</v>
      </c>
      <c r="G57" s="140" t="s">
        <v>527</v>
      </c>
      <c r="H57" s="96"/>
      <c r="I57" s="96"/>
      <c r="J57" s="96"/>
      <c r="K57" s="96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</row>
    <row r="58" spans="1:25" s="14" customFormat="1" ht="17.100000000000001" customHeight="1">
      <c r="B58" s="141" t="s">
        <v>576</v>
      </c>
      <c r="C58" s="142" t="s">
        <v>577</v>
      </c>
      <c r="D58" s="143" t="s">
        <v>578</v>
      </c>
      <c r="E58" s="144">
        <v>1</v>
      </c>
      <c r="F58" s="141" t="s">
        <v>579</v>
      </c>
      <c r="G58" s="141" t="s">
        <v>580</v>
      </c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5" s="14" customFormat="1" ht="17.100000000000001" customHeight="1">
      <c r="B59" s="141" t="s">
        <v>581</v>
      </c>
      <c r="C59" s="142" t="s">
        <v>577</v>
      </c>
      <c r="D59" s="143" t="s">
        <v>578</v>
      </c>
      <c r="E59" s="144">
        <v>1</v>
      </c>
      <c r="F59" s="141" t="s">
        <v>579</v>
      </c>
      <c r="G59" s="141" t="s">
        <v>580</v>
      </c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5" s="14" customFormat="1" ht="17.100000000000001" customHeight="1">
      <c r="B60" s="141" t="s">
        <v>582</v>
      </c>
      <c r="C60" s="142" t="s">
        <v>577</v>
      </c>
      <c r="D60" s="143" t="s">
        <v>578</v>
      </c>
      <c r="E60" s="144">
        <v>6</v>
      </c>
      <c r="F60" s="141" t="s">
        <v>579</v>
      </c>
      <c r="G60" s="141" t="s">
        <v>580</v>
      </c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5" s="14" customFormat="1" ht="17.100000000000001" customHeight="1">
      <c r="B61" s="141" t="s">
        <v>583</v>
      </c>
      <c r="C61" s="142" t="s">
        <v>577</v>
      </c>
      <c r="D61" s="143" t="s">
        <v>578</v>
      </c>
      <c r="E61" s="144">
        <v>3</v>
      </c>
      <c r="F61" s="141" t="s">
        <v>579</v>
      </c>
      <c r="G61" s="141" t="s">
        <v>580</v>
      </c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5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5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5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  <row r="1052" spans="2:23" s="14" customFormat="1" ht="17.100000000000001" customHeight="1">
      <c r="B1052" s="89"/>
      <c r="C1052" s="90"/>
      <c r="D1052" s="91"/>
      <c r="E1052" s="92"/>
      <c r="F1052" s="89"/>
      <c r="G1052" s="89"/>
      <c r="H1052" s="89"/>
      <c r="I1052" s="89"/>
      <c r="J1052" s="89"/>
      <c r="K1052" s="89"/>
      <c r="L1052" s="93"/>
      <c r="M1052" s="93"/>
      <c r="N1052" s="93"/>
      <c r="O1052" s="93"/>
      <c r="P1052" s="93"/>
      <c r="Q1052" s="93"/>
      <c r="R1052" s="93"/>
      <c r="S1052" s="93"/>
      <c r="T1052" s="93"/>
      <c r="U1052" s="93"/>
      <c r="V1052" s="93"/>
      <c r="W1052" s="93"/>
    </row>
    <row r="1053" spans="2:23" s="14" customFormat="1" ht="17.100000000000001" customHeight="1">
      <c r="B1053" s="89"/>
      <c r="C1053" s="90"/>
      <c r="D1053" s="91"/>
      <c r="E1053" s="92"/>
      <c r="F1053" s="89"/>
      <c r="G1053" s="89"/>
      <c r="H1053" s="89"/>
      <c r="I1053" s="89"/>
      <c r="J1053" s="89"/>
      <c r="K1053" s="89"/>
      <c r="L1053" s="93"/>
      <c r="M1053" s="93"/>
      <c r="N1053" s="93"/>
      <c r="O1053" s="93"/>
      <c r="P1053" s="93"/>
      <c r="Q1053" s="93"/>
      <c r="R1053" s="93"/>
      <c r="S1053" s="93"/>
      <c r="T1053" s="93"/>
      <c r="U1053" s="93"/>
      <c r="V1053" s="93"/>
      <c r="W1053" s="93"/>
    </row>
    <row r="1054" spans="2:23" s="14" customFormat="1" ht="17.100000000000001" customHeight="1">
      <c r="B1054" s="89"/>
      <c r="C1054" s="90"/>
      <c r="D1054" s="91"/>
      <c r="E1054" s="92"/>
      <c r="F1054" s="89"/>
      <c r="G1054" s="89"/>
      <c r="H1054" s="89"/>
      <c r="I1054" s="89"/>
      <c r="J1054" s="89"/>
      <c r="K1054" s="89"/>
      <c r="L1054" s="93"/>
      <c r="M1054" s="93"/>
      <c r="N1054" s="93"/>
      <c r="O1054" s="93"/>
      <c r="P1054" s="93"/>
      <c r="Q1054" s="93"/>
      <c r="R1054" s="93"/>
      <c r="S1054" s="93"/>
      <c r="T1054" s="93"/>
      <c r="U1054" s="93"/>
      <c r="V1054" s="93"/>
      <c r="W1054" s="93"/>
    </row>
    <row r="1055" spans="2:23" s="14" customFormat="1" ht="17.100000000000001" customHeight="1">
      <c r="B1055" s="89"/>
      <c r="C1055" s="90"/>
      <c r="D1055" s="91"/>
      <c r="E1055" s="92"/>
      <c r="F1055" s="89"/>
      <c r="G1055" s="89"/>
      <c r="H1055" s="89"/>
      <c r="I1055" s="89"/>
      <c r="J1055" s="89"/>
      <c r="K1055" s="89"/>
      <c r="L1055" s="93"/>
      <c r="M1055" s="93"/>
      <c r="N1055" s="93"/>
      <c r="O1055" s="93"/>
      <c r="P1055" s="93"/>
      <c r="Q1055" s="93"/>
      <c r="R1055" s="93"/>
      <c r="S1055" s="93"/>
      <c r="T1055" s="93"/>
      <c r="U1055" s="93"/>
      <c r="V1055" s="93"/>
      <c r="W1055" s="93"/>
    </row>
    <row r="1056" spans="2:23" s="14" customFormat="1" ht="17.100000000000001" customHeight="1">
      <c r="B1056" s="89"/>
      <c r="C1056" s="90"/>
      <c r="D1056" s="91"/>
      <c r="E1056" s="92"/>
      <c r="F1056" s="89"/>
      <c r="G1056" s="89"/>
      <c r="H1056" s="89"/>
      <c r="I1056" s="89"/>
      <c r="J1056" s="89"/>
      <c r="K1056" s="89"/>
      <c r="L1056" s="93"/>
      <c r="M1056" s="93"/>
      <c r="N1056" s="93"/>
      <c r="O1056" s="93"/>
      <c r="P1056" s="93"/>
      <c r="Q1056" s="93"/>
      <c r="R1056" s="93"/>
      <c r="S1056" s="93"/>
      <c r="T1056" s="93"/>
      <c r="U1056" s="93"/>
      <c r="V1056" s="93"/>
      <c r="W1056" s="93"/>
    </row>
    <row r="1057" spans="2:23" s="14" customFormat="1" ht="17.100000000000001" customHeight="1">
      <c r="B1057" s="89"/>
      <c r="C1057" s="90"/>
      <c r="D1057" s="91"/>
      <c r="E1057" s="92"/>
      <c r="F1057" s="89"/>
      <c r="G1057" s="89"/>
      <c r="H1057" s="89"/>
      <c r="I1057" s="89"/>
      <c r="J1057" s="89"/>
      <c r="K1057" s="89"/>
      <c r="L1057" s="93"/>
      <c r="M1057" s="93"/>
      <c r="N1057" s="93"/>
      <c r="O1057" s="93"/>
      <c r="P1057" s="93"/>
      <c r="Q1057" s="93"/>
      <c r="R1057" s="93"/>
      <c r="S1057" s="93"/>
      <c r="T1057" s="93"/>
      <c r="U1057" s="93"/>
      <c r="V1057" s="93"/>
      <c r="W1057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9"/>
  <dimension ref="A1:Y1041"/>
  <sheetViews>
    <sheetView showGridLines="0" zoomScaleNormal="100" workbookViewId="0">
      <selection activeCell="C11" sqref="C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659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658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625</v>
      </c>
      <c r="C9" s="69" t="s">
        <v>627</v>
      </c>
      <c r="D9" s="69" t="s">
        <v>632</v>
      </c>
      <c r="E9" s="69">
        <v>20</v>
      </c>
      <c r="F9" s="69" t="s">
        <v>638</v>
      </c>
      <c r="G9" s="69"/>
      <c r="H9" s="69"/>
      <c r="I9" s="69"/>
      <c r="J9" s="69"/>
      <c r="K9" s="69" t="s">
        <v>642</v>
      </c>
    </row>
    <row r="10" spans="1:15" ht="11.25">
      <c r="A10" s="69"/>
      <c r="B10" s="68"/>
      <c r="C10" s="70"/>
      <c r="D10" s="71"/>
      <c r="E10" s="71"/>
      <c r="F10" s="69"/>
      <c r="G10" s="69"/>
      <c r="H10" s="69"/>
      <c r="I10" s="69"/>
      <c r="J10" s="69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666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626</v>
      </c>
      <c r="C41" s="155"/>
      <c r="D41" s="156"/>
      <c r="E41" s="157"/>
      <c r="F41" s="96"/>
      <c r="G41" s="96"/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671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670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669</v>
      </c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668</v>
      </c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141" t="s">
        <v>630</v>
      </c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141" t="s">
        <v>667</v>
      </c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90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0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K15" sqref="K15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659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661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687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688</v>
      </c>
      <c r="C10" s="69" t="s">
        <v>686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F11" sqref="F11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682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660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640</v>
      </c>
      <c r="C9" s="69" t="s">
        <v>641</v>
      </c>
      <c r="D9" s="69" t="s">
        <v>531</v>
      </c>
      <c r="E9" s="69">
        <v>50</v>
      </c>
      <c r="F9" s="69" t="s">
        <v>586</v>
      </c>
      <c r="G9" s="69"/>
      <c r="H9" s="69"/>
      <c r="I9" s="69"/>
      <c r="J9" s="69"/>
      <c r="K9" s="69" t="s">
        <v>681</v>
      </c>
    </row>
    <row r="10" spans="1:15" ht="11.25">
      <c r="A10" s="69"/>
      <c r="B10" s="68"/>
      <c r="C10" s="70"/>
      <c r="D10" s="71"/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675</v>
      </c>
      <c r="C39" s="155"/>
      <c r="D39" s="156"/>
      <c r="E39" s="157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641</v>
      </c>
      <c r="C40" s="155"/>
      <c r="D40" s="156"/>
      <c r="E40" s="157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673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672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674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0"/>
  <sheetViews>
    <sheetView zoomScale="85" zoomScaleNormal="85" workbookViewId="0">
      <selection activeCell="B19" sqref="B19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621</v>
      </c>
      <c r="B1" s="145" t="s">
        <v>692</v>
      </c>
    </row>
    <row r="2" spans="1:2">
      <c r="A2" s="146" t="s">
        <v>42</v>
      </c>
      <c r="B2" s="145" t="str">
        <f>GetConnDataByKey(B$1,A2)</f>
        <v>WIN7U-20150705K\R2</v>
      </c>
    </row>
    <row r="3" spans="1:2">
      <c r="A3" s="146" t="s">
        <v>43</v>
      </c>
      <c r="B3" s="145" t="str">
        <f>GetConnDataByKey(B$1,A3)</f>
        <v>auto_codedata</v>
      </c>
    </row>
    <row r="4" spans="1:2" s="149" customFormat="1">
      <c r="A4" s="148" t="s">
        <v>622</v>
      </c>
      <c r="B4" s="145" t="s">
        <v>597</v>
      </c>
    </row>
    <row r="5" spans="1:2" s="149" customFormat="1">
      <c r="A5" s="148" t="s">
        <v>42</v>
      </c>
      <c r="B5" s="145" t="str">
        <f>GetConnDataByKey(B$1,A5)</f>
        <v>WIN7U-20150705K\R2</v>
      </c>
    </row>
    <row r="6" spans="1:2" s="149" customFormat="1">
      <c r="A6" s="148" t="s">
        <v>43</v>
      </c>
      <c r="B6" s="145" t="str">
        <f>GetConnDataByKey(B$1,A6)</f>
        <v>auto_codedata</v>
      </c>
    </row>
    <row r="7" spans="1:2" s="149" customFormat="1">
      <c r="A7" s="154" t="s">
        <v>589</v>
      </c>
      <c r="B7" s="145" t="s">
        <v>689</v>
      </c>
    </row>
    <row r="8" spans="1:2" s="149" customFormat="1">
      <c r="A8" s="154" t="s">
        <v>683</v>
      </c>
      <c r="B8" s="145" t="s">
        <v>690</v>
      </c>
    </row>
    <row r="9" spans="1:2" s="149" customFormat="1">
      <c r="A9" s="154" t="s">
        <v>684</v>
      </c>
      <c r="B9" s="145" t="s">
        <v>691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3" t="s">
        <v>550</v>
      </c>
      <c r="B23" s="145" t="s">
        <v>530</v>
      </c>
    </row>
    <row r="24" spans="1:2">
      <c r="A24" s="153" t="s">
        <v>565</v>
      </c>
      <c r="B24" s="145" t="s">
        <v>596</v>
      </c>
    </row>
    <row r="25" spans="1:2">
      <c r="A25" s="153" t="s">
        <v>552</v>
      </c>
      <c r="B25" s="145" t="s">
        <v>551</v>
      </c>
    </row>
    <row r="26" spans="1:2">
      <c r="A26" s="153" t="s">
        <v>564</v>
      </c>
      <c r="B26" s="145" t="s">
        <v>44</v>
      </c>
    </row>
    <row r="27" spans="1:2">
      <c r="A27" s="153" t="s">
        <v>563</v>
      </c>
      <c r="B27" s="145" t="s">
        <v>553</v>
      </c>
    </row>
    <row r="28" spans="1:2">
      <c r="A28" s="180"/>
      <c r="B28" s="145" t="s">
        <v>597</v>
      </c>
    </row>
    <row r="29" spans="1:2">
      <c r="B29" s="152"/>
    </row>
    <row r="30" spans="1:2">
      <c r="B30" s="152"/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7"/>
      <c r="D5" s="168"/>
      <c r="E5" s="169"/>
      <c r="F5" s="170"/>
      <c r="G5" s="171"/>
      <c r="H5" s="171"/>
      <c r="I5" s="171"/>
      <c r="J5" s="171"/>
      <c r="K5" s="172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6"/>
      <c r="D6" s="177"/>
      <c r="E6" s="178"/>
      <c r="F6" s="173"/>
      <c r="G6" s="174"/>
      <c r="H6" s="174"/>
      <c r="I6" s="174"/>
      <c r="J6" s="174"/>
      <c r="K6" s="175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598</v>
      </c>
    </row>
    <row r="11" spans="2:2">
      <c r="B11" t="s">
        <v>599</v>
      </c>
    </row>
    <row r="12" spans="2:2">
      <c r="B12" t="s">
        <v>547</v>
      </c>
    </row>
    <row r="13" spans="2:2">
      <c r="B13" t="s">
        <v>600</v>
      </c>
    </row>
    <row r="14" spans="2:2">
      <c r="B14" t="s">
        <v>601</v>
      </c>
    </row>
    <row r="15" spans="2:2">
      <c r="B15" t="s">
        <v>602</v>
      </c>
    </row>
    <row r="16" spans="2:2">
      <c r="B16" t="s">
        <v>603</v>
      </c>
    </row>
    <row r="17" spans="2:2">
      <c r="B17" t="s">
        <v>604</v>
      </c>
    </row>
    <row r="18" spans="2:2">
      <c r="B18" t="s">
        <v>605</v>
      </c>
    </row>
    <row r="19" spans="2:2">
      <c r="B19" t="s">
        <v>548</v>
      </c>
    </row>
    <row r="20" spans="2:2">
      <c r="B20" t="s">
        <v>606</v>
      </c>
    </row>
    <row r="21" spans="2:2">
      <c r="B21" t="s">
        <v>584</v>
      </c>
    </row>
    <row r="22" spans="2:2">
      <c r="B22" t="s">
        <v>607</v>
      </c>
    </row>
    <row r="23" spans="2:2">
      <c r="B23" t="s">
        <v>608</v>
      </c>
    </row>
    <row r="24" spans="2:2">
      <c r="B24" t="s">
        <v>609</v>
      </c>
    </row>
    <row r="25" spans="2:2">
      <c r="B25" t="s">
        <v>610</v>
      </c>
    </row>
    <row r="26" spans="2:2">
      <c r="B26" t="s">
        <v>611</v>
      </c>
    </row>
    <row r="27" spans="2:2">
      <c r="B27" t="s">
        <v>612</v>
      </c>
    </row>
    <row r="28" spans="2:2">
      <c r="B28" t="s">
        <v>613</v>
      </c>
    </row>
    <row r="29" spans="2:2">
      <c r="B29" t="s">
        <v>614</v>
      </c>
    </row>
    <row r="30" spans="2:2">
      <c r="B30" t="s">
        <v>615</v>
      </c>
    </row>
    <row r="31" spans="2:2">
      <c r="B31" t="s">
        <v>616</v>
      </c>
    </row>
    <row r="32" spans="2:2">
      <c r="B32" t="s">
        <v>617</v>
      </c>
    </row>
    <row r="33" spans="2:2">
      <c r="B33" t="s">
        <v>618</v>
      </c>
    </row>
    <row r="34" spans="2:2">
      <c r="B34" t="s">
        <v>619</v>
      </c>
    </row>
    <row r="35" spans="2:2">
      <c r="B35" t="s">
        <v>620</v>
      </c>
    </row>
  </sheetData>
  <phoneticPr fontId="5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79" t="s">
        <v>46</v>
      </c>
      <c r="B2" s="179"/>
      <c r="C2" s="179"/>
      <c r="D2" s="179" t="s">
        <v>47</v>
      </c>
      <c r="E2" s="179"/>
      <c r="F2" s="179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C32" sqref="C32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13</vt:i4>
      </vt:variant>
      <vt:variant>
        <vt:lpstr>命名范围</vt:lpstr>
      </vt:variant>
      <vt:variant>
        <vt:i4>30</vt:i4>
      </vt:variant>
    </vt:vector>
  </HeadingPairs>
  <TitlesOfParts>
    <vt:vector size="43" baseType="lpstr">
      <vt:lpstr>システムMENU</vt:lpstr>
      <vt:lpstr>m_data</vt:lpstr>
      <vt:lpstr>m_kind</vt:lpstr>
      <vt:lpstr>m_edp</vt:lpstr>
      <vt:lpstr>m_system_name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m_edp!Naiyou</vt:lpstr>
      <vt:lpstr>m_kind!Naiyou</vt:lpstr>
      <vt:lpstr>m_system_name!Naiyou</vt:lpstr>
      <vt:lpstr>TABLE_TMP!Naiyou</vt:lpstr>
      <vt:lpstr>m_data!name</vt:lpstr>
      <vt:lpstr>m_edp!name</vt:lpstr>
      <vt:lpstr>m_kind!name</vt:lpstr>
      <vt:lpstr>m_system_name!name</vt:lpstr>
      <vt:lpstr>TABLE_TMP!name</vt:lpstr>
      <vt:lpstr>m_data!Print_Area</vt:lpstr>
      <vt:lpstr>m_edp!Print_Area</vt:lpstr>
      <vt:lpstr>m_kind!Print_Area</vt:lpstr>
      <vt:lpstr>m_system_name!Print_Area</vt:lpstr>
      <vt:lpstr>TABLE_TMP!Print_Area</vt:lpstr>
      <vt:lpstr>m_data!Print_Titles</vt:lpstr>
      <vt:lpstr>m_edp!Print_Titles</vt:lpstr>
      <vt:lpstr>m_kind!Print_Titles</vt:lpstr>
      <vt:lpstr>m_system_name!Print_Titles</vt:lpstr>
      <vt:lpstr>TABLE_TMP!Print_Titles</vt:lpstr>
      <vt:lpstr>m_data!TBL_Name</vt:lpstr>
      <vt:lpstr>m_edp!TBL_Name</vt:lpstr>
      <vt:lpstr>m_kind!TBL_Name</vt:lpstr>
      <vt:lpstr>m_system_name!TBL_Name</vt:lpstr>
      <vt:lpstr>TABLE_TMP!TBL_Name</vt:lpstr>
      <vt:lpstr>m_data!TYPE</vt:lpstr>
      <vt:lpstr>m_edp!TYPE</vt:lpstr>
      <vt:lpstr>m_kind!TYPE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Administrator</cp:lastModifiedBy>
  <cp:lastPrinted>2012-09-11T23:42:05Z</cp:lastPrinted>
  <dcterms:created xsi:type="dcterms:W3CDTF">2002-07-02T05:50:34Z</dcterms:created>
  <dcterms:modified xsi:type="dcterms:W3CDTF">2018-12-03T13:35:04Z</dcterms:modified>
</cp:coreProperties>
</file>