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ILIKEMAKE\AutoCode_Table\"/>
    </mc:Choice>
  </mc:AlternateContent>
  <xr:revisionPtr revIDLastSave="0" documentId="13_ncr:1_{4C27ECE0-F22B-4640-848C-689A8472814D}" xr6:coauthVersionLast="40" xr6:coauthVersionMax="40" xr10:uidLastSave="{00000000-0000-0000-0000-000000000000}"/>
  <bookViews>
    <workbookView xWindow="0" yWindow="0" windowWidth="23040" windowHeight="9390" tabRatio="790" activeTab="2" xr2:uid="{00000000-000D-0000-FFFF-FFFF00000000}"/>
  </bookViews>
  <sheets>
    <sheet name="システムMENU" sheetId="93" r:id="rId1"/>
    <sheet name="m_data" sheetId="85" r:id="rId2"/>
    <sheet name="m_data_job" sheetId="98" r:id="rId3"/>
    <sheet name="m_kind" sheetId="95" r:id="rId4"/>
    <sheet name="m_edp" sheetId="96" r:id="rId5"/>
    <sheet name="m_system_name" sheetId="97" r:id="rId6"/>
    <sheet name="→" sheetId="90" r:id="rId7"/>
    <sheet name="DB_INFO" sheetId="89" r:id="rId8"/>
    <sheet name="TABLE_TMP" sheetId="94" r:id="rId9"/>
    <sheet name="GetTableNameList" sheetId="92" r:id="rId10"/>
    <sheet name="CopyTable" sheetId="91" r:id="rId11"/>
    <sheet name="DB_CHANGE_TABLE" sheetId="87" r:id="rId12"/>
    <sheet name="DB_REP" sheetId="88" r:id="rId13"/>
    <sheet name="ENV" sheetId="83" r:id="rId14"/>
  </sheets>
  <functionGroups builtInGroupCount="19"/>
  <definedNames>
    <definedName name="_Fill" localSheetId="7" hidden="1">#REF!</definedName>
    <definedName name="_Fill" localSheetId="13" hidden="1">#REF!</definedName>
    <definedName name="_Fill" localSheetId="1" hidden="1">#REF!</definedName>
    <definedName name="_Fill" localSheetId="2" hidden="1">#REF!</definedName>
    <definedName name="_Fill" localSheetId="4" hidden="1">#REF!</definedName>
    <definedName name="_Fill" localSheetId="3" hidden="1">#REF!</definedName>
    <definedName name="_Fill" localSheetId="5" hidden="1">#REF!</definedName>
    <definedName name="_Fill" localSheetId="8" hidden="1">#REF!</definedName>
    <definedName name="_Fill" hidden="1">#REF!</definedName>
    <definedName name="_Order1" hidden="1">1</definedName>
    <definedName name="_Order2" hidden="1">1</definedName>
    <definedName name="cboTYPE_Click" localSheetId="13">ENV!cboTYPE_Click</definedName>
    <definedName name="cboTYPE_Click" localSheetId="1">m_data!cboTYPE_Click</definedName>
    <definedName name="cboTYPE_Click" localSheetId="2">m_data_job!cboTYPE_Click</definedName>
    <definedName name="cboTYPE_Click" localSheetId="4">m_edp!cboTYPE_Click</definedName>
    <definedName name="cboTYPE_Click" localSheetId="3">m_kind!cboTYPE_Click</definedName>
    <definedName name="cboTYPE_Click" localSheetId="5">m_system_name!cboTYPE_Click</definedName>
    <definedName name="cboTYPE_Click" localSheetId="8">TABLE_TMP!cboTYPE_Click</definedName>
    <definedName name="cboTYPE_Click">[0]!cboTYPE_Click</definedName>
    <definedName name="IDX_NEXT" localSheetId="1">m_data!#REF!</definedName>
    <definedName name="IDX_NEXT" localSheetId="2">m_data_job!#REF!</definedName>
    <definedName name="IDX_NEXT" localSheetId="4">m_edp!#REF!</definedName>
    <definedName name="IDX_NEXT" localSheetId="3">m_kind!#REF!</definedName>
    <definedName name="IDX_NEXT" localSheetId="5">m_system_name!#REF!</definedName>
    <definedName name="IDX_NEXT" localSheetId="8">TABLE_TMP!#REF!</definedName>
    <definedName name="IDX_PctFree" localSheetId="1">m_data!#REF!</definedName>
    <definedName name="IDX_PctFree" localSheetId="2">m_data_job!#REF!</definedName>
    <definedName name="IDX_PctFree" localSheetId="4">m_edp!#REF!</definedName>
    <definedName name="IDX_PctFree" localSheetId="3">m_kind!#REF!</definedName>
    <definedName name="IDX_PctFree" localSheetId="5">m_system_name!#REF!</definedName>
    <definedName name="IDX_PctFree" localSheetId="8">TABLE_TMP!#REF!</definedName>
    <definedName name="IDX_SPACE" localSheetId="1">m_data!#REF!</definedName>
    <definedName name="IDX_SPACE" localSheetId="2">m_data_job!#REF!</definedName>
    <definedName name="IDX_SPACE" localSheetId="4">m_edp!#REF!</definedName>
    <definedName name="IDX_SPACE" localSheetId="3">m_kind!#REF!</definedName>
    <definedName name="IDX_SPACE" localSheetId="5">m_system_name!#REF!</definedName>
    <definedName name="IDX_SPACE" localSheetId="8">TABLE_TMP!#REF!</definedName>
    <definedName name="IDX_Storage" localSheetId="1">m_data!#REF!</definedName>
    <definedName name="IDX_Storage" localSheetId="2">m_data_job!#REF!</definedName>
    <definedName name="IDX_Storage" localSheetId="4">m_edp!#REF!</definedName>
    <definedName name="IDX_Storage" localSheetId="3">m_kind!#REF!</definedName>
    <definedName name="IDX_Storage" localSheetId="5">m_system_name!#REF!</definedName>
    <definedName name="IDX_Storage" localSheetId="8">TABLE_TMP!#REF!</definedName>
    <definedName name="Index_Length" localSheetId="1">m_data!#REF!</definedName>
    <definedName name="Index_Length" localSheetId="2">m_data_job!#REF!</definedName>
    <definedName name="Index_Length" localSheetId="4">m_edp!#REF!</definedName>
    <definedName name="Index_Length" localSheetId="3">m_kind!#REF!</definedName>
    <definedName name="Index_Length" localSheetId="5">m_system_name!#REF!</definedName>
    <definedName name="Index_Length" localSheetId="8">TABLE_TMP!#REF!</definedName>
    <definedName name="Naiyou" localSheetId="1">m_data!$F$5</definedName>
    <definedName name="Naiyou" localSheetId="2">m_data_job!$F$5</definedName>
    <definedName name="Naiyou" localSheetId="4">m_edp!$F$5</definedName>
    <definedName name="Naiyou" localSheetId="3">m_kind!$F$5</definedName>
    <definedName name="Naiyou" localSheetId="5">m_system_name!$F$5</definedName>
    <definedName name="Naiyou" localSheetId="8">TABLE_TMP!$F$5</definedName>
    <definedName name="name" localSheetId="1">m_data!$C$5</definedName>
    <definedName name="name" localSheetId="2">m_data_job!$C$5</definedName>
    <definedName name="name" localSheetId="4">m_edp!$C$5</definedName>
    <definedName name="name" localSheetId="3">m_kind!$C$5</definedName>
    <definedName name="name" localSheetId="5">m_system_name!$C$5</definedName>
    <definedName name="name" localSheetId="8">TABLE_TMP!$C$5</definedName>
    <definedName name="_xlnm.Print_Area" localSheetId="1">m_data!$A$1:$K$43</definedName>
    <definedName name="_xlnm.Print_Area" localSheetId="2">m_data_job!$A$1:$K$44</definedName>
    <definedName name="_xlnm.Print_Area" localSheetId="4">m_edp!$A$1:$K$35</definedName>
    <definedName name="_xlnm.Print_Area" localSheetId="3">m_kind!$A$1:$K$35</definedName>
    <definedName name="_xlnm.Print_Area" localSheetId="5">m_system_name!$A$1:$K$34</definedName>
    <definedName name="_xlnm.Print_Area" localSheetId="8">TABLE_TMP!$A$1:$K$42</definedName>
    <definedName name="_xlnm.Print_Titles" localSheetId="1">m_data!$1:$8</definedName>
    <definedName name="_xlnm.Print_Titles" localSheetId="2">m_data_job!$1:$8</definedName>
    <definedName name="_xlnm.Print_Titles" localSheetId="4">m_edp!$1:$8</definedName>
    <definedName name="_xlnm.Print_Titles" localSheetId="3">m_kind!$1:$8</definedName>
    <definedName name="_xlnm.Print_Titles" localSheetId="5">m_system_name!$1:$8</definedName>
    <definedName name="_xlnm.Print_Titles" localSheetId="8">TABLE_TMP!$1:$8</definedName>
    <definedName name="REC_Count" localSheetId="1">m_data!#REF!</definedName>
    <definedName name="REC_Count" localSheetId="2">m_data_job!#REF!</definedName>
    <definedName name="REC_Count" localSheetId="4">m_edp!#REF!</definedName>
    <definedName name="REC_Count" localSheetId="3">m_kind!#REF!</definedName>
    <definedName name="REC_Count" localSheetId="5">m_system_name!#REF!</definedName>
    <definedName name="REC_Count" localSheetId="8">TABLE_TMP!#REF!</definedName>
    <definedName name="Rec_Length" localSheetId="1">m_data!#REF!</definedName>
    <definedName name="Rec_Length" localSheetId="2">m_data_job!#REF!</definedName>
    <definedName name="Rec_Length" localSheetId="4">m_edp!#REF!</definedName>
    <definedName name="Rec_Length" localSheetId="3">m_kind!#REF!</definedName>
    <definedName name="Rec_Length" localSheetId="5">m_system_name!#REF!</definedName>
    <definedName name="Rec_Length" localSheetId="8">TABLE_TMP!#REF!</definedName>
    <definedName name="TBL_Name" localSheetId="1">m_data!$C$6</definedName>
    <definedName name="TBL_Name" localSheetId="2">m_data_job!$C$6</definedName>
    <definedName name="TBL_Name" localSheetId="4">m_edp!$C$6</definedName>
    <definedName name="TBL_Name" localSheetId="3">m_kind!$C$6</definedName>
    <definedName name="TBL_Name" localSheetId="5">m_system_name!$C$6</definedName>
    <definedName name="TBL_Name" localSheetId="8">TABLE_TMP!$C$6</definedName>
    <definedName name="TBL_NEXT" localSheetId="1">m_data!#REF!</definedName>
    <definedName name="TBL_NEXT" localSheetId="2">m_data_job!#REF!</definedName>
    <definedName name="TBL_NEXT" localSheetId="4">m_edp!#REF!</definedName>
    <definedName name="TBL_NEXT" localSheetId="3">m_kind!#REF!</definedName>
    <definedName name="TBL_NEXT" localSheetId="5">m_system_name!#REF!</definedName>
    <definedName name="TBL_NEXT" localSheetId="8">TABLE_TMP!#REF!</definedName>
    <definedName name="TBL_PctFree" localSheetId="1">m_data!#REF!</definedName>
    <definedName name="TBL_PctFree" localSheetId="2">m_data_job!#REF!</definedName>
    <definedName name="TBL_PctFree" localSheetId="4">m_edp!#REF!</definedName>
    <definedName name="TBL_PctFree" localSheetId="3">m_kind!#REF!</definedName>
    <definedName name="TBL_PctFree" localSheetId="5">m_system_name!#REF!</definedName>
    <definedName name="TBL_PctFree" localSheetId="8">TABLE_TMP!#REF!</definedName>
    <definedName name="TBL_PctUsed" localSheetId="1">m_data!#REF!</definedName>
    <definedName name="TBL_PctUsed" localSheetId="2">m_data_job!#REF!</definedName>
    <definedName name="TBL_PctUsed" localSheetId="4">m_edp!#REF!</definedName>
    <definedName name="TBL_PctUsed" localSheetId="3">m_kind!#REF!</definedName>
    <definedName name="TBL_PctUsed" localSheetId="5">m_system_name!#REF!</definedName>
    <definedName name="TBL_PctUsed" localSheetId="8">TABLE_TMP!#REF!</definedName>
    <definedName name="TBL_SPACE" localSheetId="1">m_data!#REF!</definedName>
    <definedName name="TBL_SPACE" localSheetId="2">m_data_job!#REF!</definedName>
    <definedName name="TBL_SPACE" localSheetId="4">m_edp!#REF!</definedName>
    <definedName name="TBL_SPACE" localSheetId="3">m_kind!#REF!</definedName>
    <definedName name="TBL_SPACE" localSheetId="5">m_system_name!#REF!</definedName>
    <definedName name="TBL_SPACE" localSheetId="8">TABLE_TMP!#REF!</definedName>
    <definedName name="TBL_Storage" localSheetId="1">m_data!#REF!</definedName>
    <definedName name="TBL_Storage" localSheetId="2">m_data_job!#REF!</definedName>
    <definedName name="TBL_Storage" localSheetId="4">m_edp!#REF!</definedName>
    <definedName name="TBL_Storage" localSheetId="3">m_kind!#REF!</definedName>
    <definedName name="TBL_Storage" localSheetId="5">m_system_name!#REF!</definedName>
    <definedName name="TBL_Storage" localSheetId="8">TABLE_TMP!#REF!</definedName>
    <definedName name="TYPE" localSheetId="1">m_data!$D$8</definedName>
    <definedName name="TYPE" localSheetId="2">m_data_job!$D$8</definedName>
    <definedName name="TYPE" localSheetId="4">m_edp!$D$8</definedName>
    <definedName name="TYPE" localSheetId="3">m_kind!$D$8</definedName>
    <definedName name="TYPE" localSheetId="5">m_system_name!$D$8</definedName>
    <definedName name="TYPE" localSheetId="8">TABLE_TMP!$D$8</definedName>
  </definedNames>
  <calcPr calcId="181029"/>
</workbook>
</file>

<file path=xl/calcChain.xml><?xml version="1.0" encoding="utf-8"?>
<calcChain xmlns="http://schemas.openxmlformats.org/spreadsheetml/2006/main">
  <c r="B33" i="89" l="1"/>
  <c r="B32" i="89"/>
  <c r="B6" i="89"/>
  <c r="N6" i="98" l="1"/>
  <c r="N4" i="98"/>
  <c r="B9" i="89" l="1"/>
  <c r="B8" i="89"/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H14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2" i="89"/>
  <c r="B3" i="89"/>
  <c r="G15" i="91" l="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47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48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39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39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38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46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<sst xmlns="http://schemas.openxmlformats.org/spreadsheetml/2006/main" count="1063" uniqueCount="691">
  <si>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</si>
  <si>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</si>
  <si>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</si>
  <si>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</si>
  <si>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</si>
  <si>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</si>
  <si>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</si>
  <si>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</si>
  <si>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</si>
  <si>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</si>
  <si>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</si>
  <si>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</si>
  <si>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</si>
  <si>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</si>
  <si>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</si>
  <si>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</si>
  <si>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</si>
  <si>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</si>
  <si>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</si>
  <si>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</si>
  <si>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</si>
  <si>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</si>
  <si>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</si>
  <si>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</si>
  <si>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</si>
  <si>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</si>
  <si>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</si>
  <si>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</si>
  <si>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</si>
  <si>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</si>
  <si>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</si>
  <si>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</si>
  <si>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</si>
  <si>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</si>
  <si>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</si>
  <si>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</si>
  <si>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</si>
  <si>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</si>
  <si>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</si>
  <si>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</si>
  <si>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</si>
  <si>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</si>
  <si>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</si>
  <si>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</si>
  <si>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</si>
  <si>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</si>
  <si>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</si>
  <si>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</si>
  <si>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</si>
  <si>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</si>
  <si>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</si>
  <si>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</si>
  <si>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</si>
  <si>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</si>
  <si>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</si>
  <si>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</si>
  <si>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</si>
  <si>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</si>
  <si>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</si>
  <si>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</si>
  <si>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</si>
  <si>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</si>
  <si>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</si>
  <si>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</si>
  <si>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</si>
  <si>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</si>
  <si>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</si>
  <si>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</si>
  <si>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</si>
  <si>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</si>
  <si>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</si>
  <si>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</si>
  <si>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</si>
  <si>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</si>
  <si>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</si>
  <si>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</si>
  <si>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</si>
  <si>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</si>
  <si>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</si>
  <si>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</si>
  <si>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</si>
  <si>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</si>
  <si>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</si>
  <si>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</si>
  <si>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</si>
  <si>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</si>
  <si>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</si>
  <si>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</si>
  <si>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</si>
  <si>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</si>
  <si>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</si>
  <si>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</si>
  <si>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</si>
  <si>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</si>
  <si>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</si>
  <si>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</si>
  <si>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</si>
  <si>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</si>
  <si>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</si>
  <si>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</si>
  <si>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</si>
  <si>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</si>
  <si>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</si>
  <si>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</si>
  <si>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</si>
  <si>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</si>
  <si>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</si>
  <si>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</si>
  <si>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</si>
  <si>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</si>
  <si>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</si>
  <si>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</si>
  <si>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</si>
  <si>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</si>
  <si>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</si>
  <si>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</si>
  <si>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</si>
  <si>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</si>
  <si>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</si>
  <si>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</si>
  <si>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</si>
  <si>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</si>
  <si>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</si>
  <si>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</si>
  <si>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</si>
  <si>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</si>
  <si>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</si>
  <si>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</si>
  <si>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</si>
  <si>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</si>
  <si>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</si>
  <si>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</si>
  <si>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</si>
  <si>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</si>
  <si>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</si>
  <si>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</si>
  <si>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</si>
  <si>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</si>
  <si>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</si>
  <si>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</si>
  <si>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</si>
  <si>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</si>
  <si>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</si>
  <si>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</si>
  <si>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</si>
  <si>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</si>
  <si>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</si>
  <si>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</si>
  <si>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</si>
  <si>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</si>
  <si>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</si>
  <si>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</si>
  <si>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</si>
  <si>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</si>
  <si>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</si>
  <si>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</si>
  <si>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</si>
  <si>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</si>
  <si>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</si>
  <si>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</si>
  <si>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</si>
  <si>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</si>
  <si>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</si>
  <si>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</si>
  <si>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</si>
  <si>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</si>
  <si>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</si>
  <si>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</si>
  <si>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</si>
  <si>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</si>
  <si>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</si>
  <si>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</si>
  <si>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</si>
  <si>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</si>
  <si>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</si>
  <si>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</si>
  <si>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</si>
  <si>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</si>
  <si>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</si>
  <si>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</si>
  <si>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</si>
  <si>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</si>
  <si>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</si>
  <si>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</si>
  <si>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</si>
  <si>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</si>
  <si>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</si>
  <si>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</si>
  <si>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</si>
  <si>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</si>
  <si>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</si>
  <si>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</si>
  <si>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</si>
  <si>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</si>
  <si>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</si>
  <si>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</si>
  <si>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</si>
  <si>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</si>
  <si>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</si>
  <si>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</si>
  <si>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</si>
  <si>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</si>
  <si>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</si>
  <si>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</si>
  <si>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</si>
  <si>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</si>
  <si>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</si>
  <si>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</si>
  <si>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</si>
  <si>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</si>
  <si>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</si>
  <si>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</si>
  <si>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</si>
  <si>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</si>
  <si>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</si>
  <si>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</si>
  <si>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</si>
  <si>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</si>
  <si>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</si>
  <si>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</si>
  <si>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</si>
  <si>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</si>
  <si>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</si>
  <si>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</si>
  <si>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</si>
  <si>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</si>
  <si>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</si>
  <si>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</si>
  <si>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</si>
  <si>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</si>
  <si>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</si>
  <si>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</si>
  <si>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</si>
  <si>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</si>
  <si>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</si>
  <si>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</si>
  <si>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</si>
  <si>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</si>
  <si>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</si>
  <si>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</si>
  <si>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</si>
  <si>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</si>
  <si>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</si>
  <si>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</si>
  <si>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</si>
  <si>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</si>
  <si>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</si>
  <si>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</si>
  <si>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</si>
  <si>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</si>
  <si>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</si>
  <si>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</si>
  <si>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</si>
  <si>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</si>
  <si>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</si>
  <si>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</si>
  <si>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</si>
  <si>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</si>
  <si>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</si>
  <si>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</si>
  <si>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</si>
  <si>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</si>
  <si>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</si>
  <si>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</si>
  <si>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</si>
  <si>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</si>
  <si>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</si>
  <si>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</si>
  <si>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</si>
  <si>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</si>
  <si>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</si>
  <si>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</si>
  <si>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</si>
  <si>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</si>
  <si>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</si>
  <si>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</si>
  <si>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</si>
  <si>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</si>
  <si>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</si>
  <si>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</si>
  <si>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</si>
  <si>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</si>
  <si>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</si>
  <si>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</si>
  <si>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</si>
  <si>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</si>
  <si>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</si>
  <si>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</si>
  <si>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</si>
  <si>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</si>
  <si>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</si>
  <si>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</si>
  <si>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</si>
  <si>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</si>
  <si>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</si>
  <si>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</si>
  <si>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</si>
  <si>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</si>
  <si>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</si>
  <si>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</si>
  <si>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</si>
  <si>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</si>
  <si>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</si>
  <si>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</si>
  <si>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</si>
  <si>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</si>
  <si>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</si>
  <si>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</si>
  <si>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</si>
  <si>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</si>
  <si>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</si>
  <si>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</si>
  <si>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</si>
  <si>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</si>
  <si>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</si>
  <si>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</si>
  <si>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</si>
  <si>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</si>
  <si>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</si>
  <si>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</si>
  <si>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</si>
  <si>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</si>
  <si>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</si>
  <si>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</si>
  <si>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</si>
  <si>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</si>
  <si>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</si>
  <si>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</si>
  <si>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</si>
  <si>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</si>
  <si>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</si>
  <si>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</si>
  <si>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</si>
  <si>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</si>
  <si>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</si>
  <si>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</si>
  <si>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</si>
  <si>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</si>
  <si>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</si>
  <si>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</si>
  <si>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</si>
  <si>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</si>
  <si>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</si>
  <si>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</si>
  <si>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</si>
  <si>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</si>
  <si>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</si>
  <si>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</si>
  <si>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</si>
  <si>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</si>
  <si>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</si>
  <si>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</si>
  <si>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</si>
  <si>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</si>
  <si>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</si>
  <si>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</si>
  <si>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</si>
  <si>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</si>
  <si>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</si>
  <si>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</si>
  <si>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</si>
  <si>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</si>
  <si>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</si>
  <si>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</si>
  <si>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</si>
  <si>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</si>
  <si>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</si>
  <si>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</si>
  <si>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</si>
  <si>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</si>
  <si>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</si>
  <si>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</si>
  <si>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</si>
  <si>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</si>
  <si>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</si>
  <si>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</si>
  <si>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</si>
  <si>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</si>
  <si>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</si>
  <si>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</si>
  <si>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</si>
  <si>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</si>
  <si>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</si>
  <si>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</si>
  <si>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</si>
  <si>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</si>
  <si>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</si>
  <si>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</si>
  <si>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</si>
  <si>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</si>
  <si>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</si>
  <si>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</si>
  <si>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</si>
  <si>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</si>
  <si>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</si>
  <si>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</si>
  <si>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</si>
  <si>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</si>
  <si>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</si>
  <si>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</si>
  <si>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</si>
  <si>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</si>
  <si>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</si>
  <si>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</si>
  <si>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</si>
  <si>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</si>
  <si>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</si>
  <si>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</si>
  <si>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</si>
  <si>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</si>
  <si>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</si>
  <si>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</si>
  <si>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</si>
  <si>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</si>
  <si>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</si>
  <si>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</si>
  <si>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</si>
  <si>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</si>
  <si>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</si>
  <si>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</si>
  <si>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</si>
  <si>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</si>
  <si>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</si>
  <si>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</si>
  <si>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</si>
  <si>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</si>
  <si>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</si>
  <si>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</si>
  <si>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</si>
  <si>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</si>
  <si>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</si>
  <si>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</si>
  <si>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</si>
  <si>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</si>
  <si>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</si>
  <si>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</si>
  <si>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</si>
  <si>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</si>
  <si>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</si>
  <si>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</si>
  <si>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</si>
  <si>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</si>
  <si>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</si>
  <si>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</si>
  <si>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</si>
  <si>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</si>
  <si>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</si>
  <si>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</si>
  <si>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</si>
  <si>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</si>
  <si>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</si>
  <si>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</si>
  <si>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</si>
  <si>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</si>
  <si>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</si>
  <si>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</si>
  <si>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</si>
  <si>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</si>
  <si>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</si>
  <si>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</si>
  <si>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</si>
  <si>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</si>
  <si>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</si>
  <si>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</si>
  <si>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</si>
  <si>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</si>
  <si>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</si>
  <si>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</si>
  <si>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</si>
  <si>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</si>
  <si>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</si>
  <si>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</si>
  <si>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</si>
  <si>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</si>
  <si>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</si>
  <si>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</si>
  <si>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</si>
  <si>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</si>
  <si>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</si>
  <si>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</si>
  <si>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</si>
  <si>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</si>
  <si>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</si>
  <si>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</si>
  <si>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</si>
  <si>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</si>
  <si>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</si>
  <si>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</si>
  <si>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</si>
  <si>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</si>
  <si>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</si>
  <si>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</si>
  <si>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</si>
  <si>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</si>
  <si>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</si>
  <si>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</si>
  <si>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</si>
  <si>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</si>
  <si>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</si>
  <si>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</si>
  <si>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</si>
  <si>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</si>
  <si>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</si>
  <si>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</si>
  <si>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</si>
  <si>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</si>
  <si>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</si>
  <si>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</si>
  <si>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</si>
  <si>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</si>
  <si>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</si>
  <si>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</si>
  <si>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</si>
  <si>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</si>
  <si>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</si>
  <si>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</si>
  <si>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</si>
  <si>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</si>
  <si>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</si>
  <si>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</si>
  <si>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</si>
  <si>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</si>
  <si>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</si>
  <si>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</si>
  <si>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</si>
  <si>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</si>
  <si>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</si>
  <si>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</si>
  <si>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</si>
  <si>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</si>
  <si>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</si>
  <si>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</si>
  <si>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</si>
  <si>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</si>
  <si>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</si>
  <si>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</si>
  <si>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</si>
  <si>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</si>
  <si>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</si>
  <si>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</si>
  <si>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</si>
  <si>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</si>
  <si>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</si>
  <si>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</si>
  <si>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</si>
  <si>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</si>
  <si>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</si>
  <si>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</si>
  <si>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</si>
  <si>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</si>
  <si>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</si>
  <si>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</si>
  <si>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</si>
  <si>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</si>
  <si>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</si>
  <si>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</si>
  <si>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</si>
  <si>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</si>
  <si>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</si>
  <si>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</si>
  <si>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</si>
  <si>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</si>
  <si>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</si>
  <si>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</si>
  <si>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</si>
  <si>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</si>
  <si>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</si>
  <si>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</si>
  <si>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</si>
  <si>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</si>
  <si>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</si>
  <si>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</si>
  <si>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</si>
  <si>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</si>
  <si>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</si>
  <si>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</si>
  <si>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</si>
  <si>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</si>
  <si>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</si>
  <si>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</si>
  <si>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</si>
  <si>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</si>
  <si>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</si>
  <si>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</si>
  <si>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</si>
  <si>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</si>
  <si>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</si>
  <si>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</si>
  <si>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</si>
  <si>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</si>
  <si>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</si>
  <si>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</si>
  <si>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</si>
  <si>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</si>
  <si>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</si>
  <si>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</si>
  <si>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</si>
  <si>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</si>
  <si>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</si>
  <si>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</si>
  <si>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</si>
  <si>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</si>
  <si>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</si>
  <si>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</si>
  <si>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</si>
  <si>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</si>
  <si>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</si>
  <si>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</si>
  <si>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</si>
  <si>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</si>
  <si>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</si>
  <si>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</si>
  <si>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</si>
  <si>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</si>
  <si>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</si>
  <si>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</si>
  <si>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</si>
  <si>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</si>
  <si>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</si>
  <si>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</si>
  <si>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</si>
  <si>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分類</t>
    <phoneticPr fontId="5"/>
  </si>
  <si>
    <t>kind</t>
  </si>
  <si>
    <t>kind</t>
    <phoneticPr fontId="5"/>
  </si>
  <si>
    <t>txt</t>
  </si>
  <si>
    <t>ntext</t>
  </si>
  <si>
    <t>nvarchar</t>
    <phoneticPr fontId="5"/>
  </si>
  <si>
    <t>登録時間</t>
  </si>
  <si>
    <t>touroku_time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</si>
  <si>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</si>
  <si>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</si>
  <si>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</si>
  <si>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</si>
  <si>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</si>
  <si>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</si>
  <si>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</si>
  <si>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</si>
  <si>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</si>
  <si>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</si>
  <si>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</si>
  <si>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</si>
  <si>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</si>
  <si>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</si>
  <si>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</si>
  <si>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</si>
  <si>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</si>
  <si>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</si>
  <si>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</si>
  <si>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</si>
  <si>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</si>
  <si>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</si>
  <si>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</si>
  <si>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</si>
  <si>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</si>
  <si>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</si>
  <si>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</si>
  <si>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</si>
  <si>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</si>
  <si>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</si>
  <si>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</si>
  <si>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</si>
  <si>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</si>
  <si>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</si>
  <si>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</si>
  <si>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</si>
  <si>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</si>
  <si>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STAUS</t>
    <phoneticPr fontId="31" type="noConversion"/>
  </si>
  <si>
    <t>edp_staus</t>
    <phoneticPr fontId="31" type="noConversion"/>
  </si>
  <si>
    <t>char</t>
    <phoneticPr fontId="31" type="noConversion"/>
  </si>
  <si>
    <t>9:削除</t>
    <rPh sb="2" eb="4">
      <t>さくじょ</t>
    </rPh>
    <phoneticPr fontId="31" type="noConversion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</si>
  <si>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</si>
  <si>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</si>
  <si>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</si>
  <si>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</si>
  <si>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</si>
  <si>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</si>
  <si>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</si>
  <si>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</si>
  <si>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</si>
  <si>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機能名</t>
    <phoneticPr fontId="31" type="noConversion"/>
  </si>
  <si>
    <t>kinou_name</t>
    <phoneticPr fontId="31" type="noConversion"/>
  </si>
  <si>
    <t>VAPM、SA</t>
    <phoneticPr fontId="31" type="noConversion"/>
  </si>
  <si>
    <t>資料分類</t>
    <phoneticPr fontId="31" type="noConversion"/>
  </si>
  <si>
    <t>siryou_kind</t>
    <phoneticPr fontId="31" type="noConversion"/>
  </si>
  <si>
    <t>0:案件、1:技術　</t>
    <phoneticPr fontId="31" type="noConversion"/>
  </si>
  <si>
    <t>menu_no</t>
    <phoneticPr fontId="31" type="noConversion"/>
  </si>
  <si>
    <t>メニューNo</t>
    <phoneticPr fontId="31" type="noConversion"/>
  </si>
  <si>
    <t>C:\ILIKEMAKE\AutoCode_SaveData\Web\</t>
    <phoneticPr fontId="5"/>
  </si>
  <si>
    <t>Provider=SQLOLEDB.1;Data Source=local; Initial Catalog=auto_savedata;Persist Security Info=True;User ID=sa;Password=19833130</t>
    <phoneticPr fontId="5"/>
  </si>
  <si>
    <t>Provider=SQLOLEDB.1;Data Source=(local); Initial Catalog=auto_savedata;Persist Security Info=True;User ID=sa;Password=19833130</t>
    <phoneticPr fontId="5"/>
  </si>
  <si>
    <t>Provider=SQLOLEDB.1;Data Source=(local); Initial Catalog=auto_code;Persist Security Info=True;User ID=sa;Password=19833130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</si>
</sst>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30" fillId="0" borderId="14" xfId="0" applyFont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 xr:uid="{00000000-0005-0000-0000-000000000000}"/>
    <cellStyle name="パーセント2" xfId="2" xr:uid="{00000000-0005-0000-0000-000001000000}"/>
    <cellStyle name="標準 2" xfId="5" xr:uid="{00000000-0005-0000-0000-000005000000}"/>
    <cellStyle name="標準 3" xfId="6" xr:uid="{00000000-0005-0000-0000-000006000000}"/>
    <cellStyle name="標準_Book1" xfId="7" xr:uid="{00000000-0005-0000-0000-000007000000}"/>
    <cellStyle name="標準_Book2" xfId="8" xr:uid="{00000000-0005-0000-0000-000008000000}"/>
    <cellStyle name="常规" xfId="0" builtinId="0"/>
    <cellStyle name="超链接" xfId="3" builtinId="8"/>
    <cellStyle name="見出し" xfId="4" xr:uid="{00000000-0005-0000-0000-000002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47</xdr:row>
      <xdr:rowOff>192405</xdr:rowOff>
    </xdr:from>
    <xdr:to>
      <xdr:col>1</xdr:col>
      <xdr:colOff>1619250</xdr:colOff>
      <xdr:row>47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7375"/>
          <a:ext cx="9664700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20850"/>
          <a:ext cx="9661525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47</xdr:row>
      <xdr:rowOff>192405</xdr:rowOff>
    </xdr:from>
    <xdr:to>
      <xdr:col>2</xdr:col>
      <xdr:colOff>1257300</xdr:colOff>
      <xdr:row>47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47</xdr:row>
      <xdr:rowOff>114300</xdr:rowOff>
    </xdr:from>
    <xdr:to>
      <xdr:col>12</xdr:col>
      <xdr:colOff>171450</xdr:colOff>
      <xdr:row>47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47</xdr:row>
      <xdr:rowOff>116205</xdr:rowOff>
    </xdr:from>
    <xdr:to>
      <xdr:col>10</xdr:col>
      <xdr:colOff>1866900</xdr:colOff>
      <xdr:row>47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3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3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7375"/>
          <a:ext cx="9664700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20850"/>
          <a:ext cx="9661525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4:I7"/>
  <sheetViews>
    <sheetView workbookViewId="0">
      <selection activeCell="C16" sqref="C16"/>
    </sheetView>
  </sheetViews>
  <sheetFormatPr defaultColWidth="9.09765625" defaultRowHeight="21"/>
  <cols>
    <col min="1" max="2" width="9.09765625" style="119"/>
    <col min="3" max="3" width="13.09765625" style="119" customWidth="1"/>
    <col min="4" max="16384" width="9.09765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 xr:uid="{00000000-0004-0000-0000-000000000000}"/>
    <hyperlink ref="C5" location="GetTableNameList!A1" display="TABLE一覧取得" xr:uid="{00000000-0004-0000-0000-000001000000}"/>
    <hyperlink ref="C6" location="CopyTable!A1" display="TABLEのCopy" xr:uid="{00000000-0004-0000-0000-000002000000}"/>
    <hyperlink ref="C7" location="TABLE_TMP!A1" display="TABLE作成のTemplete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7"/>
  <dimension ref="A1:Y1049"/>
  <sheetViews>
    <sheetView showGridLines="0" zoomScaleNormal="100" workbookViewId="0">
      <selection activeCell="H23" sqref="H23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49999999999999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">
      <c r="A5" s="19" t="s">
        <v>41</v>
      </c>
      <c r="B5" s="9"/>
      <c r="C5" s="159" t="s">
        <v>677</v>
      </c>
      <c r="D5" s="160"/>
      <c r="E5" s="161"/>
      <c r="F5" s="162" t="s">
        <v>641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">
      <c r="A6" s="19" t="s">
        <v>19</v>
      </c>
      <c r="B6" s="9"/>
      <c r="C6" s="159" t="s">
        <v>635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">
      <c r="A9" s="69">
        <v>1</v>
      </c>
      <c r="B9" s="68" t="s">
        <v>671</v>
      </c>
      <c r="C9" s="69" t="s">
        <v>670</v>
      </c>
      <c r="D9" s="69" t="s">
        <v>626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">
      <c r="A10" s="69">
        <v>2</v>
      </c>
      <c r="B10" s="68" t="s">
        <v>672</v>
      </c>
      <c r="C10" s="69" t="s">
        <v>673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">
      <c r="A11" s="69">
        <v>3</v>
      </c>
      <c r="B11" s="68" t="s">
        <v>640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676</v>
      </c>
    </row>
    <row r="12" spans="1:25" ht="11">
      <c r="A12" s="69">
        <v>4</v>
      </c>
      <c r="B12" s="68" t="s">
        <v>632</v>
      </c>
      <c r="C12" s="69" t="s">
        <v>633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">
      <c r="A13" s="69">
        <v>5</v>
      </c>
      <c r="B13" s="68" t="s">
        <v>675</v>
      </c>
      <c r="C13" s="69" t="s">
        <v>674</v>
      </c>
      <c r="D13" s="69" t="s">
        <v>652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">
      <c r="A14" s="69">
        <v>6</v>
      </c>
      <c r="B14" s="68" t="s">
        <v>655</v>
      </c>
      <c r="C14" s="69" t="s">
        <v>653</v>
      </c>
      <c r="D14" s="69" t="s">
        <v>625</v>
      </c>
      <c r="E14" s="69"/>
      <c r="F14" s="69"/>
      <c r="G14" s="69"/>
      <c r="H14" s="69"/>
      <c r="I14" s="69"/>
      <c r="J14" s="69"/>
      <c r="K14" s="69"/>
    </row>
    <row r="15" spans="1:25" ht="11">
      <c r="A15" s="69">
        <v>7</v>
      </c>
      <c r="B15" s="68" t="s">
        <v>656</v>
      </c>
      <c r="C15" s="69" t="s">
        <v>654</v>
      </c>
      <c r="D15" s="69" t="s">
        <v>625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">
      <c r="A16" s="69">
        <v>8</v>
      </c>
      <c r="B16" s="68" t="s">
        <v>631</v>
      </c>
      <c r="C16" s="69" t="s">
        <v>629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">
      <c r="A17" s="69">
        <v>10</v>
      </c>
      <c r="B17" s="68" t="s">
        <v>627</v>
      </c>
      <c r="C17" s="69" t="s">
        <v>628</v>
      </c>
      <c r="D17" s="69" t="s">
        <v>661</v>
      </c>
      <c r="E17" s="69"/>
      <c r="F17" s="71"/>
      <c r="G17" s="71"/>
      <c r="H17" s="71"/>
      <c r="I17" s="71"/>
      <c r="J17" s="71"/>
      <c r="K17" s="70"/>
      <c r="L17" s="8"/>
    </row>
    <row r="18" spans="1:14" ht="11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49999999999999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49999999999999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49999999999999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49999999999999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49999999999999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49999999999999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49999999999999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49999999999999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49999999999999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49999999999999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49999999999999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2"/>
  <dimension ref="A1:Y1050"/>
  <sheetViews>
    <sheetView showGridLines="0" tabSelected="1" topLeftCell="A2" zoomScaleNormal="100" workbookViewId="0">
      <selection activeCell="K12" sqref="K12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49999999999999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677</v>
      </c>
      <c r="D5" s="160"/>
      <c r="E5" s="161"/>
      <c r="F5" s="162" t="s">
        <v>641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678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682</v>
      </c>
      <c r="C9" s="69" t="s">
        <v>683</v>
      </c>
      <c r="D9" s="69" t="s">
        <v>531</v>
      </c>
      <c r="E9" s="69">
        <v>1</v>
      </c>
      <c r="F9" s="69" t="s">
        <v>585</v>
      </c>
      <c r="G9" s="69" t="s">
        <v>586</v>
      </c>
      <c r="H9" s="69"/>
      <c r="I9" s="69"/>
      <c r="J9" s="69"/>
      <c r="K9" s="69" t="s">
        <v>684</v>
      </c>
    </row>
    <row r="10" spans="1:15" ht="11">
      <c r="A10" s="69">
        <v>2</v>
      </c>
      <c r="B10" s="68" t="s">
        <v>632</v>
      </c>
      <c r="C10" s="69" t="s">
        <v>633</v>
      </c>
      <c r="D10" s="69" t="s">
        <v>531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 t="s">
        <v>681</v>
      </c>
    </row>
    <row r="11" spans="1:15" ht="11">
      <c r="A11" s="69">
        <v>4</v>
      </c>
      <c r="B11" s="68" t="s">
        <v>679</v>
      </c>
      <c r="C11" s="69" t="s">
        <v>680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">
      <c r="A12" s="69">
        <v>5</v>
      </c>
      <c r="B12" s="68" t="s">
        <v>640</v>
      </c>
      <c r="C12" s="69" t="s">
        <v>519</v>
      </c>
      <c r="D12" s="69" t="s">
        <v>531</v>
      </c>
      <c r="E12" s="69">
        <v>8</v>
      </c>
      <c r="F12" s="69" t="s">
        <v>585</v>
      </c>
      <c r="G12" s="69" t="s">
        <v>586</v>
      </c>
      <c r="H12" s="69"/>
      <c r="I12" s="69"/>
      <c r="J12" s="69"/>
      <c r="K12" s="69" t="s">
        <v>676</v>
      </c>
    </row>
    <row r="13" spans="1:15" ht="11">
      <c r="A13" s="69">
        <v>7</v>
      </c>
      <c r="B13" s="68" t="s">
        <v>675</v>
      </c>
      <c r="C13" s="69" t="s">
        <v>674</v>
      </c>
      <c r="D13" s="69" t="s">
        <v>626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15" ht="11">
      <c r="A14" s="69">
        <v>3</v>
      </c>
      <c r="B14" s="68" t="s">
        <v>686</v>
      </c>
      <c r="C14" s="69" t="s">
        <v>685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/>
    </row>
    <row r="15" spans="1:15" ht="11">
      <c r="A15" s="69">
        <v>6</v>
      </c>
      <c r="B15" s="68" t="s">
        <v>672</v>
      </c>
      <c r="C15" s="69" t="s">
        <v>673</v>
      </c>
      <c r="D15" s="69" t="s">
        <v>531</v>
      </c>
      <c r="E15" s="69">
        <v>100</v>
      </c>
      <c r="F15" s="69"/>
      <c r="G15" s="69"/>
      <c r="H15" s="69"/>
      <c r="I15" s="69"/>
      <c r="J15" s="69"/>
      <c r="K15" s="70"/>
      <c r="L15" s="8"/>
      <c r="M15" s="14"/>
      <c r="N15" s="15"/>
    </row>
    <row r="16" spans="1:15" ht="11">
      <c r="A16" s="69">
        <v>8</v>
      </c>
      <c r="B16" s="68" t="s">
        <v>655</v>
      </c>
      <c r="C16" s="69" t="s">
        <v>653</v>
      </c>
      <c r="D16" s="69" t="s">
        <v>625</v>
      </c>
      <c r="E16" s="69"/>
      <c r="F16" s="69"/>
      <c r="G16" s="69"/>
      <c r="H16" s="69"/>
      <c r="I16" s="69"/>
      <c r="J16" s="69"/>
      <c r="K16" s="69"/>
    </row>
    <row r="17" spans="1:25" ht="11">
      <c r="A17" s="69">
        <v>9</v>
      </c>
      <c r="B17" s="68" t="s">
        <v>656</v>
      </c>
      <c r="C17" s="69" t="s">
        <v>654</v>
      </c>
      <c r="D17" s="69" t="s">
        <v>625</v>
      </c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">
      <c r="A18" s="69">
        <v>10</v>
      </c>
      <c r="B18" s="68" t="s">
        <v>631</v>
      </c>
      <c r="C18" s="69" t="s">
        <v>629</v>
      </c>
      <c r="D18" s="69" t="s">
        <v>531</v>
      </c>
      <c r="E18" s="69">
        <v>1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">
      <c r="A19" s="69">
        <v>11</v>
      </c>
      <c r="B19" s="68" t="s">
        <v>671</v>
      </c>
      <c r="C19" s="69" t="s">
        <v>670</v>
      </c>
      <c r="D19" s="69" t="s">
        <v>626</v>
      </c>
      <c r="E19" s="69">
        <v>10</v>
      </c>
      <c r="F19" s="71"/>
      <c r="G19" s="71"/>
      <c r="H19" s="71"/>
      <c r="I19" s="71"/>
      <c r="J19" s="71"/>
      <c r="K19" s="70"/>
      <c r="L19" s="8"/>
    </row>
    <row r="20" spans="1:25" ht="11">
      <c r="A20" s="69">
        <v>12</v>
      </c>
      <c r="B20" s="68" t="s">
        <v>627</v>
      </c>
      <c r="C20" s="69" t="s">
        <v>628</v>
      </c>
      <c r="D20" s="69" t="s">
        <v>661</v>
      </c>
      <c r="E20" s="69"/>
      <c r="F20" s="69"/>
      <c r="G20" s="69"/>
      <c r="H20" s="71"/>
      <c r="I20" s="71"/>
      <c r="J20" s="71"/>
      <c r="K20" s="70"/>
      <c r="L20" s="8"/>
      <c r="M20" s="14"/>
      <c r="N20" s="15"/>
    </row>
    <row r="21" spans="1:25" ht="11">
      <c r="A21" s="69"/>
      <c r="F21" s="72"/>
      <c r="G21" s="69"/>
      <c r="H21" s="71"/>
      <c r="I21" s="71"/>
      <c r="J21" s="71"/>
      <c r="K21" s="70"/>
      <c r="L21" s="8"/>
    </row>
    <row r="22" spans="1:25" ht="11">
      <c r="A22" s="69"/>
      <c r="B22" s="68"/>
      <c r="C22" s="70"/>
      <c r="D22" s="71"/>
      <c r="E22" s="71"/>
      <c r="F22" s="73"/>
      <c r="G22" s="69"/>
      <c r="H22" s="71"/>
      <c r="I22" s="71"/>
      <c r="J22" s="71"/>
      <c r="K22" s="70"/>
      <c r="L22" s="8"/>
      <c r="M22" s="14"/>
      <c r="N22" s="15"/>
    </row>
    <row r="23" spans="1:25" ht="11">
      <c r="A23" s="69"/>
      <c r="B23" s="68"/>
      <c r="C23" s="70"/>
      <c r="D23" s="69"/>
      <c r="E23" s="71"/>
      <c r="F23" s="73"/>
      <c r="G23" s="69"/>
      <c r="H23" s="71"/>
      <c r="I23" s="71"/>
      <c r="J23" s="71"/>
      <c r="K23" s="70"/>
      <c r="L23" s="8"/>
      <c r="M23" s="3"/>
      <c r="N23" s="1"/>
    </row>
    <row r="24" spans="1:25" ht="11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75"/>
      <c r="C35" s="76"/>
      <c r="D35" s="76"/>
      <c r="E35" s="76"/>
      <c r="F35" s="69"/>
      <c r="G35" s="69"/>
      <c r="H35" s="69"/>
      <c r="I35" s="69"/>
      <c r="J35" s="69"/>
      <c r="K35" s="74"/>
      <c r="L35" s="60"/>
    </row>
    <row r="36" spans="1:25" ht="1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L44" s="8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">
      <c r="A47" s="86"/>
      <c r="B47" s="87"/>
      <c r="C47" s="88"/>
      <c r="D47" s="86"/>
      <c r="E47" s="86"/>
      <c r="F47" s="86"/>
      <c r="G47" s="86"/>
      <c r="H47" s="86"/>
      <c r="I47" s="86"/>
      <c r="J47" s="86"/>
      <c r="K47" s="88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s="85" customFormat="1" ht="234.75" customHeight="1">
      <c r="A48" s="79" t="s">
        <v>528</v>
      </c>
      <c r="B48" s="80"/>
      <c r="C48" s="81"/>
      <c r="D48" s="82"/>
      <c r="E48" s="83"/>
      <c r="F48" s="84"/>
      <c r="G48" s="84"/>
      <c r="H48" s="84"/>
      <c r="I48" s="84"/>
      <c r="J48" s="84"/>
      <c r="K48" s="84"/>
    </row>
    <row r="49" spans="2:23" s="14" customFormat="1" ht="17.149999999999999" customHeight="1">
      <c r="B49" s="136" t="s">
        <v>588</v>
      </c>
      <c r="C49" s="137" t="s">
        <v>524</v>
      </c>
      <c r="D49" s="138" t="s">
        <v>525</v>
      </c>
      <c r="E49" s="139" t="s">
        <v>535</v>
      </c>
      <c r="F49" s="140" t="s">
        <v>526</v>
      </c>
      <c r="G49" s="140" t="s">
        <v>575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49999999999999" customHeight="1">
      <c r="B50" s="140" t="s">
        <v>519</v>
      </c>
      <c r="C50" s="137" t="s">
        <v>520</v>
      </c>
      <c r="D50" s="138" t="s">
        <v>521</v>
      </c>
      <c r="E50" s="139" t="s">
        <v>522</v>
      </c>
      <c r="F50" s="140" t="s">
        <v>523</v>
      </c>
      <c r="G50" s="140" t="s">
        <v>527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2:23" s="14" customFormat="1" ht="17.149999999999999" customHeight="1">
      <c r="B51" s="141" t="s">
        <v>576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141" t="s">
        <v>581</v>
      </c>
      <c r="C52" s="142" t="s">
        <v>577</v>
      </c>
      <c r="D52" s="143" t="s">
        <v>578</v>
      </c>
      <c r="E52" s="144">
        <v>1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141" t="s">
        <v>582</v>
      </c>
      <c r="C53" s="142" t="s">
        <v>577</v>
      </c>
      <c r="D53" s="143" t="s">
        <v>578</v>
      </c>
      <c r="E53" s="144">
        <v>6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141" t="s">
        <v>583</v>
      </c>
      <c r="C54" s="142" t="s">
        <v>577</v>
      </c>
      <c r="D54" s="143" t="s">
        <v>578</v>
      </c>
      <c r="E54" s="144">
        <v>3</v>
      </c>
      <c r="F54" s="141" t="s">
        <v>579</v>
      </c>
      <c r="G54" s="141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49999999999999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49999999999999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49999999999999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49999999999999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49999999999999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49999999999999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49999999999999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49999999999999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49999999999999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9"/>
  <dimension ref="A1:Y1041"/>
  <sheetViews>
    <sheetView showGridLines="0" zoomScaleNormal="100" workbookViewId="0">
      <selection activeCell="C22" sqref="C22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49999999999999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636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621</v>
      </c>
      <c r="C9" s="69" t="s">
        <v>623</v>
      </c>
      <c r="D9" s="69" t="s">
        <v>626</v>
      </c>
      <c r="E9" s="69">
        <v>20</v>
      </c>
      <c r="F9" s="69" t="s">
        <v>630</v>
      </c>
      <c r="G9" s="69"/>
      <c r="H9" s="69"/>
      <c r="I9" s="69"/>
      <c r="J9" s="69"/>
      <c r="K9" s="69" t="s">
        <v>634</v>
      </c>
    </row>
    <row r="10" spans="1:15" ht="11">
      <c r="A10" s="69">
        <v>2</v>
      </c>
      <c r="B10" s="68" t="s">
        <v>666</v>
      </c>
      <c r="C10" s="70" t="s">
        <v>667</v>
      </c>
      <c r="D10" s="71" t="s">
        <v>668</v>
      </c>
      <c r="E10" s="71">
        <v>1</v>
      </c>
      <c r="F10" s="72"/>
      <c r="G10" s="69"/>
      <c r="H10" s="71"/>
      <c r="I10" s="71"/>
      <c r="J10" s="71"/>
      <c r="K10" s="70" t="s">
        <v>669</v>
      </c>
      <c r="L10" s="8"/>
      <c r="M10" s="14"/>
      <c r="N10" s="15"/>
    </row>
    <row r="11" spans="1:15" ht="11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49999999999999" customHeight="1">
      <c r="B40" s="136" t="s">
        <v>642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49999999999999" customHeight="1">
      <c r="B41" s="140" t="s">
        <v>622</v>
      </c>
      <c r="C41" s="155"/>
      <c r="D41" s="156"/>
      <c r="E41" s="157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49999999999999" customHeight="1">
      <c r="B42" s="141" t="s">
        <v>647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49999999999999" customHeight="1">
      <c r="B43" s="141" t="s">
        <v>646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49999999999999" customHeight="1">
      <c r="B44" s="141" t="s">
        <v>645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49999999999999" customHeight="1">
      <c r="B45" s="141" t="s">
        <v>644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49999999999999" customHeight="1">
      <c r="B46" s="141" t="s">
        <v>624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49999999999999" customHeight="1">
      <c r="B47" s="141" t="s">
        <v>643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49999999999999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49999999999999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49999999999999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0"/>
  <dimension ref="A1:Y1041"/>
  <sheetViews>
    <sheetView showGridLines="0" zoomScaleNormal="100" workbookViewId="0">
      <selection activeCell="A11" sqref="A11:XFD11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49999999999999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639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663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">
      <c r="A10" s="69">
        <v>2</v>
      </c>
      <c r="B10" s="68" t="s">
        <v>664</v>
      </c>
      <c r="C10" s="69" t="s">
        <v>662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">
      <c r="A11" s="69">
        <v>3</v>
      </c>
      <c r="B11" s="68" t="s">
        <v>666</v>
      </c>
      <c r="C11" s="70" t="s">
        <v>667</v>
      </c>
      <c r="D11" s="71" t="s">
        <v>668</v>
      </c>
      <c r="E11" s="71">
        <v>1</v>
      </c>
      <c r="F11" s="72"/>
      <c r="G11" s="69"/>
      <c r="H11" s="71"/>
      <c r="I11" s="71"/>
      <c r="J11" s="71"/>
      <c r="K11" s="70" t="s">
        <v>669</v>
      </c>
      <c r="L11" s="8"/>
      <c r="M11" s="14"/>
      <c r="N11" s="15"/>
    </row>
    <row r="12" spans="1:15" ht="11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49999999999999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49999999999999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49999999999999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49999999999999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49999999999999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49999999999999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49999999999999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49999999999999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49999999999999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49999999999999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49999999999999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1"/>
  <dimension ref="A1:Y1040"/>
  <sheetViews>
    <sheetView showGridLines="0" zoomScaleNormal="100" workbookViewId="0">
      <selection activeCell="F11" sqref="F11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49999999999999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658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638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632</v>
      </c>
      <c r="C9" s="69" t="s">
        <v>633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657</v>
      </c>
    </row>
    <row r="10" spans="1:15" ht="11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49999999999999" customHeight="1">
      <c r="B39" s="136" t="s">
        <v>651</v>
      </c>
      <c r="C39" s="155"/>
      <c r="D39" s="156"/>
      <c r="E39" s="157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49999999999999" customHeight="1">
      <c r="B40" s="140" t="s">
        <v>633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49999999999999" customHeight="1">
      <c r="B41" s="141" t="s">
        <v>649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49999999999999" customHeight="1">
      <c r="B42" s="141" t="s">
        <v>648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49999999999999" customHeight="1">
      <c r="B43" s="141" t="s">
        <v>650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49999999999999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49999999999999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49999999999999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49999999999999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49999999999999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49999999999999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49999999999999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33"/>
  <sheetViews>
    <sheetView zoomScale="85" zoomScaleNormal="85" workbookViewId="0">
      <selection activeCell="B5" sqref="B5"/>
    </sheetView>
  </sheetViews>
  <sheetFormatPr defaultColWidth="9.09765625" defaultRowHeight="13.5"/>
  <cols>
    <col min="1" max="1" width="22.59765625" style="151" customWidth="1"/>
    <col min="2" max="2" width="133.296875" style="147" customWidth="1"/>
    <col min="3" max="16384" width="9.09765625" style="147"/>
  </cols>
  <sheetData>
    <row r="1" spans="1:2">
      <c r="A1" s="146" t="s">
        <v>618</v>
      </c>
      <c r="B1" s="145" t="s">
        <v>689</v>
      </c>
    </row>
    <row r="2" spans="1:2">
      <c r="A2" s="146" t="s">
        <v>42</v>
      </c>
      <c r="B2" s="145" t="str">
        <f>GetConnDataByKey(B$1,A2)</f>
        <v>(local)</v>
      </c>
    </row>
    <row r="3" spans="1:2">
      <c r="A3" s="146" t="s">
        <v>43</v>
      </c>
      <c r="B3" s="145" t="str">
        <f>GetConnDataByKey(B$1,A3)</f>
        <v>auto_savedata</v>
      </c>
    </row>
    <row r="4" spans="1:2" s="149" customFormat="1">
      <c r="A4" s="148" t="s">
        <v>619</v>
      </c>
      <c r="B4" s="145" t="s">
        <v>690</v>
      </c>
    </row>
    <row r="5" spans="1:2" s="149" customFormat="1">
      <c r="A5" s="148" t="s">
        <v>42</v>
      </c>
      <c r="B5" s="145" t="str">
        <f>GetConnDataByKey(B$1,A5)</f>
        <v>(local)</v>
      </c>
    </row>
    <row r="6" spans="1:2" s="149" customFormat="1">
      <c r="A6" s="148" t="s">
        <v>43</v>
      </c>
      <c r="B6" s="145" t="str">
        <f>GetConnDataByKey(B$4,A6)</f>
        <v>auto_code</v>
      </c>
    </row>
    <row r="7" spans="1:2" s="149" customFormat="1">
      <c r="A7" s="154" t="s">
        <v>589</v>
      </c>
      <c r="B7" s="145" t="s">
        <v>687</v>
      </c>
    </row>
    <row r="8" spans="1:2" s="149" customFormat="1">
      <c r="A8" s="154" t="s">
        <v>659</v>
      </c>
      <c r="B8" s="145" t="str">
        <f>B7 &amp; "App_Code\Lixil.SA.BizLogic\"</f>
        <v>C:\ILIKEMAKE\AutoCode_SaveData\Web\App_Code\Lixil.SA.BizLogic\</v>
      </c>
    </row>
    <row r="9" spans="1:2" s="149" customFormat="1">
      <c r="A9" s="154" t="s">
        <v>660</v>
      </c>
      <c r="B9" s="145" t="str">
        <f>B7 &amp; "App_Code\Lixil.SA.DataAccess\"</f>
        <v>C:\ILIKEMAKE\AutoCode_SaveData\Web\App_Code\Lixil.SA.DataAccess\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593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A28" s="158"/>
      <c r="B28" s="145" t="s">
        <v>594</v>
      </c>
    </row>
    <row r="29" spans="1:2">
      <c r="B29" s="145" t="s">
        <v>688</v>
      </c>
    </row>
    <row r="30" spans="1:2">
      <c r="B30" s="152"/>
    </row>
    <row r="31" spans="1:2">
      <c r="A31" s="154" t="s">
        <v>589</v>
      </c>
      <c r="B31" s="145" t="s">
        <v>665</v>
      </c>
    </row>
    <row r="32" spans="1:2">
      <c r="A32" s="154" t="s">
        <v>659</v>
      </c>
      <c r="B32" s="145" t="str">
        <f>B31 &amp; "App_Code\Lixil.SA.BizLogic\"</f>
        <v>E:\案件\AutoCode_SaveData\Web\App_Code\Lixil.SA.BizLogic\</v>
      </c>
    </row>
    <row r="33" spans="1:2">
      <c r="A33" s="154" t="s">
        <v>660</v>
      </c>
      <c r="B33" s="145" t="str">
        <f>B31 &amp; "App_Code\Lixil.SA.DataAccess\"</f>
        <v>E:\案件\AutoCode_SaveData\Web\App_Code\Lixil.SA.DataAccess\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8"/>
  <dimension ref="A1:Y46"/>
  <sheetViews>
    <sheetView showGridLines="0" zoomScaleNormal="100" workbookViewId="0">
      <selection activeCell="E29" sqref="E29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49999999999999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595</v>
      </c>
    </row>
    <row r="11" spans="2:2">
      <c r="B11" t="s">
        <v>596</v>
      </c>
    </row>
    <row r="12" spans="2:2">
      <c r="B12" t="s">
        <v>547</v>
      </c>
    </row>
    <row r="13" spans="2:2">
      <c r="B13" t="s">
        <v>597</v>
      </c>
    </row>
    <row r="14" spans="2:2">
      <c r="B14" t="s">
        <v>598</v>
      </c>
    </row>
    <row r="15" spans="2:2">
      <c r="B15" t="s">
        <v>599</v>
      </c>
    </row>
    <row r="16" spans="2:2">
      <c r="B16" t="s">
        <v>600</v>
      </c>
    </row>
    <row r="17" spans="2:2">
      <c r="B17" t="s">
        <v>601</v>
      </c>
    </row>
    <row r="18" spans="2:2">
      <c r="B18" t="s">
        <v>602</v>
      </c>
    </row>
    <row r="19" spans="2:2">
      <c r="B19" t="s">
        <v>548</v>
      </c>
    </row>
    <row r="20" spans="2:2">
      <c r="B20" t="s">
        <v>603</v>
      </c>
    </row>
    <row r="21" spans="2:2">
      <c r="B21" t="s">
        <v>584</v>
      </c>
    </row>
    <row r="22" spans="2:2">
      <c r="B22" t="s">
        <v>604</v>
      </c>
    </row>
    <row r="23" spans="2:2">
      <c r="B23" t="s">
        <v>605</v>
      </c>
    </row>
    <row r="24" spans="2:2">
      <c r="B24" t="s">
        <v>606</v>
      </c>
    </row>
    <row r="25" spans="2:2">
      <c r="B25" t="s">
        <v>607</v>
      </c>
    </row>
    <row r="26" spans="2:2">
      <c r="B26" t="s">
        <v>608</v>
      </c>
    </row>
    <row r="27" spans="2:2">
      <c r="B27" t="s">
        <v>609</v>
      </c>
    </row>
    <row r="28" spans="2:2">
      <c r="B28" t="s">
        <v>610</v>
      </c>
    </row>
    <row r="29" spans="2:2">
      <c r="B29" t="s">
        <v>611</v>
      </c>
    </row>
    <row r="30" spans="2:2">
      <c r="B30" t="s">
        <v>612</v>
      </c>
    </row>
    <row r="31" spans="2:2">
      <c r="B31" t="s">
        <v>613</v>
      </c>
    </row>
    <row r="32" spans="2:2">
      <c r="B32" t="s">
        <v>614</v>
      </c>
    </row>
    <row r="33" spans="2:2">
      <c r="B33" t="s">
        <v>615</v>
      </c>
    </row>
    <row r="34" spans="2:2">
      <c r="B34" t="s">
        <v>616</v>
      </c>
    </row>
    <row r="35" spans="2:2">
      <c r="B35" t="s">
        <v>617</v>
      </c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9765625" bestFit="1" customWidth="1"/>
    <col min="4" max="4" width="23.296875" customWidth="1"/>
    <col min="5" max="6" width="2.59765625" customWidth="1"/>
    <col min="7" max="7" width="60.69921875" bestFit="1" customWidth="1"/>
    <col min="8" max="8" width="71.597656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F9"/>
  <sheetViews>
    <sheetView workbookViewId="0">
      <selection activeCell="E16" sqref="E15:E16"/>
    </sheetView>
  </sheetViews>
  <sheetFormatPr defaultColWidth="9.09765625" defaultRowHeight="12"/>
  <cols>
    <col min="1" max="1" width="24" style="134" bestFit="1" customWidth="1"/>
    <col min="2" max="16384" width="9.09765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6:D249"/>
  <sheetViews>
    <sheetView topLeftCell="A25" workbookViewId="0">
      <selection activeCell="E13" sqref="E13"/>
    </sheetView>
  </sheetViews>
  <sheetFormatPr defaultColWidth="9.09765625" defaultRowHeight="12"/>
  <cols>
    <col min="1" max="1" width="16.3984375" style="66" bestFit="1" customWidth="1"/>
    <col min="2" max="2" width="34.3984375" style="66" bestFit="1" customWidth="1"/>
    <col min="3" max="3" width="11.8984375" style="67" customWidth="1"/>
    <col min="4" max="16384" width="9.09765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5"/>
  <dimension ref="A1:D16"/>
  <sheetViews>
    <sheetView showGridLines="0" workbookViewId="0">
      <selection activeCell="C32" sqref="C32"/>
    </sheetView>
  </sheetViews>
  <sheetFormatPr defaultColWidth="10.296875" defaultRowHeight="12"/>
  <cols>
    <col min="1" max="1" width="27.09765625" customWidth="1"/>
    <col min="2" max="2" width="26.3984375" bestFit="1" customWidth="1"/>
    <col min="3" max="4" width="19" bestFit="1" customWidth="1"/>
  </cols>
  <sheetData>
    <row r="1" spans="1:4" ht="13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">
      <c r="A4" s="57" t="s">
        <v>36</v>
      </c>
    </row>
    <row r="5" spans="1:4" ht="13">
      <c r="A5" s="57" t="s">
        <v>37</v>
      </c>
    </row>
    <row r="6" spans="1:4" ht="13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36</vt:i4>
      </vt:variant>
    </vt:vector>
  </HeadingPairs>
  <TitlesOfParts>
    <vt:vector size="50" baseType="lpstr">
      <vt:lpstr>システムMENU</vt:lpstr>
      <vt:lpstr>m_data</vt:lpstr>
      <vt:lpstr>m_data_job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m_data_job!Naiyou</vt:lpstr>
      <vt:lpstr>m_edp!Naiyou</vt:lpstr>
      <vt:lpstr>m_kind!Naiyou</vt:lpstr>
      <vt:lpstr>m_system_name!Naiyou</vt:lpstr>
      <vt:lpstr>TABLE_TMP!Naiyou</vt:lpstr>
      <vt:lpstr>m_data!name</vt:lpstr>
      <vt:lpstr>m_data_job!name</vt:lpstr>
      <vt:lpstr>m_edp!name</vt:lpstr>
      <vt:lpstr>m_kind!name</vt:lpstr>
      <vt:lpstr>m_system_name!name</vt:lpstr>
      <vt:lpstr>TABLE_TMP!name</vt:lpstr>
      <vt:lpstr>m_data!Print_Area</vt:lpstr>
      <vt:lpstr>m_data_job!Print_Area</vt:lpstr>
      <vt:lpstr>m_edp!Print_Area</vt:lpstr>
      <vt:lpstr>m_kind!Print_Area</vt:lpstr>
      <vt:lpstr>m_system_name!Print_Area</vt:lpstr>
      <vt:lpstr>TABLE_TMP!Print_Area</vt:lpstr>
      <vt:lpstr>m_data!Print_Titles</vt:lpstr>
      <vt:lpstr>m_data_job!Print_Titles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m_data_job!TBL_Name</vt:lpstr>
      <vt:lpstr>m_edp!TBL_Name</vt:lpstr>
      <vt:lpstr>m_kind!TBL_Name</vt:lpstr>
      <vt:lpstr>m_system_name!TBL_Name</vt:lpstr>
      <vt:lpstr>TABLE_TMP!TBL_Name</vt:lpstr>
      <vt:lpstr>m_data!TYPE</vt:lpstr>
      <vt:lpstr>m_data_job!TYPE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surface</cp:lastModifiedBy>
  <cp:lastPrinted>2012-09-11T23:42:05Z</cp:lastPrinted>
  <dcterms:created xsi:type="dcterms:W3CDTF">2002-07-02T05:50:34Z</dcterms:created>
  <dcterms:modified xsi:type="dcterms:W3CDTF">2018-12-09T14:41:24Z</dcterms:modified>
</cp:coreProperties>
</file>