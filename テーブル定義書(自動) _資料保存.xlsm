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案件\AutoCode_Table\"/>
    </mc:Choice>
  </mc:AlternateContent>
  <bookViews>
    <workbookView xWindow="0" yWindow="0" windowWidth="23040" windowHeight="9390" tabRatio="790" activeTab="1"/>
  </bookViews>
  <sheets>
    <sheet name="システムMENU" sheetId="93" r:id="rId1"/>
    <sheet name="m_data" sheetId="85" r:id="rId2"/>
    <sheet name="m_kind" sheetId="95" r:id="rId3"/>
    <sheet name="m_edp" sheetId="96" r:id="rId4"/>
    <sheet name="m_system_name" sheetId="97" r:id="rId5"/>
    <sheet name="→" sheetId="90" r:id="rId6"/>
    <sheet name="DB_INFO" sheetId="89" r:id="rId7"/>
    <sheet name="TABLE_TMP" sheetId="94" r:id="rId8"/>
    <sheet name="GetTableNameList" sheetId="92" r:id="rId9"/>
    <sheet name="CopyTable" sheetId="91" r:id="rId10"/>
    <sheet name="DB_CHANGE_TABLE" sheetId="87" r:id="rId11"/>
    <sheet name="DB_REP" sheetId="88" r:id="rId12"/>
    <sheet name="ENV" sheetId="83" r:id="rId13"/>
  </sheets>
  <functionGroups builtInGroupCount="18"/>
  <definedNames>
    <definedName name="_Fill" localSheetId="6" hidden="1">#REF!</definedName>
    <definedName name="_Fill" localSheetId="12" hidden="1">#REF!</definedName>
    <definedName name="_Fill" localSheetId="1" hidden="1">#REF!</definedName>
    <definedName name="_Fill" localSheetId="3" hidden="1">#REF!</definedName>
    <definedName name="_Fill" localSheetId="2" hidden="1">#REF!</definedName>
    <definedName name="_Fill" localSheetId="4" hidden="1">#REF!</definedName>
    <definedName name="_Fill" localSheetId="7" hidden="1">#REF!</definedName>
    <definedName name="_Fill" hidden="1">#REF!</definedName>
    <definedName name="_Order1" hidden="1">1</definedName>
    <definedName name="_Order2" hidden="1">1</definedName>
    <definedName name="cboTYPE_Click" localSheetId="12">ENV!cboTYPE_Click</definedName>
    <definedName name="cboTYPE_Click" localSheetId="1">m_data!cboTYPE_Click</definedName>
    <definedName name="cboTYPE_Click" localSheetId="3">m_edp!cboTYPE_Click</definedName>
    <definedName name="cboTYPE_Click" localSheetId="2">m_kind!cboTYPE_Click</definedName>
    <definedName name="cboTYPE_Click" localSheetId="4">m_system_name!cboTYPE_Click</definedName>
    <definedName name="cboTYPE_Click" localSheetId="7">TABLE_TMP!cboTYPE_Click</definedName>
    <definedName name="cboTYPE_Click">[0]!cboTYPE_Click</definedName>
    <definedName name="IDX_NEXT" localSheetId="1">m_data!#REF!</definedName>
    <definedName name="IDX_NEXT" localSheetId="3">m_edp!#REF!</definedName>
    <definedName name="IDX_NEXT" localSheetId="2">m_kind!#REF!</definedName>
    <definedName name="IDX_NEXT" localSheetId="4">m_system_name!#REF!</definedName>
    <definedName name="IDX_NEXT" localSheetId="7">TABLE_TMP!#REF!</definedName>
    <definedName name="IDX_PctFree" localSheetId="1">m_data!#REF!</definedName>
    <definedName name="IDX_PctFree" localSheetId="3">m_edp!#REF!</definedName>
    <definedName name="IDX_PctFree" localSheetId="2">m_kind!#REF!</definedName>
    <definedName name="IDX_PctFree" localSheetId="4">m_system_name!#REF!</definedName>
    <definedName name="IDX_PctFree" localSheetId="7">TABLE_TMP!#REF!</definedName>
    <definedName name="IDX_SPACE" localSheetId="1">m_data!#REF!</definedName>
    <definedName name="IDX_SPACE" localSheetId="3">m_edp!#REF!</definedName>
    <definedName name="IDX_SPACE" localSheetId="2">m_kind!#REF!</definedName>
    <definedName name="IDX_SPACE" localSheetId="4">m_system_name!#REF!</definedName>
    <definedName name="IDX_SPACE" localSheetId="7">TABLE_TMP!#REF!</definedName>
    <definedName name="IDX_Storage" localSheetId="1">m_data!#REF!</definedName>
    <definedName name="IDX_Storage" localSheetId="3">m_edp!#REF!</definedName>
    <definedName name="IDX_Storage" localSheetId="2">m_kind!#REF!</definedName>
    <definedName name="IDX_Storage" localSheetId="4">m_system_name!#REF!</definedName>
    <definedName name="IDX_Storage" localSheetId="7">TABLE_TMP!#REF!</definedName>
    <definedName name="Index_Length" localSheetId="1">m_data!#REF!</definedName>
    <definedName name="Index_Length" localSheetId="3">m_edp!#REF!</definedName>
    <definedName name="Index_Length" localSheetId="2">m_kind!#REF!</definedName>
    <definedName name="Index_Length" localSheetId="4">m_system_name!#REF!</definedName>
    <definedName name="Index_Length" localSheetId="7">TABLE_TMP!#REF!</definedName>
    <definedName name="Naiyou" localSheetId="1">m_data!$F$5</definedName>
    <definedName name="Naiyou" localSheetId="3">m_edp!$F$5</definedName>
    <definedName name="Naiyou" localSheetId="2">m_kind!$F$5</definedName>
    <definedName name="Naiyou" localSheetId="4">m_system_name!$F$5</definedName>
    <definedName name="Naiyou" localSheetId="7">TABLE_TMP!$F$5</definedName>
    <definedName name="name" localSheetId="1">m_data!$C$5</definedName>
    <definedName name="name" localSheetId="3">m_edp!$C$5</definedName>
    <definedName name="name" localSheetId="2">m_kind!$C$5</definedName>
    <definedName name="name" localSheetId="4">m_system_name!$C$5</definedName>
    <definedName name="name" localSheetId="7">TABLE_TMP!$C$5</definedName>
    <definedName name="_xlnm.Print_Area" localSheetId="1">m_data!$A$1:$K$43</definedName>
    <definedName name="_xlnm.Print_Area" localSheetId="3">m_edp!$A$1:$K$35</definedName>
    <definedName name="_xlnm.Print_Area" localSheetId="2">m_kind!$A$1:$K$35</definedName>
    <definedName name="_xlnm.Print_Area" localSheetId="4">m_system_name!$A$1:$K$34</definedName>
    <definedName name="_xlnm.Print_Area" localSheetId="7">TABLE_TMP!$A$1:$K$42</definedName>
    <definedName name="_xlnm.Print_Titles" localSheetId="1">m_data!$1:$8</definedName>
    <definedName name="_xlnm.Print_Titles" localSheetId="3">m_edp!$1:$8</definedName>
    <definedName name="_xlnm.Print_Titles" localSheetId="2">m_kind!$1:$8</definedName>
    <definedName name="_xlnm.Print_Titles" localSheetId="4">m_system_name!$1:$8</definedName>
    <definedName name="_xlnm.Print_Titles" localSheetId="7">TABLE_TMP!$1:$8</definedName>
    <definedName name="REC_Count" localSheetId="1">m_data!#REF!</definedName>
    <definedName name="REC_Count" localSheetId="3">m_edp!#REF!</definedName>
    <definedName name="REC_Count" localSheetId="2">m_kind!#REF!</definedName>
    <definedName name="REC_Count" localSheetId="4">m_system_name!#REF!</definedName>
    <definedName name="REC_Count" localSheetId="7">TABLE_TMP!#REF!</definedName>
    <definedName name="Rec_Length" localSheetId="1">m_data!#REF!</definedName>
    <definedName name="Rec_Length" localSheetId="3">m_edp!#REF!</definedName>
    <definedName name="Rec_Length" localSheetId="2">m_kind!#REF!</definedName>
    <definedName name="Rec_Length" localSheetId="4">m_system_name!#REF!</definedName>
    <definedName name="Rec_Length" localSheetId="7">TABLE_TMP!#REF!</definedName>
    <definedName name="TBL_Name" localSheetId="1">m_data!$C$6</definedName>
    <definedName name="TBL_Name" localSheetId="3">m_edp!$C$6</definedName>
    <definedName name="TBL_Name" localSheetId="2">m_kind!$C$6</definedName>
    <definedName name="TBL_Name" localSheetId="4">m_system_name!$C$6</definedName>
    <definedName name="TBL_Name" localSheetId="7">TABLE_TMP!$C$6</definedName>
    <definedName name="TBL_NEXT" localSheetId="1">m_data!#REF!</definedName>
    <definedName name="TBL_NEXT" localSheetId="3">m_edp!#REF!</definedName>
    <definedName name="TBL_NEXT" localSheetId="2">m_kind!#REF!</definedName>
    <definedName name="TBL_NEXT" localSheetId="4">m_system_name!#REF!</definedName>
    <definedName name="TBL_NEXT" localSheetId="7">TABLE_TMP!#REF!</definedName>
    <definedName name="TBL_PctFree" localSheetId="1">m_data!#REF!</definedName>
    <definedName name="TBL_PctFree" localSheetId="3">m_edp!#REF!</definedName>
    <definedName name="TBL_PctFree" localSheetId="2">m_kind!#REF!</definedName>
    <definedName name="TBL_PctFree" localSheetId="4">m_system_name!#REF!</definedName>
    <definedName name="TBL_PctFree" localSheetId="7">TABLE_TMP!#REF!</definedName>
    <definedName name="TBL_PctUsed" localSheetId="1">m_data!#REF!</definedName>
    <definedName name="TBL_PctUsed" localSheetId="3">m_edp!#REF!</definedName>
    <definedName name="TBL_PctUsed" localSheetId="2">m_kind!#REF!</definedName>
    <definedName name="TBL_PctUsed" localSheetId="4">m_system_name!#REF!</definedName>
    <definedName name="TBL_PctUsed" localSheetId="7">TABLE_TMP!#REF!</definedName>
    <definedName name="TBL_SPACE" localSheetId="1">m_data!#REF!</definedName>
    <definedName name="TBL_SPACE" localSheetId="3">m_edp!#REF!</definedName>
    <definedName name="TBL_SPACE" localSheetId="2">m_kind!#REF!</definedName>
    <definedName name="TBL_SPACE" localSheetId="4">m_system_name!#REF!</definedName>
    <definedName name="TBL_SPACE" localSheetId="7">TABLE_TMP!#REF!</definedName>
    <definedName name="TBL_Storage" localSheetId="1">m_data!#REF!</definedName>
    <definedName name="TBL_Storage" localSheetId="3">m_edp!#REF!</definedName>
    <definedName name="TBL_Storage" localSheetId="2">m_kind!#REF!</definedName>
    <definedName name="TBL_Storage" localSheetId="4">m_system_name!#REF!</definedName>
    <definedName name="TBL_Storage" localSheetId="7">TABLE_TMP!#REF!</definedName>
    <definedName name="TYPE" localSheetId="1">m_data!$D$8</definedName>
    <definedName name="TYPE" localSheetId="3">m_edp!$D$8</definedName>
    <definedName name="TYPE" localSheetId="2">m_kind!$D$8</definedName>
    <definedName name="TYPE" localSheetId="4">m_system_name!$D$8</definedName>
    <definedName name="TYPE" localSheetId="7">TABLE_TMP!$D$8</definedName>
  </definedNames>
  <calcPr calcId="152511"/>
</workbook>
</file>

<file path=xl/calcChain.xml><?xml version="1.0" encoding="utf-8"?>
<calcChain xmlns="http://schemas.openxmlformats.org/spreadsheetml/2006/main">
  <c r="B9" i="89" l="1"/>
  <c r="B8" i="89"/>
  <c r="N6" i="97" l="1"/>
  <c r="N4" i="97"/>
  <c r="N6" i="96"/>
  <c r="N4" i="96"/>
  <c r="N6" i="95"/>
  <c r="N4" i="95"/>
  <c r="D12" i="91" l="1"/>
  <c r="H12" i="91" s="1"/>
  <c r="D13" i="91"/>
  <c r="G13" i="91" s="1"/>
  <c r="D14" i="91"/>
  <c r="G14" i="91" s="1"/>
  <c r="D15" i="91"/>
  <c r="K15" i="91" s="1"/>
  <c r="D16" i="91"/>
  <c r="D17" i="91"/>
  <c r="K17" i="91" s="1"/>
  <c r="G17" i="91"/>
  <c r="D18" i="91"/>
  <c r="H18" i="91" s="1"/>
  <c r="D19" i="91"/>
  <c r="K19" i="91" s="1"/>
  <c r="D11" i="91"/>
  <c r="K11" i="91"/>
  <c r="K16" i="91"/>
  <c r="K20" i="91"/>
  <c r="K23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5" i="91"/>
  <c r="G16" i="91"/>
  <c r="G19" i="91"/>
  <c r="G20" i="91"/>
  <c r="G36" i="91"/>
  <c r="N8" i="94"/>
  <c r="N6" i="94"/>
  <c r="G11" i="91"/>
  <c r="K13" i="91"/>
  <c r="H14" i="91"/>
  <c r="D20" i="9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3" i="91"/>
  <c r="H27" i="91"/>
  <c r="H29" i="91"/>
  <c r="H11" i="91"/>
  <c r="N6" i="85"/>
  <c r="N4" i="85"/>
  <c r="H20" i="91"/>
  <c r="B5" i="89"/>
  <c r="B2" i="89"/>
  <c r="B3" i="89"/>
  <c r="B6" i="89"/>
  <c r="K12" i="91" l="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<sst xmlns="http://schemas.openxmlformats.org/spreadsheetml/2006/main" count="934" uniqueCount="679">
  <si>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</si>
  <si>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</si>
  <si>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</si>
  <si>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</si>
  <si>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</si>
  <si>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</si>
  <si>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</si>
  <si>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</si>
  <si>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</si>
  <si>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</si>
  <si>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</si>
  <si>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</si>
  <si>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</si>
  <si>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</si>
  <si>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</si>
  <si>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</si>
  <si>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</si>
  <si>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</si>
  <si>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</si>
  <si>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</si>
  <si>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</si>
  <si>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</si>
  <si>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</si>
  <si>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</si>
  <si>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</si>
  <si>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</si>
  <si>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</si>
  <si>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</si>
  <si>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</si>
  <si>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</si>
  <si>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</si>
  <si>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</si>
  <si>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</si>
  <si>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</si>
  <si>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</si>
  <si>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</si>
  <si>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</si>
  <si>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</si>
  <si>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</si>
  <si>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</si>
  <si>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</si>
  <si>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</si>
  <si>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</si>
  <si>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</si>
  <si>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</si>
  <si>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</si>
  <si>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</si>
  <si>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</si>
  <si>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</si>
  <si>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</si>
  <si>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</si>
  <si>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</si>
  <si>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</si>
  <si>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</si>
  <si>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</si>
  <si>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</si>
  <si>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</si>
  <si>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</si>
  <si>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</si>
  <si>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</si>
  <si>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</si>
  <si>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</si>
  <si>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</si>
  <si>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</si>
  <si>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</si>
  <si>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</si>
  <si>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</si>
  <si>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</si>
  <si>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</si>
  <si>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</si>
  <si>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</si>
  <si>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</si>
  <si>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</si>
  <si>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</si>
  <si>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</si>
  <si>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</si>
  <si>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</si>
  <si>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</si>
  <si>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</si>
  <si>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</si>
  <si>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</si>
  <si>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</si>
  <si>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</si>
  <si>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</si>
  <si>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</si>
  <si>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</si>
  <si>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</si>
  <si>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</si>
  <si>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</si>
  <si>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</si>
  <si>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</si>
  <si>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</si>
  <si>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</si>
  <si>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</si>
  <si>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</si>
  <si>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</si>
  <si>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</si>
  <si>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</si>
  <si>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</si>
  <si>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</si>
  <si>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</si>
  <si>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</si>
  <si>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</si>
  <si>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</si>
  <si>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</si>
  <si>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</si>
  <si>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</si>
  <si>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</si>
  <si>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</si>
  <si>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</si>
  <si>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</si>
  <si>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</si>
  <si>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</si>
  <si>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</si>
  <si>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</si>
  <si>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</si>
  <si>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</si>
  <si>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</si>
  <si>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</si>
  <si>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</si>
  <si>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</si>
  <si>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</si>
  <si>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</si>
  <si>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</si>
  <si>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</si>
  <si>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</si>
  <si>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</si>
  <si>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</si>
  <si>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</si>
  <si>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</si>
  <si>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</si>
  <si>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</si>
  <si>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</si>
  <si>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</si>
  <si>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</si>
  <si>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</si>
  <si>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</si>
  <si>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</si>
  <si>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</si>
  <si>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</si>
  <si>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</si>
  <si>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</si>
  <si>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</si>
  <si>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</si>
  <si>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</si>
  <si>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</si>
  <si>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</si>
  <si>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</si>
  <si>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</si>
  <si>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</si>
  <si>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</si>
  <si>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</si>
  <si>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</si>
  <si>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</si>
  <si>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</si>
  <si>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</si>
  <si>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</si>
  <si>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</si>
  <si>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</si>
  <si>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</si>
  <si>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</si>
  <si>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</si>
  <si>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</si>
  <si>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</si>
  <si>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</si>
  <si>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</si>
  <si>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</si>
  <si>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</si>
  <si>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</si>
  <si>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</si>
  <si>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</si>
  <si>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</si>
  <si>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</si>
  <si>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</si>
  <si>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</si>
  <si>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</si>
  <si>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</si>
  <si>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</si>
  <si>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</si>
  <si>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</si>
  <si>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</si>
  <si>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</si>
  <si>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</si>
  <si>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</si>
  <si>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</si>
  <si>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</si>
  <si>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</si>
  <si>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</si>
  <si>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</si>
  <si>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</si>
  <si>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</si>
  <si>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</si>
  <si>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</si>
  <si>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</si>
  <si>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</si>
  <si>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</si>
  <si>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</si>
  <si>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</si>
  <si>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</si>
  <si>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</si>
  <si>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</si>
  <si>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</si>
  <si>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</si>
  <si>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</si>
  <si>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</si>
  <si>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</si>
  <si>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</si>
  <si>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</si>
  <si>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</si>
  <si>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</si>
  <si>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</si>
  <si>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</si>
  <si>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</si>
  <si>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</si>
  <si>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</si>
  <si>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</si>
  <si>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</si>
  <si>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</si>
  <si>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</si>
  <si>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</si>
  <si>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</si>
  <si>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</si>
  <si>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</si>
  <si>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</si>
  <si>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</si>
  <si>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</si>
  <si>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</si>
  <si>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</si>
  <si>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</si>
  <si>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</si>
  <si>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</si>
  <si>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</si>
  <si>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</si>
  <si>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</si>
  <si>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</si>
  <si>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</si>
  <si>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</si>
  <si>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</si>
  <si>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</si>
  <si>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</si>
  <si>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</si>
  <si>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</si>
  <si>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</si>
  <si>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</si>
  <si>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</si>
  <si>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</si>
  <si>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</si>
  <si>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</si>
  <si>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</si>
  <si>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</si>
  <si>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</si>
  <si>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</si>
  <si>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</si>
  <si>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</si>
  <si>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</si>
  <si>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</si>
  <si>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</si>
  <si>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</si>
  <si>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</si>
  <si>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</si>
  <si>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</si>
  <si>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</si>
  <si>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</si>
  <si>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</si>
  <si>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</si>
  <si>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</si>
  <si>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</si>
  <si>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</si>
  <si>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</si>
  <si>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</si>
  <si>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</si>
  <si>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</si>
  <si>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</si>
  <si>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</si>
  <si>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</si>
  <si>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</si>
  <si>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</si>
  <si>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</si>
  <si>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</si>
  <si>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</si>
  <si>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</si>
  <si>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</si>
  <si>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</si>
  <si>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</si>
  <si>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</si>
  <si>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</si>
  <si>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</si>
  <si>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</si>
  <si>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</si>
  <si>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</si>
  <si>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</si>
  <si>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</si>
  <si>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</si>
  <si>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</si>
  <si>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</si>
  <si>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</si>
  <si>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</si>
  <si>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</si>
  <si>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</si>
  <si>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</si>
  <si>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</si>
  <si>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</si>
  <si>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</si>
  <si>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</si>
  <si>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</si>
  <si>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</si>
  <si>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</si>
  <si>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</si>
  <si>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</si>
  <si>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</si>
  <si>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</si>
  <si>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</si>
  <si>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</si>
  <si>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</si>
  <si>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</si>
  <si>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</si>
  <si>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</si>
  <si>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</si>
  <si>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</si>
  <si>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</si>
  <si>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</si>
  <si>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</si>
  <si>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</si>
  <si>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</si>
  <si>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</si>
  <si>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</si>
  <si>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</si>
  <si>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</si>
  <si>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</si>
  <si>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</si>
  <si>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</si>
  <si>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</si>
  <si>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</si>
  <si>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</si>
  <si>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</si>
  <si>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</si>
  <si>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</si>
  <si>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</si>
  <si>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</si>
  <si>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</si>
  <si>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</si>
  <si>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</si>
  <si>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</si>
  <si>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</si>
  <si>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</si>
  <si>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</si>
  <si>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</si>
  <si>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</si>
  <si>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</si>
  <si>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</si>
  <si>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</si>
  <si>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</si>
  <si>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</si>
  <si>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</si>
  <si>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</si>
  <si>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</si>
  <si>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</si>
  <si>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</si>
  <si>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</si>
  <si>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</si>
  <si>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</si>
  <si>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</si>
  <si>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</si>
  <si>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</si>
  <si>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</si>
  <si>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</si>
  <si>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</si>
  <si>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</si>
  <si>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</si>
  <si>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</si>
  <si>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</si>
  <si>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</si>
  <si>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</si>
  <si>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</si>
  <si>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</si>
  <si>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</si>
  <si>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</si>
  <si>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</si>
  <si>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</si>
  <si>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</si>
  <si>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</si>
  <si>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</si>
  <si>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</si>
  <si>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</si>
  <si>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</si>
  <si>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</si>
  <si>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</si>
  <si>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</si>
  <si>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</si>
  <si>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</si>
  <si>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</si>
  <si>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</si>
  <si>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</si>
  <si>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</si>
  <si>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</si>
  <si>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</si>
  <si>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</si>
  <si>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</si>
  <si>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</si>
  <si>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</si>
  <si>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</si>
  <si>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</si>
  <si>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</si>
  <si>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</si>
  <si>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</si>
  <si>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</si>
  <si>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</si>
  <si>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</si>
  <si>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</si>
  <si>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</si>
  <si>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</si>
  <si>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</si>
  <si>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</si>
  <si>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</si>
  <si>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</si>
  <si>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</si>
  <si>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</si>
  <si>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</si>
  <si>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</si>
  <si>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</si>
  <si>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</si>
  <si>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</si>
  <si>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</si>
  <si>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</si>
  <si>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</si>
  <si>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</si>
  <si>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</si>
  <si>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</si>
  <si>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</si>
  <si>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</si>
  <si>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</si>
  <si>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</si>
  <si>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</si>
  <si>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</si>
  <si>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</si>
  <si>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</si>
  <si>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</si>
  <si>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</si>
  <si>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</si>
  <si>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</si>
  <si>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</si>
  <si>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</si>
  <si>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</si>
  <si>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</si>
  <si>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</si>
  <si>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</si>
  <si>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</si>
  <si>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</si>
  <si>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</si>
  <si>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</si>
  <si>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</si>
  <si>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</si>
  <si>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</si>
  <si>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</si>
  <si>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</si>
  <si>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</si>
  <si>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</si>
  <si>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</si>
  <si>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</si>
  <si>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</si>
  <si>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</si>
  <si>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</si>
  <si>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</si>
  <si>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</si>
  <si>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</si>
  <si>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</si>
  <si>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</si>
  <si>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</si>
  <si>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</si>
  <si>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</si>
  <si>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</si>
  <si>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</si>
  <si>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</si>
  <si>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</si>
  <si>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</si>
  <si>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</si>
  <si>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</si>
  <si>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</si>
  <si>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</si>
  <si>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</si>
  <si>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</si>
  <si>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</si>
  <si>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</si>
  <si>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</si>
  <si>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</si>
  <si>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</si>
  <si>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</si>
  <si>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</si>
  <si>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</si>
  <si>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</si>
  <si>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</si>
  <si>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</si>
  <si>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</si>
  <si>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</si>
  <si>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</si>
  <si>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</si>
  <si>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</si>
  <si>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</si>
  <si>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</si>
  <si>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</si>
  <si>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</si>
  <si>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</si>
  <si>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</si>
  <si>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</si>
  <si>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</si>
  <si>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</si>
  <si>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</si>
  <si>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</si>
  <si>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</si>
  <si>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</si>
  <si>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</si>
  <si>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</si>
  <si>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</si>
  <si>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</si>
  <si>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</si>
  <si>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</si>
  <si>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</si>
  <si>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</si>
  <si>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</si>
  <si>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</si>
  <si>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</si>
  <si>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</si>
  <si>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</si>
  <si>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</si>
  <si>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</si>
  <si>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</si>
  <si>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</si>
  <si>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</si>
  <si>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</si>
  <si>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</si>
  <si>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</si>
  <si>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</si>
  <si>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</si>
  <si>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</si>
  <si>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</si>
  <si>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</si>
  <si>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</si>
  <si>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</si>
  <si>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</si>
  <si>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</si>
  <si>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</si>
  <si>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</si>
  <si>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</si>
  <si>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</si>
  <si>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</si>
  <si>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</si>
  <si>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</si>
  <si>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</si>
  <si>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</si>
  <si>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</si>
  <si>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</si>
  <si>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</si>
  <si>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</si>
  <si>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</si>
  <si>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</si>
  <si>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</si>
  <si>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</si>
  <si>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</si>
  <si>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</si>
  <si>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</si>
  <si>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</si>
  <si>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</si>
  <si>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</si>
  <si>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</si>
  <si>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</si>
  <si>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</si>
  <si>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</si>
  <si>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</si>
  <si>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</si>
  <si>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</si>
  <si>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</si>
  <si>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</si>
  <si>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</si>
  <si>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</si>
  <si>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</si>
  <si>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</si>
  <si>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</si>
  <si>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</si>
  <si>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</si>
  <si>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</si>
  <si>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</si>
  <si>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</si>
  <si>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</si>
  <si>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</si>
  <si>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</si>
  <si>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</si>
  <si>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</si>
  <si>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</si>
  <si>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</si>
  <si>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</si>
  <si>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</si>
  <si>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</si>
  <si>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</si>
  <si>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</si>
  <si>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Provider=SQLOLEDB.1;Data Source=WIN7U-20150705K\R2; Initial Catalog=auto_code;Persist Security Info=True;User ID=sa;Password=1983313a</t>
    <phoneticPr fontId="5"/>
  </si>
  <si>
    <t>m_default_info</t>
  </si>
  <si>
    <t>m_db_info</t>
  </si>
  <si>
    <t>m_siryoiu</t>
  </si>
  <si>
    <t>m_siryoiu_rireki</t>
  </si>
  <si>
    <t>t_table_info</t>
  </si>
  <si>
    <t>m_main_use_table</t>
  </si>
  <si>
    <t>m_job_kinds</t>
  </si>
  <si>
    <t>m_job_ms</t>
  </si>
  <si>
    <t>m_siryou_rireki</t>
  </si>
  <si>
    <t>m_edp</t>
  </si>
  <si>
    <t>m_siryou</t>
  </si>
  <si>
    <t>m_ankan_kihon_info</t>
  </si>
  <si>
    <t>m_ankan_kinou_info</t>
  </si>
  <si>
    <t>m_ankan_pgm</t>
  </si>
  <si>
    <t>m_ankan_pgm_info</t>
  </si>
  <si>
    <t>t_today_do</t>
  </si>
  <si>
    <t>cpm_cp</t>
  </si>
  <si>
    <t>cpm_game</t>
  </si>
  <si>
    <t>cpm_pl</t>
  </si>
  <si>
    <t>cpm_player</t>
  </si>
  <si>
    <t>cpm_buy_mark</t>
  </si>
  <si>
    <t>cpm_team</t>
  </si>
  <si>
    <t>cpm_pm</t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</si>
  <si>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</si>
  <si>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</si>
  <si>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</si>
  <si>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分類</t>
    <phoneticPr fontId="5"/>
  </si>
  <si>
    <t>kind</t>
  </si>
  <si>
    <t>kind</t>
    <phoneticPr fontId="5"/>
  </si>
  <si>
    <t>txt</t>
  </si>
  <si>
    <t>ntext</t>
  </si>
  <si>
    <t>nvarchar</t>
    <phoneticPr fontId="5"/>
  </si>
  <si>
    <t>登録時間</t>
  </si>
  <si>
    <t>touroku_time</t>
  </si>
  <si>
    <t>share_type</t>
  </si>
  <si>
    <t>○</t>
    <phoneticPr fontId="5"/>
  </si>
  <si>
    <t>共有</t>
  </si>
  <si>
    <t>システム名</t>
  </si>
  <si>
    <t>system_name</t>
  </si>
  <si>
    <t>txt、vb、</t>
    <phoneticPr fontId="5"/>
  </si>
  <si>
    <t>m_data</t>
    <phoneticPr fontId="5"/>
  </si>
  <si>
    <t>m_file_kind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</si>
  <si>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</si>
  <si>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</si>
  <si>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</si>
  <si>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</si>
  <si>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資料保存する</t>
    <phoneticPr fontId="5"/>
  </si>
  <si>
    <t>分類-(key)</t>
    <phoneticPr fontId="31" type="noConversion"/>
  </si>
  <si>
    <t>vb</t>
  </si>
  <si>
    <t>js</t>
  </si>
  <si>
    <t>html</t>
  </si>
  <si>
    <t>htm</t>
  </si>
  <si>
    <t>aspx</t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</si>
  <si>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</si>
  <si>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</si>
  <si>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</si>
  <si>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</si>
  <si>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</si>
  <si>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</si>
  <si>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</si>
  <si>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</si>
  <si>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</si>
  <si>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</si>
  <si>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ファイル種類</t>
    <phoneticPr fontId="5"/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</si>
  <si>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</si>
  <si>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</si>
  <si>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</si>
  <si>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</si>
  <si>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</si>
  <si>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</si>
  <si>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Provider=SQLOLEDB.1;Data Source=10.160.200.39; Initial Catalog=auto_savedata;Persist Security Info=True;User ID=sa;Password=lixil@2014</t>
    <phoneticPr fontId="5"/>
  </si>
  <si>
    <t>E:\案件\AutoCode_SaveData\Web\</t>
    <phoneticPr fontId="5"/>
  </si>
  <si>
    <t>STAUS</t>
    <phoneticPr fontId="31" type="noConversion"/>
  </si>
  <si>
    <t>edp_staus</t>
    <phoneticPr fontId="31" type="noConversion"/>
  </si>
  <si>
    <t>char</t>
    <phoneticPr fontId="31" type="noConversion"/>
  </si>
  <si>
    <t>9:削除</t>
    <rPh sb="2" eb="4">
      <t>さくじょ</t>
    </rPh>
    <phoneticPr fontId="31" type="noConversion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</si>
  <si>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</si>
  <si>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</si>
  <si>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</si>
  <si>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</si>
  <si>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</si>
  <si>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</si>
  <si>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</si>
  <si>
    <t>案件資料</t>
    <rPh sb="0" eb="2">
      <t>アンケン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</si>
</sst>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3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1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0" fontId="24" fillId="0" borderId="0" xfId="6">
      <alignment vertical="center"/>
    </xf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26" fillId="0" borderId="0" xfId="0" applyFont="1" applyFill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30" fillId="0" borderId="14" xfId="0" applyFont="1" applyBorder="1"/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ハイパーリンク" xfId="3" builtinId="8"/>
    <cellStyle name="見出し" xfId="4"/>
    <cellStyle name="標準" xfId="0" builtinId="0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="" xmlns:a16="http://schemas.microsoft.com/office/drawing/2014/main" id="{00000000-0008-0000-0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="" xmlns:a16="http://schemas.microsoft.com/office/drawing/2014/main" id="{00000000-0008-0000-0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="" xmlns:a16="http://schemas.microsoft.com/office/drawing/2014/main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="" xmlns:a16="http://schemas.microsoft.com/office/drawing/2014/main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="" xmlns:a16="http://schemas.microsoft.com/office/drawing/2014/main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="" xmlns:a16="http://schemas.microsoft.com/office/drawing/2014/main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="" xmlns:a16="http://schemas.microsoft.com/office/drawing/2014/main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="" xmlns:a16="http://schemas.microsoft.com/office/drawing/2014/main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="" xmlns:a16="http://schemas.microsoft.com/office/drawing/2014/main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="" xmlns:a16="http://schemas.microsoft.com/office/drawing/2014/main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="" xmlns:a16="http://schemas.microsoft.com/office/drawing/2014/main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3905" name="cboTYPE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="" xmlns:a16="http://schemas.microsoft.com/office/drawing/2014/main" id="{00000000-0008-0000-02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3906" name="chkTYPE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="" xmlns:a16="http://schemas.microsoft.com/office/drawing/2014/main" id="{00000000-0008-0000-02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10327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10327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10248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m_file_kind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kind='aspx'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m_file_kind SELECT 'aspx'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10250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="" xmlns:a16="http://schemas.microsoft.com/office/drawing/2014/main" id="{00000000-0008-0000-03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="" xmlns:a16="http://schemas.microsoft.com/office/drawing/2014/main" id="{00000000-0008-0000-03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3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3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="" xmlns:a16="http://schemas.microsoft.com/office/drawing/2014/main" id="{00000000-0008-0000-04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="" xmlns:a16="http://schemas.microsoft.com/office/drawing/2014/main" id="{00000000-0008-0000-04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="" xmlns:a16="http://schemas.microsoft.com/office/drawing/2014/main" id="{00000000-0008-0000-07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="" xmlns:a16="http://schemas.microsoft.com/office/drawing/2014/main" id="{00000000-0008-0000-07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="" xmlns:a16="http://schemas.microsoft.com/office/drawing/2014/main" id="{00000000-0008-0000-07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="" xmlns:a16="http://schemas.microsoft.com/office/drawing/2014/main" id="{00000000-0008-0000-07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="" xmlns:a16="http://schemas.microsoft.com/office/drawing/2014/main" id="{00000000-0008-0000-07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="" xmlns:a16="http://schemas.microsoft.com/office/drawing/2014/main" id="{00000000-0008-0000-07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="" xmlns:a16="http://schemas.microsoft.com/office/drawing/2014/main" id="{00000000-0008-0000-07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="" xmlns:a16="http://schemas.microsoft.com/office/drawing/2014/main" id="{00000000-0008-0000-07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="" xmlns:a16="http://schemas.microsoft.com/office/drawing/2014/main" id="{00000000-0008-0000-07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="" xmlns:a16="http://schemas.microsoft.com/office/drawing/2014/main" id="{00000000-0008-0000-07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="" xmlns:a16="http://schemas.microsoft.com/office/drawing/2014/main" id="{00000000-0008-0000-07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16" sqref="C16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559</v>
      </c>
      <c r="C4" s="118" t="s">
        <v>554</v>
      </c>
    </row>
    <row r="5" spans="2:9">
      <c r="B5" s="120" t="s">
        <v>560</v>
      </c>
      <c r="C5" s="118" t="s">
        <v>555</v>
      </c>
    </row>
    <row r="6" spans="2:9">
      <c r="B6" s="120" t="s">
        <v>561</v>
      </c>
      <c r="C6" s="118" t="s">
        <v>556</v>
      </c>
    </row>
    <row r="7" spans="2:9">
      <c r="B7" s="120" t="s">
        <v>562</v>
      </c>
      <c r="C7" s="118" t="s">
        <v>557</v>
      </c>
      <c r="I7" s="119" t="s">
        <v>558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9"/>
  <sheetViews>
    <sheetView showGridLines="0" tabSelected="1" zoomScaleNormal="100" workbookViewId="0">
      <selection activeCell="C6" sqref="C6:E6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2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41</v>
      </c>
      <c r="B5" s="9"/>
      <c r="C5" s="159" t="s">
        <v>678</v>
      </c>
      <c r="D5" s="160"/>
      <c r="E5" s="161"/>
      <c r="F5" s="162" t="s">
        <v>641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9" t="s">
        <v>635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672</v>
      </c>
      <c r="C9" s="69" t="s">
        <v>671</v>
      </c>
      <c r="D9" s="69" t="s">
        <v>626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25" ht="11.25">
      <c r="A10" s="69">
        <v>2</v>
      </c>
      <c r="B10" s="68" t="s">
        <v>673</v>
      </c>
      <c r="C10" s="69" t="s">
        <v>674</v>
      </c>
      <c r="D10" s="69" t="s">
        <v>531</v>
      </c>
      <c r="E10" s="69">
        <v>100</v>
      </c>
      <c r="F10" s="69" t="s">
        <v>585</v>
      </c>
      <c r="G10" s="69" t="s">
        <v>586</v>
      </c>
      <c r="H10" s="69"/>
      <c r="I10" s="69"/>
      <c r="J10" s="69"/>
      <c r="K10" s="69"/>
    </row>
    <row r="11" spans="1:25" ht="11.25">
      <c r="A11" s="69">
        <v>3</v>
      </c>
      <c r="B11" s="68" t="s">
        <v>640</v>
      </c>
      <c r="C11" s="69" t="s">
        <v>519</v>
      </c>
      <c r="D11" s="69" t="s">
        <v>531</v>
      </c>
      <c r="E11" s="69">
        <v>8</v>
      </c>
      <c r="F11" s="69" t="s">
        <v>585</v>
      </c>
      <c r="G11" s="69" t="s">
        <v>586</v>
      </c>
      <c r="H11" s="69"/>
      <c r="I11" s="69"/>
      <c r="J11" s="69"/>
      <c r="K11" s="69" t="s">
        <v>677</v>
      </c>
    </row>
    <row r="12" spans="1:25" ht="11.25">
      <c r="A12" s="69">
        <v>4</v>
      </c>
      <c r="B12" s="68" t="s">
        <v>632</v>
      </c>
      <c r="C12" s="69" t="s">
        <v>633</v>
      </c>
      <c r="D12" s="69" t="s">
        <v>531</v>
      </c>
      <c r="E12" s="69">
        <v>16</v>
      </c>
      <c r="F12" s="69" t="s">
        <v>585</v>
      </c>
      <c r="G12" s="69" t="s">
        <v>586</v>
      </c>
      <c r="H12" s="69"/>
      <c r="I12" s="69"/>
      <c r="J12" s="69"/>
      <c r="K12" s="69"/>
    </row>
    <row r="13" spans="1:25" ht="11.25">
      <c r="A13" s="69">
        <v>5</v>
      </c>
      <c r="B13" s="68" t="s">
        <v>676</v>
      </c>
      <c r="C13" s="69" t="s">
        <v>675</v>
      </c>
      <c r="D13" s="69" t="s">
        <v>652</v>
      </c>
      <c r="E13" s="69">
        <v>20</v>
      </c>
      <c r="F13" s="69" t="s">
        <v>585</v>
      </c>
      <c r="G13" s="69" t="s">
        <v>586</v>
      </c>
      <c r="H13" s="69"/>
      <c r="I13" s="69"/>
      <c r="J13" s="69"/>
      <c r="K13" s="69"/>
    </row>
    <row r="14" spans="1:25" ht="11.25">
      <c r="A14" s="69">
        <v>6</v>
      </c>
      <c r="B14" s="68" t="s">
        <v>655</v>
      </c>
      <c r="C14" s="69" t="s">
        <v>653</v>
      </c>
      <c r="D14" s="69" t="s">
        <v>625</v>
      </c>
      <c r="E14" s="69"/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656</v>
      </c>
      <c r="C15" s="69" t="s">
        <v>654</v>
      </c>
      <c r="D15" s="69" t="s">
        <v>625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.25">
      <c r="A16" s="69">
        <v>8</v>
      </c>
      <c r="B16" s="68" t="s">
        <v>631</v>
      </c>
      <c r="C16" s="69" t="s">
        <v>629</v>
      </c>
      <c r="D16" s="69" t="s">
        <v>531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.25">
      <c r="A17" s="69">
        <v>10</v>
      </c>
      <c r="B17" s="68" t="s">
        <v>627</v>
      </c>
      <c r="C17" s="69" t="s">
        <v>628</v>
      </c>
      <c r="D17" s="69" t="s">
        <v>661</v>
      </c>
      <c r="E17" s="69"/>
      <c r="F17" s="71"/>
      <c r="G17" s="71"/>
      <c r="H17" s="71"/>
      <c r="I17" s="71"/>
      <c r="J17" s="71"/>
      <c r="K17" s="70"/>
      <c r="L17" s="8"/>
    </row>
    <row r="18" spans="1:14" ht="11.25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.25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6" t="s">
        <v>588</v>
      </c>
      <c r="C48" s="137" t="s">
        <v>524</v>
      </c>
      <c r="D48" s="138" t="s">
        <v>525</v>
      </c>
      <c r="E48" s="139" t="s">
        <v>535</v>
      </c>
      <c r="F48" s="140" t="s">
        <v>526</v>
      </c>
      <c r="G48" s="140" t="s">
        <v>575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40" t="s">
        <v>519</v>
      </c>
      <c r="C49" s="137" t="s">
        <v>520</v>
      </c>
      <c r="D49" s="138" t="s">
        <v>521</v>
      </c>
      <c r="E49" s="139" t="s">
        <v>522</v>
      </c>
      <c r="F49" s="140" t="s">
        <v>523</v>
      </c>
      <c r="G49" s="140" t="s">
        <v>527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1" t="s">
        <v>576</v>
      </c>
      <c r="C50" s="142" t="s">
        <v>577</v>
      </c>
      <c r="D50" s="143" t="s">
        <v>578</v>
      </c>
      <c r="E50" s="144">
        <v>1</v>
      </c>
      <c r="F50" s="141" t="s">
        <v>579</v>
      </c>
      <c r="G50" s="141" t="s">
        <v>580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1" t="s">
        <v>581</v>
      </c>
      <c r="C51" s="142" t="s">
        <v>577</v>
      </c>
      <c r="D51" s="143" t="s">
        <v>578</v>
      </c>
      <c r="E51" s="144">
        <v>1</v>
      </c>
      <c r="F51" s="141" t="s">
        <v>579</v>
      </c>
      <c r="G51" s="141" t="s">
        <v>580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1" t="s">
        <v>582</v>
      </c>
      <c r="C52" s="142" t="s">
        <v>577</v>
      </c>
      <c r="D52" s="143" t="s">
        <v>578</v>
      </c>
      <c r="E52" s="144">
        <v>6</v>
      </c>
      <c r="F52" s="141" t="s">
        <v>579</v>
      </c>
      <c r="G52" s="141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1" t="s">
        <v>583</v>
      </c>
      <c r="C53" s="142" t="s">
        <v>577</v>
      </c>
      <c r="D53" s="143" t="s">
        <v>578</v>
      </c>
      <c r="E53" s="144">
        <v>3</v>
      </c>
      <c r="F53" s="141" t="s">
        <v>579</v>
      </c>
      <c r="G53" s="141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Y1041"/>
  <sheetViews>
    <sheetView showGridLines="0" zoomScaleNormal="100" workbookViewId="0">
      <selection activeCell="C22" sqref="C2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637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636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621</v>
      </c>
      <c r="C9" s="69" t="s">
        <v>623</v>
      </c>
      <c r="D9" s="69" t="s">
        <v>626</v>
      </c>
      <c r="E9" s="69">
        <v>20</v>
      </c>
      <c r="F9" s="69" t="s">
        <v>630</v>
      </c>
      <c r="G9" s="69"/>
      <c r="H9" s="69"/>
      <c r="I9" s="69"/>
      <c r="J9" s="69"/>
      <c r="K9" s="69" t="s">
        <v>634</v>
      </c>
    </row>
    <row r="10" spans="1:15" ht="11.25">
      <c r="A10" s="69">
        <v>2</v>
      </c>
      <c r="B10" s="68" t="s">
        <v>667</v>
      </c>
      <c r="C10" s="70" t="s">
        <v>668</v>
      </c>
      <c r="D10" s="71" t="s">
        <v>669</v>
      </c>
      <c r="E10" s="71">
        <v>1</v>
      </c>
      <c r="F10" s="72"/>
      <c r="G10" s="69"/>
      <c r="H10" s="71"/>
      <c r="I10" s="71"/>
      <c r="J10" s="71"/>
      <c r="K10" s="70" t="s">
        <v>670</v>
      </c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642</v>
      </c>
      <c r="C40" s="155"/>
      <c r="D40" s="156"/>
      <c r="E40" s="157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622</v>
      </c>
      <c r="C41" s="155"/>
      <c r="D41" s="156"/>
      <c r="E41" s="157"/>
      <c r="F41" s="96"/>
      <c r="G41" s="96"/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647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646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645</v>
      </c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644</v>
      </c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141" t="s">
        <v>624</v>
      </c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141" t="s">
        <v>643</v>
      </c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A11" sqref="A11:XFD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637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663</v>
      </c>
      <c r="C9" s="69" t="s">
        <v>519</v>
      </c>
      <c r="D9" s="69" t="s">
        <v>531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68" t="s">
        <v>664</v>
      </c>
      <c r="C10" s="69" t="s">
        <v>662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667</v>
      </c>
      <c r="C11" s="70" t="s">
        <v>668</v>
      </c>
      <c r="D11" s="71" t="s">
        <v>669</v>
      </c>
      <c r="E11" s="71">
        <v>1</v>
      </c>
      <c r="F11" s="72"/>
      <c r="G11" s="69"/>
      <c r="H11" s="71"/>
      <c r="I11" s="71"/>
      <c r="J11" s="71"/>
      <c r="K11" s="70" t="s">
        <v>670</v>
      </c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588</v>
      </c>
      <c r="C40" s="137" t="s">
        <v>524</v>
      </c>
      <c r="D40" s="138" t="s">
        <v>525</v>
      </c>
      <c r="E40" s="139" t="s">
        <v>535</v>
      </c>
      <c r="F40" s="140" t="s">
        <v>526</v>
      </c>
      <c r="G40" s="140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519</v>
      </c>
      <c r="C41" s="137" t="s">
        <v>520</v>
      </c>
      <c r="D41" s="138" t="s">
        <v>521</v>
      </c>
      <c r="E41" s="139" t="s">
        <v>522</v>
      </c>
      <c r="F41" s="140" t="s">
        <v>523</v>
      </c>
      <c r="G41" s="140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576</v>
      </c>
      <c r="C42" s="142" t="s">
        <v>577</v>
      </c>
      <c r="D42" s="143" t="s">
        <v>578</v>
      </c>
      <c r="E42" s="144">
        <v>1</v>
      </c>
      <c r="F42" s="141" t="s">
        <v>579</v>
      </c>
      <c r="G42" s="141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581</v>
      </c>
      <c r="C43" s="142" t="s">
        <v>577</v>
      </c>
      <c r="D43" s="143" t="s">
        <v>578</v>
      </c>
      <c r="E43" s="144">
        <v>1</v>
      </c>
      <c r="F43" s="141" t="s">
        <v>579</v>
      </c>
      <c r="G43" s="141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582</v>
      </c>
      <c r="C44" s="142" t="s">
        <v>577</v>
      </c>
      <c r="D44" s="143" t="s">
        <v>578</v>
      </c>
      <c r="E44" s="144">
        <v>6</v>
      </c>
      <c r="F44" s="141" t="s">
        <v>579</v>
      </c>
      <c r="G44" s="141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583</v>
      </c>
      <c r="C45" s="142" t="s">
        <v>577</v>
      </c>
      <c r="D45" s="143" t="s">
        <v>578</v>
      </c>
      <c r="E45" s="144">
        <v>3</v>
      </c>
      <c r="F45" s="141" t="s">
        <v>579</v>
      </c>
      <c r="G45" s="141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F11" sqref="F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658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632</v>
      </c>
      <c r="C9" s="69" t="s">
        <v>633</v>
      </c>
      <c r="D9" s="69" t="s">
        <v>531</v>
      </c>
      <c r="E9" s="69">
        <v>50</v>
      </c>
      <c r="F9" s="69" t="s">
        <v>586</v>
      </c>
      <c r="G9" s="69"/>
      <c r="H9" s="69"/>
      <c r="I9" s="69"/>
      <c r="J9" s="69"/>
      <c r="K9" s="69" t="s">
        <v>657</v>
      </c>
    </row>
    <row r="10" spans="1:15" ht="11.25">
      <c r="A10" s="69"/>
      <c r="B10" s="68"/>
      <c r="C10" s="70"/>
      <c r="D10" s="71"/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587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6" t="s">
        <v>651</v>
      </c>
      <c r="C39" s="155"/>
      <c r="D39" s="156"/>
      <c r="E39" s="157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40" t="s">
        <v>633</v>
      </c>
      <c r="C40" s="155"/>
      <c r="D40" s="156"/>
      <c r="E40" s="157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1" t="s">
        <v>649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1" t="s">
        <v>648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650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0"/>
  <sheetViews>
    <sheetView zoomScale="85" zoomScaleNormal="85" workbookViewId="0">
      <selection activeCell="B13" sqref="B13"/>
    </sheetView>
  </sheetViews>
  <sheetFormatPr defaultColWidth="9.140625" defaultRowHeight="14.25"/>
  <cols>
    <col min="1" max="1" width="22.5703125" style="151" customWidth="1"/>
    <col min="2" max="2" width="133.28515625" style="147" customWidth="1"/>
    <col min="3" max="16384" width="9.140625" style="147"/>
  </cols>
  <sheetData>
    <row r="1" spans="1:2">
      <c r="A1" s="146" t="s">
        <v>618</v>
      </c>
      <c r="B1" s="145" t="s">
        <v>665</v>
      </c>
    </row>
    <row r="2" spans="1:2">
      <c r="A2" s="146" t="s">
        <v>42</v>
      </c>
      <c r="B2" s="145" t="str">
        <f>GetConnDataByKey(B$1,A2)</f>
        <v>10.160.200.39</v>
      </c>
    </row>
    <row r="3" spans="1:2">
      <c r="A3" s="146" t="s">
        <v>43</v>
      </c>
      <c r="B3" s="145" t="str">
        <f>GetConnDataByKey(B$1,A3)</f>
        <v>auto_savedata</v>
      </c>
    </row>
    <row r="4" spans="1:2" s="149" customFormat="1">
      <c r="A4" s="148" t="s">
        <v>619</v>
      </c>
      <c r="B4" s="145" t="s">
        <v>44</v>
      </c>
    </row>
    <row r="5" spans="1:2" s="149" customFormat="1">
      <c r="A5" s="148" t="s">
        <v>42</v>
      </c>
      <c r="B5" s="145" t="str">
        <f>GetConnDataByKey(B$1,A5)</f>
        <v>10.160.200.39</v>
      </c>
    </row>
    <row r="6" spans="1:2" s="149" customFormat="1">
      <c r="A6" s="148" t="s">
        <v>43</v>
      </c>
      <c r="B6" s="145" t="str">
        <f>GetConnDataByKey(B$1,A6)</f>
        <v>auto_savedata</v>
      </c>
    </row>
    <row r="7" spans="1:2" s="149" customFormat="1">
      <c r="A7" s="154" t="s">
        <v>589</v>
      </c>
      <c r="B7" s="145" t="s">
        <v>666</v>
      </c>
    </row>
    <row r="8" spans="1:2" s="149" customFormat="1">
      <c r="A8" s="154" t="s">
        <v>659</v>
      </c>
      <c r="B8" s="145" t="str">
        <f>B7 &amp; "App_Code\Lixil.SA.BizLogic\"</f>
        <v>E:\案件\AutoCode_SaveData\Web\App_Code\Lixil.SA.BizLogic\</v>
      </c>
    </row>
    <row r="9" spans="1:2" s="149" customFormat="1">
      <c r="A9" s="154" t="s">
        <v>660</v>
      </c>
      <c r="B9" s="145" t="str">
        <f>B7 &amp; "App_Code\Lixil.SA.DataAccess\"</f>
        <v>E:\案件\AutoCode_SaveData\Web\App_Code\Lixil.SA.DataAccess\</v>
      </c>
    </row>
    <row r="10" spans="1:2" s="149" customFormat="1">
      <c r="A10" s="150"/>
      <c r="B10" s="78"/>
    </row>
    <row r="11" spans="1:2" s="149" customFormat="1">
      <c r="A11" s="150"/>
      <c r="B11" s="78"/>
    </row>
    <row r="12" spans="1:2" s="149" customFormat="1">
      <c r="A12" s="150"/>
      <c r="B12" s="78"/>
    </row>
    <row r="13" spans="1:2" s="149" customFormat="1">
      <c r="A13" s="150"/>
      <c r="B13" s="78"/>
    </row>
    <row r="14" spans="1:2" s="149" customFormat="1">
      <c r="A14" s="150"/>
      <c r="B14" s="78"/>
    </row>
    <row r="15" spans="1:2" s="149" customFormat="1">
      <c r="A15" s="150"/>
      <c r="B15" s="78"/>
    </row>
    <row r="16" spans="1:2" s="149" customFormat="1">
      <c r="A16" s="150"/>
      <c r="B16" s="78"/>
    </row>
    <row r="17" spans="1:2" s="149" customFormat="1">
      <c r="A17" s="150"/>
      <c r="B17" s="78"/>
    </row>
    <row r="18" spans="1:2" s="149" customFormat="1">
      <c r="A18" s="150"/>
      <c r="B18" s="78"/>
    </row>
    <row r="19" spans="1:2" s="149" customFormat="1">
      <c r="A19" s="150"/>
      <c r="B19" s="78"/>
    </row>
    <row r="20" spans="1:2" s="149" customFormat="1">
      <c r="A20" s="150"/>
      <c r="B20" s="78"/>
    </row>
    <row r="21" spans="1:2" s="149" customFormat="1">
      <c r="A21" s="150"/>
      <c r="B21" s="78"/>
    </row>
    <row r="22" spans="1:2" s="149" customFormat="1">
      <c r="A22" s="150" t="s">
        <v>549</v>
      </c>
      <c r="B22" s="78"/>
    </row>
    <row r="23" spans="1:2">
      <c r="A23" s="153" t="s">
        <v>550</v>
      </c>
      <c r="B23" s="145" t="s">
        <v>530</v>
      </c>
    </row>
    <row r="24" spans="1:2">
      <c r="A24" s="153" t="s">
        <v>565</v>
      </c>
      <c r="B24" s="145" t="s">
        <v>593</v>
      </c>
    </row>
    <row r="25" spans="1:2">
      <c r="A25" s="153" t="s">
        <v>552</v>
      </c>
      <c r="B25" s="145" t="s">
        <v>551</v>
      </c>
    </row>
    <row r="26" spans="1:2">
      <c r="A26" s="153" t="s">
        <v>564</v>
      </c>
      <c r="B26" s="145" t="s">
        <v>44</v>
      </c>
    </row>
    <row r="27" spans="1:2">
      <c r="A27" s="153" t="s">
        <v>563</v>
      </c>
      <c r="B27" s="145" t="s">
        <v>553</v>
      </c>
    </row>
    <row r="28" spans="1:2">
      <c r="A28" s="158"/>
      <c r="B28" s="145" t="s">
        <v>594</v>
      </c>
    </row>
    <row r="29" spans="1:2">
      <c r="B29" s="152"/>
    </row>
    <row r="30" spans="1:2">
      <c r="B30" s="152"/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539</v>
      </c>
      <c r="B1" s="122"/>
      <c r="C1" s="123"/>
      <c r="D1" s="100"/>
      <c r="E1" s="124"/>
      <c r="F1" s="125" t="s">
        <v>543</v>
      </c>
      <c r="G1" s="103"/>
      <c r="H1" s="103"/>
      <c r="I1" s="126" t="s">
        <v>540</v>
      </c>
      <c r="J1" s="105"/>
      <c r="K1" s="127" t="s">
        <v>590</v>
      </c>
    </row>
    <row r="2" spans="1:25" s="29" customFormat="1" ht="17.100000000000001" customHeight="1" thickBot="1">
      <c r="A2" s="128" t="s">
        <v>591</v>
      </c>
      <c r="B2" s="129"/>
      <c r="C2" s="130" t="s">
        <v>541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68"/>
      <c r="D5" s="169"/>
      <c r="E5" s="170"/>
      <c r="F5" s="171"/>
      <c r="G5" s="172"/>
      <c r="H5" s="172"/>
      <c r="I5" s="172"/>
      <c r="J5" s="172"/>
      <c r="K5" s="173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7"/>
      <c r="D6" s="178"/>
      <c r="E6" s="179"/>
      <c r="F6" s="174"/>
      <c r="G6" s="175"/>
      <c r="H6" s="175"/>
      <c r="I6" s="175"/>
      <c r="J6" s="175"/>
      <c r="K6" s="176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528</v>
      </c>
      <c r="B46" s="80" t="s">
        <v>529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35"/>
  <sheetViews>
    <sheetView workbookViewId="0">
      <selection activeCell="H16" sqref="H16"/>
    </sheetView>
  </sheetViews>
  <sheetFormatPr defaultRowHeight="12"/>
  <sheetData>
    <row r="10" spans="2:2">
      <c r="B10" t="s">
        <v>595</v>
      </c>
    </row>
    <row r="11" spans="2:2">
      <c r="B11" t="s">
        <v>596</v>
      </c>
    </row>
    <row r="12" spans="2:2">
      <c r="B12" t="s">
        <v>547</v>
      </c>
    </row>
    <row r="13" spans="2:2">
      <c r="B13" t="s">
        <v>597</v>
      </c>
    </row>
    <row r="14" spans="2:2">
      <c r="B14" t="s">
        <v>598</v>
      </c>
    </row>
    <row r="15" spans="2:2">
      <c r="B15" t="s">
        <v>599</v>
      </c>
    </row>
    <row r="16" spans="2:2">
      <c r="B16" t="s">
        <v>600</v>
      </c>
    </row>
    <row r="17" spans="2:2">
      <c r="B17" t="s">
        <v>601</v>
      </c>
    </row>
    <row r="18" spans="2:2">
      <c r="B18" t="s">
        <v>602</v>
      </c>
    </row>
    <row r="19" spans="2:2">
      <c r="B19" t="s">
        <v>548</v>
      </c>
    </row>
    <row r="20" spans="2:2">
      <c r="B20" t="s">
        <v>603</v>
      </c>
    </row>
    <row r="21" spans="2:2">
      <c r="B21" t="s">
        <v>584</v>
      </c>
    </row>
    <row r="22" spans="2:2">
      <c r="B22" t="s">
        <v>604</v>
      </c>
    </row>
    <row r="23" spans="2:2">
      <c r="B23" t="s">
        <v>605</v>
      </c>
    </row>
    <row r="24" spans="2:2">
      <c r="B24" t="s">
        <v>606</v>
      </c>
    </row>
    <row r="25" spans="2:2">
      <c r="B25" t="s">
        <v>607</v>
      </c>
    </row>
    <row r="26" spans="2:2">
      <c r="B26" t="s">
        <v>608</v>
      </c>
    </row>
    <row r="27" spans="2:2">
      <c r="B27" t="s">
        <v>609</v>
      </c>
    </row>
    <row r="28" spans="2:2">
      <c r="B28" t="s">
        <v>610</v>
      </c>
    </row>
    <row r="29" spans="2:2">
      <c r="B29" t="s">
        <v>611</v>
      </c>
    </row>
    <row r="30" spans="2:2">
      <c r="B30" t="s">
        <v>612</v>
      </c>
    </row>
    <row r="31" spans="2:2">
      <c r="B31" t="s">
        <v>613</v>
      </c>
    </row>
    <row r="32" spans="2:2">
      <c r="B32" t="s">
        <v>614</v>
      </c>
    </row>
    <row r="33" spans="2:2">
      <c r="B33" t="s">
        <v>615</v>
      </c>
    </row>
    <row r="34" spans="2:2">
      <c r="B34" t="s">
        <v>616</v>
      </c>
    </row>
    <row r="35" spans="2:2">
      <c r="B35" t="s">
        <v>617</v>
      </c>
    </row>
  </sheetData>
  <phoneticPr fontId="5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703125" bestFit="1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538</v>
      </c>
    </row>
    <row r="2" spans="3:11">
      <c r="C2" t="s">
        <v>546</v>
      </c>
    </row>
    <row r="10" spans="3:11">
      <c r="C10" s="115" t="s">
        <v>536</v>
      </c>
      <c r="D10" s="115" t="s">
        <v>537</v>
      </c>
      <c r="G10" s="116" t="s">
        <v>544</v>
      </c>
      <c r="H10" s="116" t="s">
        <v>545</v>
      </c>
    </row>
    <row r="11" spans="3:11" ht="13.5">
      <c r="C11" s="135" t="s">
        <v>572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.5">
      <c r="C12" s="135" t="s">
        <v>570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.5">
      <c r="C13" s="135" t="s">
        <v>574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.5">
      <c r="C14" s="135" t="s">
        <v>573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.5">
      <c r="C15" s="135" t="s">
        <v>566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.5">
      <c r="C16" s="135" t="s">
        <v>567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.5">
      <c r="C17" s="135" t="s">
        <v>571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.5">
      <c r="C18" s="135" t="s">
        <v>568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.5">
      <c r="C19" s="135" t="s">
        <v>569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534</v>
      </c>
    </row>
    <row r="2" spans="1:6">
      <c r="A2" s="180" t="s">
        <v>46</v>
      </c>
      <c r="B2" s="180"/>
      <c r="C2" s="180"/>
      <c r="D2" s="180" t="s">
        <v>47</v>
      </c>
      <c r="E2" s="180"/>
      <c r="F2" s="180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519</v>
      </c>
      <c r="B4" s="14" t="s">
        <v>531</v>
      </c>
      <c r="C4" s="14">
        <v>100</v>
      </c>
    </row>
    <row r="5" spans="1:6">
      <c r="A5" s="14" t="s">
        <v>520</v>
      </c>
      <c r="B5" s="14" t="s">
        <v>531</v>
      </c>
      <c r="C5" s="14">
        <v>400</v>
      </c>
    </row>
    <row r="6" spans="1:6">
      <c r="A6" s="14" t="s">
        <v>521</v>
      </c>
      <c r="B6" s="14" t="s">
        <v>531</v>
      </c>
      <c r="C6" s="14">
        <v>2000</v>
      </c>
    </row>
    <row r="7" spans="1:6">
      <c r="A7" s="14" t="s">
        <v>522</v>
      </c>
      <c r="B7" s="14" t="s">
        <v>532</v>
      </c>
      <c r="C7" s="14"/>
    </row>
    <row r="8" spans="1:6">
      <c r="A8" s="14" t="s">
        <v>523</v>
      </c>
      <c r="B8" s="14" t="s">
        <v>533</v>
      </c>
      <c r="C8" s="14">
        <v>2</v>
      </c>
    </row>
    <row r="9" spans="1:6">
      <c r="A9" s="134" t="s">
        <v>527</v>
      </c>
      <c r="B9" s="134" t="s">
        <v>533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328</v>
      </c>
    </row>
    <row r="10" spans="1:4">
      <c r="A10" s="66" t="s">
        <v>516</v>
      </c>
      <c r="B10" s="66" t="s">
        <v>48</v>
      </c>
      <c r="C10" s="66" t="s">
        <v>327</v>
      </c>
    </row>
    <row r="11" spans="1:4">
      <c r="A11" s="66" t="s">
        <v>51</v>
      </c>
      <c r="B11" s="66" t="s">
        <v>331</v>
      </c>
    </row>
    <row r="12" spans="1:4">
      <c r="A12" s="66" t="s">
        <v>98</v>
      </c>
      <c r="B12" s="66" t="s">
        <v>376</v>
      </c>
    </row>
    <row r="13" spans="1:4">
      <c r="A13" s="66" t="s">
        <v>93</v>
      </c>
      <c r="B13" s="66" t="s">
        <v>371</v>
      </c>
    </row>
    <row r="14" spans="1:4">
      <c r="A14" s="66" t="s">
        <v>100</v>
      </c>
      <c r="B14" s="66" t="s">
        <v>378</v>
      </c>
    </row>
    <row r="15" spans="1:4">
      <c r="A15" s="66" t="s">
        <v>231</v>
      </c>
      <c r="B15" s="66" t="s">
        <v>497</v>
      </c>
    </row>
    <row r="16" spans="1:4">
      <c r="A16" s="66" t="s">
        <v>294</v>
      </c>
      <c r="B16" s="66" t="s">
        <v>505</v>
      </c>
    </row>
    <row r="17" spans="1:2">
      <c r="A17" s="66" t="s">
        <v>228</v>
      </c>
      <c r="B17" s="66" t="s">
        <v>494</v>
      </c>
    </row>
    <row r="18" spans="1:2">
      <c r="A18" s="66" t="s">
        <v>52</v>
      </c>
      <c r="B18" s="66" t="s">
        <v>332</v>
      </c>
    </row>
    <row r="19" spans="1:2">
      <c r="A19" s="66" t="s">
        <v>53</v>
      </c>
      <c r="B19" s="66" t="s">
        <v>333</v>
      </c>
    </row>
    <row r="20" spans="1:2">
      <c r="A20" s="66" t="s">
        <v>56</v>
      </c>
      <c r="B20" s="66" t="s">
        <v>336</v>
      </c>
    </row>
    <row r="21" spans="1:2">
      <c r="A21" s="66" t="s">
        <v>57</v>
      </c>
      <c r="B21" s="66" t="s">
        <v>337</v>
      </c>
    </row>
    <row r="22" spans="1:2">
      <c r="A22" s="66" t="s">
        <v>60</v>
      </c>
      <c r="B22" s="66" t="s">
        <v>340</v>
      </c>
    </row>
    <row r="23" spans="1:2">
      <c r="A23" s="66" t="s">
        <v>69</v>
      </c>
      <c r="B23" s="66" t="s">
        <v>348</v>
      </c>
    </row>
    <row r="24" spans="1:2">
      <c r="A24" s="66" t="s">
        <v>70</v>
      </c>
      <c r="B24" s="66" t="s">
        <v>336</v>
      </c>
    </row>
    <row r="25" spans="1:2">
      <c r="A25" s="66" t="s">
        <v>71</v>
      </c>
      <c r="B25" s="66" t="s">
        <v>349</v>
      </c>
    </row>
    <row r="26" spans="1:2">
      <c r="A26" s="66" t="s">
        <v>72</v>
      </c>
      <c r="B26" s="66" t="s">
        <v>350</v>
      </c>
    </row>
    <row r="27" spans="1:2">
      <c r="A27" s="66" t="s">
        <v>73</v>
      </c>
      <c r="B27" s="66" t="s">
        <v>351</v>
      </c>
    </row>
    <row r="28" spans="1:2">
      <c r="A28" s="66" t="s">
        <v>74</v>
      </c>
      <c r="B28" s="66" t="s">
        <v>352</v>
      </c>
    </row>
    <row r="29" spans="1:2">
      <c r="A29" s="66" t="s">
        <v>82</v>
      </c>
      <c r="B29" s="66" t="s">
        <v>360</v>
      </c>
    </row>
    <row r="30" spans="1:2">
      <c r="A30" s="66" t="s">
        <v>102</v>
      </c>
      <c r="B30" s="66" t="s">
        <v>380</v>
      </c>
    </row>
    <row r="31" spans="1:2">
      <c r="A31" s="66" t="s">
        <v>298</v>
      </c>
      <c r="B31" s="66" t="s">
        <v>509</v>
      </c>
    </row>
    <row r="32" spans="1:2">
      <c r="A32" s="66" t="s">
        <v>299</v>
      </c>
      <c r="B32" s="66" t="s">
        <v>510</v>
      </c>
    </row>
    <row r="33" spans="1:2">
      <c r="A33" s="66" t="s">
        <v>303</v>
      </c>
      <c r="B33" s="66" t="s">
        <v>514</v>
      </c>
    </row>
    <row r="34" spans="1:2">
      <c r="A34" s="66" t="s">
        <v>295</v>
      </c>
      <c r="B34" s="66" t="s">
        <v>506</v>
      </c>
    </row>
    <row r="35" spans="1:2">
      <c r="A35" s="66" t="s">
        <v>517</v>
      </c>
      <c r="B35" s="66" t="s">
        <v>518</v>
      </c>
    </row>
    <row r="36" spans="1:2">
      <c r="A36" s="66" t="s">
        <v>66</v>
      </c>
      <c r="B36" s="66" t="s">
        <v>345</v>
      </c>
    </row>
    <row r="37" spans="1:2">
      <c r="A37" s="66" t="s">
        <v>293</v>
      </c>
      <c r="B37" s="66" t="s">
        <v>222</v>
      </c>
    </row>
    <row r="38" spans="1:2">
      <c r="A38" s="66" t="s">
        <v>300</v>
      </c>
      <c r="B38" s="66" t="s">
        <v>511</v>
      </c>
    </row>
    <row r="39" spans="1:2">
      <c r="A39" s="66" t="s">
        <v>301</v>
      </c>
      <c r="B39" s="66" t="s">
        <v>512</v>
      </c>
    </row>
    <row r="40" spans="1:2">
      <c r="A40" s="66" t="s">
        <v>302</v>
      </c>
      <c r="B40" s="66" t="s">
        <v>513</v>
      </c>
    </row>
    <row r="41" spans="1:2">
      <c r="A41" s="66" t="s">
        <v>304</v>
      </c>
      <c r="B41" s="66" t="s">
        <v>515</v>
      </c>
    </row>
    <row r="42" spans="1:2">
      <c r="A42" s="66" t="s">
        <v>305</v>
      </c>
      <c r="B42" s="66" t="s">
        <v>306</v>
      </c>
    </row>
    <row r="43" spans="1:2">
      <c r="A43" s="66" t="s">
        <v>296</v>
      </c>
      <c r="B43" s="66" t="s">
        <v>507</v>
      </c>
    </row>
    <row r="44" spans="1:2">
      <c r="A44" s="66" t="s">
        <v>297</v>
      </c>
      <c r="B44" s="66" t="s">
        <v>508</v>
      </c>
    </row>
    <row r="45" spans="1:2">
      <c r="A45" s="66" t="s">
        <v>236</v>
      </c>
      <c r="B45" s="66" t="s">
        <v>500</v>
      </c>
    </row>
    <row r="46" spans="1:2">
      <c r="A46" s="66" t="s">
        <v>237</v>
      </c>
      <c r="B46" s="66" t="s">
        <v>501</v>
      </c>
    </row>
    <row r="47" spans="1:2">
      <c r="A47" s="66" t="s">
        <v>238</v>
      </c>
      <c r="B47" s="66" t="s">
        <v>502</v>
      </c>
    </row>
    <row r="48" spans="1:2">
      <c r="A48" s="66" t="s">
        <v>239</v>
      </c>
      <c r="B48" s="66" t="s">
        <v>503</v>
      </c>
    </row>
    <row r="49" spans="1:2">
      <c r="A49" s="66" t="s">
        <v>240</v>
      </c>
      <c r="B49" s="66" t="s">
        <v>504</v>
      </c>
    </row>
    <row r="50" spans="1:2">
      <c r="A50" s="66" t="s">
        <v>83</v>
      </c>
      <c r="B50" s="66" t="s">
        <v>361</v>
      </c>
    </row>
    <row r="51" spans="1:2">
      <c r="A51" s="66" t="s">
        <v>84</v>
      </c>
      <c r="B51" s="66" t="s">
        <v>362</v>
      </c>
    </row>
    <row r="52" spans="1:2">
      <c r="A52" s="66" t="s">
        <v>85</v>
      </c>
      <c r="B52" s="66" t="s">
        <v>363</v>
      </c>
    </row>
    <row r="53" spans="1:2">
      <c r="A53" s="66" t="s">
        <v>86</v>
      </c>
      <c r="B53" s="66" t="s">
        <v>364</v>
      </c>
    </row>
    <row r="54" spans="1:2">
      <c r="A54" s="66" t="s">
        <v>87</v>
      </c>
      <c r="B54" s="66" t="s">
        <v>365</v>
      </c>
    </row>
    <row r="55" spans="1:2">
      <c r="A55" s="66" t="s">
        <v>88</v>
      </c>
      <c r="B55" s="66" t="s">
        <v>366</v>
      </c>
    </row>
    <row r="56" spans="1:2">
      <c r="A56" s="66" t="s">
        <v>89</v>
      </c>
      <c r="B56" s="66" t="s">
        <v>367</v>
      </c>
    </row>
    <row r="57" spans="1:2">
      <c r="A57" s="66" t="s">
        <v>90</v>
      </c>
      <c r="B57" s="66" t="s">
        <v>368</v>
      </c>
    </row>
    <row r="58" spans="1:2">
      <c r="A58" s="66" t="s">
        <v>91</v>
      </c>
      <c r="B58" s="66" t="s">
        <v>369</v>
      </c>
    </row>
    <row r="59" spans="1:2">
      <c r="A59" s="66" t="s">
        <v>92</v>
      </c>
      <c r="B59" s="66" t="s">
        <v>370</v>
      </c>
    </row>
    <row r="60" spans="1:2">
      <c r="A60" s="66" t="s">
        <v>75</v>
      </c>
      <c r="B60" s="66" t="s">
        <v>353</v>
      </c>
    </row>
    <row r="61" spans="1:2">
      <c r="A61" s="66" t="s">
        <v>76</v>
      </c>
      <c r="B61" s="66" t="s">
        <v>354</v>
      </c>
    </row>
    <row r="62" spans="1:2">
      <c r="A62" s="66" t="s">
        <v>77</v>
      </c>
      <c r="B62" s="66" t="s">
        <v>355</v>
      </c>
    </row>
    <row r="63" spans="1:2">
      <c r="A63" s="66" t="s">
        <v>78</v>
      </c>
      <c r="B63" s="66" t="s">
        <v>356</v>
      </c>
    </row>
    <row r="64" spans="1:2">
      <c r="A64" s="66" t="s">
        <v>79</v>
      </c>
      <c r="B64" s="66" t="s">
        <v>357</v>
      </c>
    </row>
    <row r="65" spans="1:2">
      <c r="A65" s="66" t="s">
        <v>80</v>
      </c>
      <c r="B65" s="66" t="s">
        <v>358</v>
      </c>
    </row>
    <row r="66" spans="1:2">
      <c r="A66" s="66" t="s">
        <v>81</v>
      </c>
      <c r="B66" s="66" t="s">
        <v>359</v>
      </c>
    </row>
    <row r="67" spans="1:2">
      <c r="A67" s="66" t="s">
        <v>130</v>
      </c>
      <c r="B67" s="66" t="s">
        <v>402</v>
      </c>
    </row>
    <row r="68" spans="1:2">
      <c r="A68" s="66" t="s">
        <v>61</v>
      </c>
      <c r="B68" s="66" t="s">
        <v>341</v>
      </c>
    </row>
    <row r="69" spans="1:2">
      <c r="A69" s="66" t="s">
        <v>62</v>
      </c>
      <c r="B69" s="66" t="s">
        <v>342</v>
      </c>
    </row>
    <row r="70" spans="1:2">
      <c r="A70" s="66" t="s">
        <v>63</v>
      </c>
      <c r="B70" s="66" t="s">
        <v>343</v>
      </c>
    </row>
    <row r="71" spans="1:2">
      <c r="A71" s="66" t="s">
        <v>64</v>
      </c>
      <c r="B71" s="66" t="s">
        <v>344</v>
      </c>
    </row>
    <row r="72" spans="1:2">
      <c r="A72" s="66" t="s">
        <v>65</v>
      </c>
      <c r="B72" s="66" t="s">
        <v>345</v>
      </c>
    </row>
    <row r="73" spans="1:2">
      <c r="A73" s="66" t="s">
        <v>67</v>
      </c>
      <c r="B73" s="66" t="s">
        <v>346</v>
      </c>
    </row>
    <row r="74" spans="1:2">
      <c r="A74" s="66" t="s">
        <v>68</v>
      </c>
      <c r="B74" s="66" t="s">
        <v>347</v>
      </c>
    </row>
    <row r="75" spans="1:2">
      <c r="A75" s="66" t="s">
        <v>58</v>
      </c>
      <c r="B75" s="66" t="s">
        <v>338</v>
      </c>
    </row>
    <row r="76" spans="1:2">
      <c r="A76" s="66" t="s">
        <v>59</v>
      </c>
      <c r="B76" s="66" t="s">
        <v>339</v>
      </c>
    </row>
    <row r="77" spans="1:2">
      <c r="A77" s="66" t="s">
        <v>54</v>
      </c>
      <c r="B77" s="66" t="s">
        <v>334</v>
      </c>
    </row>
    <row r="78" spans="1:2">
      <c r="A78" s="66" t="s">
        <v>55</v>
      </c>
      <c r="B78" s="66" t="s">
        <v>335</v>
      </c>
    </row>
    <row r="79" spans="1:2">
      <c r="A79" s="66" t="s">
        <v>103</v>
      </c>
      <c r="B79" s="66" t="s">
        <v>381</v>
      </c>
    </row>
    <row r="80" spans="1:2">
      <c r="A80" s="66" t="s">
        <v>104</v>
      </c>
      <c r="B80" s="66" t="s">
        <v>382</v>
      </c>
    </row>
    <row r="81" spans="1:2">
      <c r="A81" s="66" t="s">
        <v>105</v>
      </c>
      <c r="B81" s="66" t="s">
        <v>383</v>
      </c>
    </row>
    <row r="82" spans="1:2">
      <c r="A82" s="66" t="s">
        <v>106</v>
      </c>
      <c r="B82" s="66" t="s">
        <v>384</v>
      </c>
    </row>
    <row r="83" spans="1:2">
      <c r="A83" s="66" t="s">
        <v>107</v>
      </c>
      <c r="B83" s="66" t="s">
        <v>385</v>
      </c>
    </row>
    <row r="84" spans="1:2">
      <c r="A84" s="66" t="s">
        <v>108</v>
      </c>
      <c r="B84" s="66" t="s">
        <v>344</v>
      </c>
    </row>
    <row r="85" spans="1:2">
      <c r="A85" s="66" t="s">
        <v>109</v>
      </c>
      <c r="B85" s="66" t="s">
        <v>386</v>
      </c>
    </row>
    <row r="86" spans="1:2">
      <c r="A86" s="66" t="s">
        <v>110</v>
      </c>
      <c r="B86" s="66" t="s">
        <v>386</v>
      </c>
    </row>
    <row r="87" spans="1:2">
      <c r="A87" s="66" t="s">
        <v>111</v>
      </c>
      <c r="B87" s="66" t="s">
        <v>387</v>
      </c>
    </row>
    <row r="88" spans="1:2">
      <c r="A88" s="66" t="s">
        <v>112</v>
      </c>
      <c r="B88" s="66" t="s">
        <v>388</v>
      </c>
    </row>
    <row r="89" spans="1:2">
      <c r="A89" s="66" t="s">
        <v>113</v>
      </c>
      <c r="B89" s="66" t="s">
        <v>389</v>
      </c>
    </row>
    <row r="90" spans="1:2">
      <c r="A90" s="66" t="s">
        <v>114</v>
      </c>
      <c r="B90" s="66" t="s">
        <v>346</v>
      </c>
    </row>
    <row r="91" spans="1:2">
      <c r="A91" s="66" t="s">
        <v>115</v>
      </c>
      <c r="B91" s="66" t="s">
        <v>347</v>
      </c>
    </row>
    <row r="92" spans="1:2">
      <c r="A92" s="66" t="s">
        <v>116</v>
      </c>
      <c r="B92" s="66" t="s">
        <v>390</v>
      </c>
    </row>
    <row r="93" spans="1:2">
      <c r="A93" s="66" t="s">
        <v>117</v>
      </c>
      <c r="B93" s="66" t="s">
        <v>391</v>
      </c>
    </row>
    <row r="94" spans="1:2">
      <c r="A94" s="66" t="s">
        <v>118</v>
      </c>
      <c r="B94" s="66" t="s">
        <v>392</v>
      </c>
    </row>
    <row r="95" spans="1:2">
      <c r="A95" s="66" t="s">
        <v>119</v>
      </c>
      <c r="B95" s="66" t="s">
        <v>393</v>
      </c>
    </row>
    <row r="96" spans="1:2">
      <c r="A96" s="66" t="s">
        <v>120</v>
      </c>
      <c r="B96" s="66" t="s">
        <v>394</v>
      </c>
    </row>
    <row r="97" spans="1:2">
      <c r="A97" s="66" t="s">
        <v>121</v>
      </c>
      <c r="B97" s="66" t="s">
        <v>395</v>
      </c>
    </row>
    <row r="98" spans="1:2">
      <c r="A98" s="66" t="s">
        <v>122</v>
      </c>
      <c r="B98" s="66" t="s">
        <v>396</v>
      </c>
    </row>
    <row r="99" spans="1:2">
      <c r="A99" s="66" t="s">
        <v>123</v>
      </c>
      <c r="B99" s="66" t="s">
        <v>397</v>
      </c>
    </row>
    <row r="100" spans="1:2">
      <c r="A100" s="66" t="s">
        <v>124</v>
      </c>
      <c r="B100" s="66" t="s">
        <v>398</v>
      </c>
    </row>
    <row r="101" spans="1:2">
      <c r="A101" s="66" t="s">
        <v>125</v>
      </c>
      <c r="B101" s="66" t="s">
        <v>399</v>
      </c>
    </row>
    <row r="102" spans="1:2">
      <c r="A102" s="66" t="s">
        <v>126</v>
      </c>
      <c r="B102" s="66" t="s">
        <v>400</v>
      </c>
    </row>
    <row r="103" spans="1:2">
      <c r="A103" s="66" t="s">
        <v>127</v>
      </c>
      <c r="B103" s="66" t="s">
        <v>401</v>
      </c>
    </row>
    <row r="104" spans="1:2">
      <c r="A104" s="66" t="s">
        <v>232</v>
      </c>
      <c r="B104" s="66" t="s">
        <v>498</v>
      </c>
    </row>
    <row r="105" spans="1:2">
      <c r="A105" s="66" t="s">
        <v>233</v>
      </c>
      <c r="B105" s="66" t="s">
        <v>499</v>
      </c>
    </row>
    <row r="106" spans="1:2">
      <c r="A106" s="66" t="s">
        <v>229</v>
      </c>
      <c r="B106" s="66" t="s">
        <v>495</v>
      </c>
    </row>
    <row r="107" spans="1:2">
      <c r="A107" s="66" t="s">
        <v>230</v>
      </c>
      <c r="B107" s="66" t="s">
        <v>496</v>
      </c>
    </row>
    <row r="108" spans="1:2">
      <c r="A108" s="66" t="s">
        <v>101</v>
      </c>
      <c r="B108" s="66" t="s">
        <v>379</v>
      </c>
    </row>
    <row r="109" spans="1:2">
      <c r="A109" s="66" t="s">
        <v>94</v>
      </c>
      <c r="B109" s="66" t="s">
        <v>372</v>
      </c>
    </row>
    <row r="110" spans="1:2">
      <c r="A110" s="66" t="s">
        <v>95</v>
      </c>
      <c r="B110" s="66" t="s">
        <v>373</v>
      </c>
    </row>
    <row r="111" spans="1:2">
      <c r="A111" s="66" t="s">
        <v>96</v>
      </c>
      <c r="B111" s="66" t="s">
        <v>374</v>
      </c>
    </row>
    <row r="112" spans="1:2">
      <c r="A112" s="66" t="s">
        <v>97</v>
      </c>
      <c r="B112" s="66" t="s">
        <v>375</v>
      </c>
    </row>
    <row r="113" spans="1:2">
      <c r="A113" s="66" t="s">
        <v>99</v>
      </c>
      <c r="B113" s="66" t="s">
        <v>377</v>
      </c>
    </row>
    <row r="114" spans="1:2">
      <c r="A114" s="66" t="s">
        <v>49</v>
      </c>
      <c r="B114" s="66" t="s">
        <v>329</v>
      </c>
    </row>
    <row r="115" spans="1:2">
      <c r="A115" s="66" t="s">
        <v>50</v>
      </c>
      <c r="B115" s="66" t="s">
        <v>330</v>
      </c>
    </row>
    <row r="116" spans="1:2">
      <c r="A116" s="66" t="s">
        <v>131</v>
      </c>
      <c r="B116" s="66" t="s">
        <v>403</v>
      </c>
    </row>
    <row r="117" spans="1:2">
      <c r="A117" s="66" t="s">
        <v>132</v>
      </c>
      <c r="B117" s="66" t="s">
        <v>404</v>
      </c>
    </row>
    <row r="118" spans="1:2">
      <c r="A118" s="66" t="s">
        <v>133</v>
      </c>
      <c r="B118" s="66" t="s">
        <v>405</v>
      </c>
    </row>
    <row r="119" spans="1:2">
      <c r="A119" s="66" t="s">
        <v>134</v>
      </c>
      <c r="B119" s="66" t="s">
        <v>406</v>
      </c>
    </row>
    <row r="120" spans="1:2">
      <c r="A120" s="66" t="s">
        <v>135</v>
      </c>
      <c r="B120" s="66" t="s">
        <v>407</v>
      </c>
    </row>
    <row r="121" spans="1:2">
      <c r="A121" s="66" t="s">
        <v>136</v>
      </c>
      <c r="B121" s="66" t="s">
        <v>408</v>
      </c>
    </row>
    <row r="122" spans="1:2">
      <c r="A122" s="66" t="s">
        <v>137</v>
      </c>
      <c r="B122" s="66" t="s">
        <v>409</v>
      </c>
    </row>
    <row r="123" spans="1:2">
      <c r="A123" s="66" t="s">
        <v>138</v>
      </c>
      <c r="B123" s="66" t="s">
        <v>410</v>
      </c>
    </row>
    <row r="124" spans="1:2">
      <c r="A124" s="66" t="s">
        <v>139</v>
      </c>
      <c r="B124" s="66" t="s">
        <v>411</v>
      </c>
    </row>
    <row r="125" spans="1:2">
      <c r="A125" s="66" t="s">
        <v>140</v>
      </c>
      <c r="B125" s="66" t="s">
        <v>412</v>
      </c>
    </row>
    <row r="126" spans="1:2">
      <c r="A126" s="66" t="s">
        <v>141</v>
      </c>
      <c r="B126" s="66" t="s">
        <v>413</v>
      </c>
    </row>
    <row r="127" spans="1:2">
      <c r="A127" s="66" t="s">
        <v>142</v>
      </c>
      <c r="B127" s="66" t="s">
        <v>414</v>
      </c>
    </row>
    <row r="128" spans="1:2">
      <c r="A128" s="66" t="s">
        <v>143</v>
      </c>
      <c r="B128" s="66" t="s">
        <v>415</v>
      </c>
    </row>
    <row r="129" spans="1:2">
      <c r="A129" s="66" t="s">
        <v>144</v>
      </c>
      <c r="B129" s="66" t="s">
        <v>416</v>
      </c>
    </row>
    <row r="130" spans="1:2">
      <c r="A130" s="66" t="s">
        <v>145</v>
      </c>
      <c r="B130" s="66" t="s">
        <v>417</v>
      </c>
    </row>
    <row r="131" spans="1:2">
      <c r="A131" s="66" t="s">
        <v>146</v>
      </c>
      <c r="B131" s="66" t="s">
        <v>418</v>
      </c>
    </row>
    <row r="132" spans="1:2">
      <c r="A132" s="66" t="s">
        <v>147</v>
      </c>
      <c r="B132" s="66" t="s">
        <v>419</v>
      </c>
    </row>
    <row r="133" spans="1:2">
      <c r="A133" s="66" t="s">
        <v>148</v>
      </c>
      <c r="B133" s="66" t="s">
        <v>420</v>
      </c>
    </row>
    <row r="134" spans="1:2">
      <c r="A134" s="66" t="s">
        <v>149</v>
      </c>
      <c r="B134" s="66" t="s">
        <v>421</v>
      </c>
    </row>
    <row r="135" spans="1:2">
      <c r="A135" s="66" t="s">
        <v>150</v>
      </c>
      <c r="B135" s="66" t="s">
        <v>422</v>
      </c>
    </row>
    <row r="136" spans="1:2">
      <c r="A136" s="66" t="s">
        <v>151</v>
      </c>
      <c r="B136" s="66" t="s">
        <v>423</v>
      </c>
    </row>
    <row r="137" spans="1:2">
      <c r="A137" s="66" t="s">
        <v>152</v>
      </c>
      <c r="B137" s="66" t="s">
        <v>424</v>
      </c>
    </row>
    <row r="138" spans="1:2">
      <c r="A138" s="66" t="s">
        <v>153</v>
      </c>
      <c r="B138" s="66" t="s">
        <v>425</v>
      </c>
    </row>
    <row r="139" spans="1:2">
      <c r="A139" s="66" t="s">
        <v>154</v>
      </c>
      <c r="B139" s="66" t="s">
        <v>426</v>
      </c>
    </row>
    <row r="140" spans="1:2">
      <c r="A140" s="66" t="s">
        <v>155</v>
      </c>
      <c r="B140" s="66" t="s">
        <v>427</v>
      </c>
    </row>
    <row r="141" spans="1:2">
      <c r="A141" s="66" t="s">
        <v>156</v>
      </c>
      <c r="B141" s="66" t="s">
        <v>428</v>
      </c>
    </row>
    <row r="142" spans="1:2">
      <c r="A142" s="66" t="s">
        <v>157</v>
      </c>
      <c r="B142" s="66" t="s">
        <v>429</v>
      </c>
    </row>
    <row r="143" spans="1:2">
      <c r="A143" s="66" t="s">
        <v>158</v>
      </c>
      <c r="B143" s="66" t="s">
        <v>430</v>
      </c>
    </row>
    <row r="144" spans="1:2">
      <c r="A144" s="66" t="s">
        <v>159</v>
      </c>
      <c r="B144" s="66" t="s">
        <v>431</v>
      </c>
    </row>
    <row r="145" spans="1:2">
      <c r="A145" s="66" t="s">
        <v>160</v>
      </c>
      <c r="B145" s="66" t="s">
        <v>432</v>
      </c>
    </row>
    <row r="146" spans="1:2">
      <c r="A146" s="66" t="s">
        <v>161</v>
      </c>
      <c r="B146" s="66" t="s">
        <v>433</v>
      </c>
    </row>
    <row r="147" spans="1:2">
      <c r="A147" s="66" t="s">
        <v>162</v>
      </c>
      <c r="B147" s="66" t="s">
        <v>434</v>
      </c>
    </row>
    <row r="148" spans="1:2">
      <c r="A148" s="66" t="s">
        <v>163</v>
      </c>
      <c r="B148" s="66" t="s">
        <v>435</v>
      </c>
    </row>
    <row r="149" spans="1:2">
      <c r="A149" s="66" t="s">
        <v>164</v>
      </c>
      <c r="B149" s="66" t="s">
        <v>436</v>
      </c>
    </row>
    <row r="150" spans="1:2">
      <c r="A150" s="66" t="s">
        <v>165</v>
      </c>
      <c r="B150" s="66" t="s">
        <v>437</v>
      </c>
    </row>
    <row r="151" spans="1:2">
      <c r="A151" s="66" t="s">
        <v>166</v>
      </c>
      <c r="B151" s="66" t="s">
        <v>438</v>
      </c>
    </row>
    <row r="152" spans="1:2">
      <c r="A152" s="66" t="s">
        <v>167</v>
      </c>
      <c r="B152" s="66" t="s">
        <v>439</v>
      </c>
    </row>
    <row r="153" spans="1:2">
      <c r="A153" s="66" t="s">
        <v>168</v>
      </c>
      <c r="B153" s="66" t="s">
        <v>440</v>
      </c>
    </row>
    <row r="154" spans="1:2">
      <c r="A154" s="66" t="s">
        <v>169</v>
      </c>
      <c r="B154" s="66" t="s">
        <v>441</v>
      </c>
    </row>
    <row r="155" spans="1:2">
      <c r="A155" s="66" t="s">
        <v>170</v>
      </c>
      <c r="B155" s="66" t="s">
        <v>442</v>
      </c>
    </row>
    <row r="156" spans="1:2">
      <c r="A156" s="66" t="s">
        <v>171</v>
      </c>
      <c r="B156" s="66" t="s">
        <v>443</v>
      </c>
    </row>
    <row r="157" spans="1:2">
      <c r="A157" s="66" t="s">
        <v>172</v>
      </c>
      <c r="B157" s="66" t="s">
        <v>444</v>
      </c>
    </row>
    <row r="158" spans="1:2">
      <c r="A158" s="66" t="s">
        <v>173</v>
      </c>
      <c r="B158" s="66" t="s">
        <v>445</v>
      </c>
    </row>
    <row r="159" spans="1:2">
      <c r="A159" s="66" t="s">
        <v>174</v>
      </c>
      <c r="B159" s="66" t="s">
        <v>446</v>
      </c>
    </row>
    <row r="160" spans="1:2">
      <c r="A160" s="66" t="s">
        <v>175</v>
      </c>
      <c r="B160" s="66" t="s">
        <v>447</v>
      </c>
    </row>
    <row r="161" spans="1:2">
      <c r="A161" s="66" t="s">
        <v>176</v>
      </c>
      <c r="B161" s="66" t="s">
        <v>448</v>
      </c>
    </row>
    <row r="162" spans="1:2">
      <c r="A162" s="66" t="s">
        <v>177</v>
      </c>
      <c r="B162" s="66" t="s">
        <v>449</v>
      </c>
    </row>
    <row r="163" spans="1:2">
      <c r="A163" s="66" t="s">
        <v>178</v>
      </c>
      <c r="B163" s="66" t="s">
        <v>450</v>
      </c>
    </row>
    <row r="164" spans="1:2">
      <c r="A164" s="66" t="s">
        <v>179</v>
      </c>
      <c r="B164" s="66" t="s">
        <v>451</v>
      </c>
    </row>
    <row r="165" spans="1:2">
      <c r="A165" s="66" t="s">
        <v>180</v>
      </c>
      <c r="B165" s="66" t="s">
        <v>452</v>
      </c>
    </row>
    <row r="166" spans="1:2">
      <c r="A166" s="66" t="s">
        <v>181</v>
      </c>
      <c r="B166" s="66" t="s">
        <v>453</v>
      </c>
    </row>
    <row r="167" spans="1:2">
      <c r="A167" s="66" t="s">
        <v>182</v>
      </c>
      <c r="B167" s="66" t="s">
        <v>388</v>
      </c>
    </row>
    <row r="168" spans="1:2">
      <c r="A168" s="66" t="s">
        <v>183</v>
      </c>
      <c r="B168" s="66" t="s">
        <v>388</v>
      </c>
    </row>
    <row r="169" spans="1:2">
      <c r="A169" s="66" t="s">
        <v>184</v>
      </c>
      <c r="B169" s="66" t="s">
        <v>454</v>
      </c>
    </row>
    <row r="170" spans="1:2">
      <c r="A170" s="66" t="s">
        <v>185</v>
      </c>
      <c r="B170" s="66" t="s">
        <v>455</v>
      </c>
    </row>
    <row r="171" spans="1:2">
      <c r="A171" s="66" t="s">
        <v>186</v>
      </c>
      <c r="B171" s="66" t="s">
        <v>456</v>
      </c>
    </row>
    <row r="172" spans="1:2">
      <c r="A172" s="66" t="s">
        <v>187</v>
      </c>
      <c r="B172" s="66" t="s">
        <v>457</v>
      </c>
    </row>
    <row r="173" spans="1:2">
      <c r="A173" s="66" t="s">
        <v>188</v>
      </c>
      <c r="B173" s="66" t="s">
        <v>458</v>
      </c>
    </row>
    <row r="174" spans="1:2">
      <c r="A174" s="66" t="s">
        <v>189</v>
      </c>
      <c r="B174" s="66" t="s">
        <v>459</v>
      </c>
    </row>
    <row r="175" spans="1:2">
      <c r="A175" s="66" t="s">
        <v>190</v>
      </c>
      <c r="B175" s="66" t="s">
        <v>460</v>
      </c>
    </row>
    <row r="176" spans="1:2">
      <c r="A176" s="66" t="s">
        <v>191</v>
      </c>
      <c r="B176" s="66" t="s">
        <v>461</v>
      </c>
    </row>
    <row r="177" spans="1:2">
      <c r="A177" s="66" t="s">
        <v>192</v>
      </c>
      <c r="B177" s="66" t="s">
        <v>462</v>
      </c>
    </row>
    <row r="178" spans="1:2">
      <c r="A178" s="66" t="s">
        <v>193</v>
      </c>
      <c r="B178" s="66" t="s">
        <v>463</v>
      </c>
    </row>
    <row r="179" spans="1:2">
      <c r="A179" s="66" t="s">
        <v>194</v>
      </c>
      <c r="B179" s="66" t="s">
        <v>464</v>
      </c>
    </row>
    <row r="180" spans="1:2">
      <c r="A180" s="66" t="s">
        <v>195</v>
      </c>
      <c r="B180" s="66" t="s">
        <v>465</v>
      </c>
    </row>
    <row r="181" spans="1:2">
      <c r="A181" s="66" t="s">
        <v>196</v>
      </c>
      <c r="B181" s="66" t="s">
        <v>466</v>
      </c>
    </row>
    <row r="182" spans="1:2">
      <c r="A182" s="66" t="s">
        <v>197</v>
      </c>
      <c r="B182" s="66" t="s">
        <v>467</v>
      </c>
    </row>
    <row r="183" spans="1:2">
      <c r="A183" s="66" t="s">
        <v>198</v>
      </c>
      <c r="B183" s="66" t="s">
        <v>468</v>
      </c>
    </row>
    <row r="184" spans="1:2">
      <c r="A184" s="66" t="s">
        <v>199</v>
      </c>
      <c r="B184" s="66" t="s">
        <v>469</v>
      </c>
    </row>
    <row r="185" spans="1:2">
      <c r="A185" s="66" t="s">
        <v>200</v>
      </c>
      <c r="B185" s="66" t="s">
        <v>470</v>
      </c>
    </row>
    <row r="186" spans="1:2">
      <c r="A186" s="66" t="s">
        <v>201</v>
      </c>
      <c r="B186" s="66" t="s">
        <v>471</v>
      </c>
    </row>
    <row r="187" spans="1:2">
      <c r="A187" s="66" t="s">
        <v>202</v>
      </c>
      <c r="B187" s="66" t="s">
        <v>472</v>
      </c>
    </row>
    <row r="188" spans="1:2">
      <c r="A188" s="66" t="s">
        <v>203</v>
      </c>
      <c r="B188" s="66" t="s">
        <v>473</v>
      </c>
    </row>
    <row r="189" spans="1:2">
      <c r="A189" s="66" t="s">
        <v>204</v>
      </c>
      <c r="B189" s="66" t="s">
        <v>474</v>
      </c>
    </row>
    <row r="190" spans="1:2">
      <c r="A190" s="66" t="s">
        <v>205</v>
      </c>
      <c r="B190" s="66" t="s">
        <v>475</v>
      </c>
    </row>
    <row r="191" spans="1:2">
      <c r="A191" s="66" t="s">
        <v>206</v>
      </c>
      <c r="B191" s="66" t="s">
        <v>476</v>
      </c>
    </row>
    <row r="192" spans="1:2">
      <c r="A192" s="66" t="s">
        <v>207</v>
      </c>
      <c r="B192" s="66" t="s">
        <v>477</v>
      </c>
    </row>
    <row r="193" spans="1:2">
      <c r="A193" s="66" t="s">
        <v>208</v>
      </c>
      <c r="B193" s="66" t="s">
        <v>478</v>
      </c>
    </row>
    <row r="194" spans="1:2">
      <c r="A194" s="66" t="s">
        <v>209</v>
      </c>
      <c r="B194" s="66" t="s">
        <v>479</v>
      </c>
    </row>
    <row r="195" spans="1:2">
      <c r="A195" s="66" t="s">
        <v>210</v>
      </c>
      <c r="B195" s="66" t="s">
        <v>480</v>
      </c>
    </row>
    <row r="196" spans="1:2">
      <c r="A196" s="66" t="s">
        <v>211</v>
      </c>
      <c r="B196" s="66" t="s">
        <v>481</v>
      </c>
    </row>
    <row r="197" spans="1:2">
      <c r="A197" s="66" t="s">
        <v>212</v>
      </c>
      <c r="B197" s="66" t="s">
        <v>482</v>
      </c>
    </row>
    <row r="198" spans="1:2">
      <c r="A198" s="66" t="s">
        <v>213</v>
      </c>
      <c r="B198" s="66" t="s">
        <v>483</v>
      </c>
    </row>
    <row r="199" spans="1:2">
      <c r="A199" s="66" t="s">
        <v>214</v>
      </c>
      <c r="B199" s="66" t="s">
        <v>484</v>
      </c>
    </row>
    <row r="200" spans="1:2">
      <c r="A200" s="66" t="s">
        <v>215</v>
      </c>
      <c r="B200" s="66" t="s">
        <v>485</v>
      </c>
    </row>
    <row r="201" spans="1:2">
      <c r="A201" s="66" t="s">
        <v>216</v>
      </c>
      <c r="B201" s="66" t="s">
        <v>486</v>
      </c>
    </row>
    <row r="202" spans="1:2">
      <c r="A202" s="66" t="s">
        <v>217</v>
      </c>
      <c r="B202" s="66" t="s">
        <v>487</v>
      </c>
    </row>
    <row r="203" spans="1:2">
      <c r="A203" s="66" t="s">
        <v>218</v>
      </c>
      <c r="B203" s="66" t="s">
        <v>488</v>
      </c>
    </row>
    <row r="204" spans="1:2">
      <c r="A204" s="66" t="s">
        <v>219</v>
      </c>
      <c r="B204" s="66" t="s">
        <v>489</v>
      </c>
    </row>
    <row r="205" spans="1:2">
      <c r="A205" s="66" t="s">
        <v>220</v>
      </c>
      <c r="B205" s="66" t="s">
        <v>490</v>
      </c>
    </row>
    <row r="206" spans="1:2">
      <c r="A206" s="66" t="s">
        <v>221</v>
      </c>
      <c r="B206" s="66" t="s">
        <v>222</v>
      </c>
    </row>
    <row r="207" spans="1:2">
      <c r="A207" s="66" t="s">
        <v>223</v>
      </c>
      <c r="B207" s="66" t="s">
        <v>491</v>
      </c>
    </row>
    <row r="208" spans="1:2">
      <c r="A208" s="66" t="s">
        <v>224</v>
      </c>
      <c r="B208" s="66" t="s">
        <v>492</v>
      </c>
    </row>
    <row r="209" spans="1:2">
      <c r="A209" s="66" t="s">
        <v>225</v>
      </c>
      <c r="B209" s="66" t="s">
        <v>489</v>
      </c>
    </row>
    <row r="210" spans="1:2">
      <c r="A210" s="66" t="s">
        <v>226</v>
      </c>
      <c r="B210" s="66" t="s">
        <v>398</v>
      </c>
    </row>
    <row r="211" spans="1:2">
      <c r="A211" s="66" t="s">
        <v>227</v>
      </c>
      <c r="B211" s="66" t="s">
        <v>493</v>
      </c>
    </row>
    <row r="212" spans="1:2">
      <c r="A212" s="66" t="s">
        <v>234</v>
      </c>
      <c r="B212" s="66" t="s">
        <v>235</v>
      </c>
    </row>
    <row r="213" spans="1:2">
      <c r="A213" s="66" t="s">
        <v>241</v>
      </c>
      <c r="B213" s="66" t="s">
        <v>242</v>
      </c>
    </row>
    <row r="214" spans="1:2">
      <c r="A214" s="66" t="s">
        <v>128</v>
      </c>
      <c r="B214" s="66" t="s">
        <v>129</v>
      </c>
    </row>
    <row r="215" spans="1:2">
      <c r="A215" s="66" t="s">
        <v>243</v>
      </c>
      <c r="B215" s="66" t="s">
        <v>244</v>
      </c>
    </row>
    <row r="216" spans="1:2">
      <c r="A216" s="66" t="s">
        <v>245</v>
      </c>
      <c r="B216" s="66" t="s">
        <v>246</v>
      </c>
    </row>
    <row r="217" spans="1:2">
      <c r="A217" s="66" t="s">
        <v>247</v>
      </c>
      <c r="B217" s="66" t="s">
        <v>248</v>
      </c>
    </row>
    <row r="218" spans="1:2">
      <c r="A218" s="66" t="s">
        <v>249</v>
      </c>
      <c r="B218" s="66" t="s">
        <v>250</v>
      </c>
    </row>
    <row r="219" spans="1:2">
      <c r="A219" s="66" t="s">
        <v>251</v>
      </c>
      <c r="B219" s="66" t="s">
        <v>252</v>
      </c>
    </row>
    <row r="220" spans="1:2">
      <c r="A220" s="66" t="s">
        <v>253</v>
      </c>
      <c r="B220" s="66" t="s">
        <v>254</v>
      </c>
    </row>
    <row r="221" spans="1:2">
      <c r="A221" s="66" t="s">
        <v>255</v>
      </c>
      <c r="B221" s="66" t="s">
        <v>256</v>
      </c>
    </row>
    <row r="222" spans="1:2">
      <c r="A222" s="66" t="s">
        <v>257</v>
      </c>
      <c r="B222" s="66" t="s">
        <v>258</v>
      </c>
    </row>
    <row r="223" spans="1:2">
      <c r="A223" s="66" t="s">
        <v>259</v>
      </c>
      <c r="B223" s="66" t="s">
        <v>260</v>
      </c>
    </row>
    <row r="224" spans="1:2">
      <c r="A224" s="66" t="s">
        <v>261</v>
      </c>
      <c r="B224" s="66" t="s">
        <v>262</v>
      </c>
    </row>
    <row r="225" spans="1:2">
      <c r="A225" s="66" t="s">
        <v>263</v>
      </c>
      <c r="B225" s="66" t="s">
        <v>264</v>
      </c>
    </row>
    <row r="226" spans="1:2">
      <c r="A226" s="66" t="s">
        <v>265</v>
      </c>
      <c r="B226" s="66" t="s">
        <v>266</v>
      </c>
    </row>
    <row r="227" spans="1:2">
      <c r="A227" s="66" t="s">
        <v>267</v>
      </c>
      <c r="B227" s="66" t="s">
        <v>268</v>
      </c>
    </row>
    <row r="228" spans="1:2">
      <c r="A228" s="66" t="s">
        <v>269</v>
      </c>
      <c r="B228" s="66" t="s">
        <v>270</v>
      </c>
    </row>
    <row r="229" spans="1:2">
      <c r="A229" s="66" t="s">
        <v>271</v>
      </c>
      <c r="B229" s="66" t="s">
        <v>272</v>
      </c>
    </row>
    <row r="230" spans="1:2">
      <c r="A230" s="66" t="s">
        <v>273</v>
      </c>
      <c r="B230" s="66" t="s">
        <v>274</v>
      </c>
    </row>
    <row r="231" spans="1:2">
      <c r="A231" s="66" t="s">
        <v>275</v>
      </c>
      <c r="B231" s="66" t="s">
        <v>276</v>
      </c>
    </row>
    <row r="232" spans="1:2">
      <c r="A232" s="66" t="s">
        <v>277</v>
      </c>
      <c r="B232" s="66" t="s">
        <v>278</v>
      </c>
    </row>
    <row r="233" spans="1:2">
      <c r="A233" s="66" t="s">
        <v>279</v>
      </c>
      <c r="B233" s="66" t="s">
        <v>280</v>
      </c>
    </row>
    <row r="234" spans="1:2">
      <c r="A234" s="66" t="s">
        <v>281</v>
      </c>
      <c r="B234" s="66" t="s">
        <v>282</v>
      </c>
    </row>
    <row r="235" spans="1:2">
      <c r="A235" s="66" t="s">
        <v>283</v>
      </c>
      <c r="B235" s="66" t="s">
        <v>284</v>
      </c>
    </row>
    <row r="236" spans="1:2">
      <c r="A236" s="66" t="s">
        <v>285</v>
      </c>
      <c r="B236" s="66" t="s">
        <v>286</v>
      </c>
    </row>
    <row r="237" spans="1:2">
      <c r="A237" s="66" t="s">
        <v>287</v>
      </c>
      <c r="B237" s="66" t="s">
        <v>288</v>
      </c>
    </row>
    <row r="238" spans="1:2">
      <c r="A238" s="66" t="s">
        <v>289</v>
      </c>
      <c r="B238" s="66" t="s">
        <v>290</v>
      </c>
    </row>
    <row r="239" spans="1:2">
      <c r="A239" s="66" t="s">
        <v>291</v>
      </c>
      <c r="B239" s="66" t="s">
        <v>292</v>
      </c>
    </row>
    <row r="240" spans="1:2">
      <c r="A240" s="66" t="s">
        <v>316</v>
      </c>
      <c r="B240" s="66" t="s">
        <v>315</v>
      </c>
    </row>
    <row r="241" spans="1:2">
      <c r="A241" s="66" t="s">
        <v>317</v>
      </c>
      <c r="B241" s="66" t="s">
        <v>314</v>
      </c>
    </row>
    <row r="242" spans="1:2">
      <c r="A242" s="66" t="s">
        <v>318</v>
      </c>
      <c r="B242" s="66" t="s">
        <v>313</v>
      </c>
    </row>
    <row r="243" spans="1:2">
      <c r="A243" s="66" t="s">
        <v>319</v>
      </c>
      <c r="B243" s="66" t="s">
        <v>312</v>
      </c>
    </row>
    <row r="244" spans="1:2">
      <c r="A244" s="66" t="s">
        <v>320</v>
      </c>
      <c r="B244" s="66" t="s">
        <v>311</v>
      </c>
    </row>
    <row r="245" spans="1:2">
      <c r="A245" s="66" t="s">
        <v>321</v>
      </c>
      <c r="B245" s="66" t="s">
        <v>310</v>
      </c>
    </row>
    <row r="246" spans="1:2">
      <c r="A246" s="66" t="s">
        <v>322</v>
      </c>
      <c r="B246" s="66" t="s">
        <v>309</v>
      </c>
    </row>
    <row r="247" spans="1:2">
      <c r="A247" s="66" t="s">
        <v>323</v>
      </c>
      <c r="B247" s="66" t="s">
        <v>308</v>
      </c>
    </row>
    <row r="248" spans="1:2">
      <c r="A248" s="66" t="s">
        <v>324</v>
      </c>
      <c r="B248" s="66" t="s">
        <v>307</v>
      </c>
    </row>
    <row r="249" spans="1:2">
      <c r="A249" s="66" t="s">
        <v>325</v>
      </c>
      <c r="B249" s="66" t="s">
        <v>326</v>
      </c>
    </row>
  </sheetData>
  <phoneticPr fontId="5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C32" sqref="C32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30</vt:i4>
      </vt:variant>
    </vt:vector>
  </HeadingPairs>
  <TitlesOfParts>
    <vt:vector size="43" baseType="lpstr">
      <vt:lpstr>システムMENU</vt:lpstr>
      <vt:lpstr>m_data</vt:lpstr>
      <vt:lpstr>m_kind</vt:lpstr>
      <vt:lpstr>m_edp</vt:lpstr>
      <vt:lpstr>m_system_name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m_data!Naiyou</vt:lpstr>
      <vt:lpstr>m_edp!Naiyou</vt:lpstr>
      <vt:lpstr>m_kind!Naiyou</vt:lpstr>
      <vt:lpstr>m_system_name!Naiyou</vt:lpstr>
      <vt:lpstr>TABLE_TMP!Naiyou</vt:lpstr>
      <vt:lpstr>m_data!name</vt:lpstr>
      <vt:lpstr>m_edp!name</vt:lpstr>
      <vt:lpstr>m_kind!name</vt:lpstr>
      <vt:lpstr>m_system_name!name</vt:lpstr>
      <vt:lpstr>TABLE_TMP!name</vt:lpstr>
      <vt:lpstr>m_data!Print_Area</vt:lpstr>
      <vt:lpstr>m_edp!Print_Area</vt:lpstr>
      <vt:lpstr>m_kind!Print_Area</vt:lpstr>
      <vt:lpstr>m_system_name!Print_Area</vt:lpstr>
      <vt:lpstr>TABLE_TMP!Print_Area</vt:lpstr>
      <vt:lpstr>m_data!Print_Titles</vt:lpstr>
      <vt:lpstr>m_edp!Print_Titles</vt:lpstr>
      <vt:lpstr>m_kind!Print_Titles</vt:lpstr>
      <vt:lpstr>m_system_name!Print_Titles</vt:lpstr>
      <vt:lpstr>TABLE_TMP!Print_Titles</vt:lpstr>
      <vt:lpstr>m_data!TBL_Name</vt:lpstr>
      <vt:lpstr>m_edp!TBL_Name</vt:lpstr>
      <vt:lpstr>m_kind!TBL_Name</vt:lpstr>
      <vt:lpstr>m_system_name!TBL_Name</vt:lpstr>
      <vt:lpstr>TABLE_TMP!TBL_Name</vt:lpstr>
      <vt:lpstr>m_data!TYPE</vt:lpstr>
      <vt:lpstr>m_edp!TYPE</vt:lpstr>
      <vt:lpstr>m_kind!TYPE</vt:lpstr>
      <vt:lpstr>m_system_name!TYPE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cp:lastPrinted>2012-09-11T23:42:05Z</cp:lastPrinted>
  <dcterms:created xsi:type="dcterms:W3CDTF">2002-07-02T05:50:34Z</dcterms:created>
  <dcterms:modified xsi:type="dcterms:W3CDTF">2018-12-05T09:01:05Z</dcterms:modified>
</cp:coreProperties>
</file>